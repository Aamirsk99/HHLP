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comments9.xml" ContentType="application/vnd.openxmlformats-officedocument.spreadsheetml.comment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ients" sheetId="2" state="visible" r:id="rId4"/>
    <sheet name="Injection Sales" sheetId="3" state="visible" r:id="rId5"/>
    <sheet name="Protein Sales" sheetId="4" state="visible" r:id="rId6"/>
    <sheet name="Diet Support" sheetId="5" state="visible" r:id="rId7"/>
    <sheet name="Purchases" sheetId="6" state="visible" r:id="rId8"/>
    <sheet name="Inventory" sheetId="7" state="visible" r:id="rId9"/>
    <sheet name="Team" sheetId="8" state="visible" r:id="rId10"/>
    <sheet name="Incentives" sheetId="9" state="visible" r:id="rId11"/>
    <sheet name="Salary" sheetId="10" state="visible" r:id="rId12"/>
    <sheet name="Expenses" sheetId="11" state="visible" r:id="rId13"/>
    <sheet name="Renewals" sheetId="12" state="visible" r:id="rId14"/>
    <sheet name="Setting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Defaults to this month. Type any dates to change the period (e.g. 01-Apr-2026 to 31-Mar-2027).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Add each patient once. Sales sheets pick the name from this list and fill the mobile number.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Filled automatically from Patients.</t>
        </r>
      </text>
    </comment>
    <comment ref="J1" authorId="0">
      <text>
        <r>
          <rPr>
            <sz val="10"/>
            <rFont val="Arial"/>
            <family val="2"/>
          </rPr>
          <t xml:space="preserve">Share for the Shared Reference. Blank = 50% (50-50). E.g. 30% gives the reference 70%.</t>
        </r>
      </text>
    </comment>
    <comment ref="L1" authorId="0">
      <text>
        <r>
          <rPr>
            <sz val="10"/>
            <rFont val="Arial"/>
            <family val="2"/>
          </rPr>
          <t xml:space="preserve">Incentive per pen × Qty, from Settings.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Protein incentive is per sale (not per sachet), from Settings.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Single reference = 100%. Shared: blank = 50-50, or type a custom % for the shared reference.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Each line adds this quantity to Inventory automatically (e.g. Mounjaro 15mg Qty 2 → stock +2).</t>
        </r>
      </text>
    </comment>
    <comment ref="I1" authorId="0">
      <text>
        <r>
          <rPr>
            <sz val="10"/>
            <rFont val="Arial"/>
            <family val="2"/>
          </rPr>
          <t xml:space="preserve">GST rate as a percentage, e.g. 5% or 12%. Check the rate on your invoice.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Stock you had before starting this workbook. Type it in (0 by default).</t>
        </r>
      </text>
    </comment>
    <comment ref="F1" authorId="0">
      <text>
        <r>
          <rPr>
            <sz val="10"/>
            <rFont val="Arial"/>
            <family val="2"/>
          </rPr>
          <t xml:space="preserve">Sold = Injection Sales Qty + Protein Sales Quantity for this item.</t>
        </r>
      </text>
    </comment>
    <comment ref="G1" authorId="0">
      <text>
        <r>
          <rPr>
            <sz val="10"/>
            <rFont val="Arial"/>
            <family val="2"/>
          </rPr>
          <t xml:space="preserve">Use for stock counts, damage or samples (e.g. -2).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From Team. With Off, the member earns ₹0 incentive.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Defaults to the current month. Type any date (e.g. 01-Sep-2026) to see another month.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patient in Patients (same row). Only patients with an injection sale are shown.</t>
        </r>
      </text>
    </comment>
    <comment ref="H1" authorId="0">
      <text>
        <r>
          <rPr>
            <sz val="10"/>
            <rFont val="Arial"/>
            <family val="2"/>
          </rPr>
          <t xml:space="preserve">Mark Yes after calling. Rows follow the Patients sheet, so do not sort Patients after marking.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Default from the Hindivine incentive rules (user spec). Editable.</t>
        </r>
      </text>
    </comment>
    <comment ref="B5" authorId="0">
      <text>
        <r>
          <rPr>
            <sz val="10"/>
            <rFont val="Arial"/>
            <family val="2"/>
          </rPr>
          <t xml:space="preserve">Default from the Hindivine incentive rules (user spec). Editable.</t>
        </r>
      </text>
    </comment>
    <comment ref="B6" authorId="0">
      <text>
        <r>
          <rPr>
            <sz val="10"/>
            <rFont val="Arial"/>
            <family val="2"/>
          </rPr>
          <t xml:space="preserve">Used when a shared reference is chosen and Shared % is left blank (50-50).</t>
        </r>
      </text>
    </comment>
    <comment ref="B7" authorId="0">
      <text>
        <r>
          <rPr>
            <sz val="10"/>
            <rFont val="Arial"/>
            <family val="2"/>
          </rPr>
          <t xml:space="preserve">Assumption: matches the 90-day renewal window. Editable.</t>
        </r>
      </text>
    </comment>
    <comment ref="B8" authorId="0">
      <text>
        <r>
          <rPr>
            <sz val="10"/>
            <rFont val="Arial"/>
            <family val="2"/>
          </rPr>
          <t xml:space="preserve">60-day reminder (user spec).</t>
        </r>
      </text>
    </comment>
    <comment ref="B9" authorId="0">
      <text>
        <r>
          <rPr>
            <sz val="10"/>
            <rFont val="Arial"/>
            <family val="2"/>
          </rPr>
          <t xml:space="preserve">90-day reminder (user spec).</t>
        </r>
      </text>
    </comment>
    <comment ref="B13" authorId="0">
      <text>
        <r>
          <rPr>
            <sz val="10"/>
            <rFont val="Arial"/>
            <family val="2"/>
          </rPr>
          <t xml:space="preserve">Enter your sale price for each product. Left blank because prices were not given.</t>
        </r>
      </text>
    </comment>
    <comment ref="C49" authorId="0">
      <text>
        <r>
          <rPr>
            <sz val="10"/>
            <rFont val="Arial"/>
            <family val="2"/>
          </rPr>
          <t xml:space="preserve">1 Month = ₹1000, 3 Month = ₹2000 (user spec). Editable.</t>
        </r>
      </text>
    </comment>
  </commentList>
</comments>
</file>

<file path=xl/sharedStrings.xml><?xml version="1.0" encoding="utf-8"?>
<sst xmlns="http://schemas.openxmlformats.org/spreadsheetml/2006/main" count="313" uniqueCount="182">
  <si>
    <t xml:space="preserve">Hindivine Healthcare — Admin Dashboard</t>
  </si>
  <si>
    <t xml:space="preserve">All figures update automatically from the other sheets. Change the period below.</t>
  </si>
  <si>
    <t xml:space="preserve">From</t>
  </si>
  <si>
    <t xml:space="preserve">To</t>
  </si>
  <si>
    <t xml:space="preserve">Sales Summary</t>
  </si>
  <si>
    <t xml:space="preserve">Expenses by Category</t>
  </si>
  <si>
    <t xml:space="preserve">Amount (₹)</t>
  </si>
  <si>
    <t xml:space="preserve">Total Orders</t>
  </si>
  <si>
    <t xml:space="preserve">Total Revenue</t>
  </si>
  <si>
    <t xml:space="preserve">Total Expenses</t>
  </si>
  <si>
    <t xml:space="preserve">Net Profit</t>
  </si>
  <si>
    <t xml:space="preserve">Total Injection Sales</t>
  </si>
  <si>
    <t xml:space="preserve">Total Protein Sales</t>
  </si>
  <si>
    <t xml:space="preserve">Total Diet Support Sales</t>
  </si>
  <si>
    <t xml:space="preserve">Patient Summary</t>
  </si>
  <si>
    <t xml:space="preserve">Total Patients</t>
  </si>
  <si>
    <t xml:space="preserve">Total</t>
  </si>
  <si>
    <t xml:space="preserve">New Patients</t>
  </si>
  <si>
    <t xml:space="preserve">Renewal Patients</t>
  </si>
  <si>
    <t xml:space="preserve">Revenue by Type</t>
  </si>
  <si>
    <t xml:space="preserve">Active Patients</t>
  </si>
  <si>
    <t xml:space="preserve">Injection</t>
  </si>
  <si>
    <t xml:space="preserve">Protein</t>
  </si>
  <si>
    <t xml:space="preserve">Team Summary</t>
  </si>
  <si>
    <t xml:space="preserve">Diet Support</t>
  </si>
  <si>
    <t xml:space="preserve">Total Team Members</t>
  </si>
  <si>
    <t xml:space="preserve">Total Incentives</t>
  </si>
  <si>
    <t xml:space="preserve">Total Salary (per month)</t>
  </si>
  <si>
    <t xml:space="preserve">Top Performer (highest incentive)</t>
  </si>
  <si>
    <t xml:space="preserve">Stock Summary (current)</t>
  </si>
  <si>
    <t xml:space="preserve">Total Injection Stock</t>
  </si>
  <si>
    <t xml:space="preserve">Total Protein Stock</t>
  </si>
  <si>
    <t xml:space="preserve">Low Stock Alerts</t>
  </si>
  <si>
    <t xml:space="preserve">Needles Stock</t>
  </si>
  <si>
    <t xml:space="preserve">Swabs Stock</t>
  </si>
  <si>
    <t xml:space="preserve">Syringe Stock</t>
  </si>
  <si>
    <t xml:space="preserve">Renewal Reminders Due</t>
  </si>
  <si>
    <t xml:space="preserve">Patient Name</t>
  </si>
  <si>
    <t xml:space="preserve">Mobile Number</t>
  </si>
  <si>
    <t xml:space="preserve">First Purchase</t>
  </si>
  <si>
    <t xml:space="preserve">Last Purchase</t>
  </si>
  <si>
    <t xml:space="preserve">Orders</t>
  </si>
  <si>
    <t xml:space="preserve">Total Spent (₹)</t>
  </si>
  <si>
    <t xml:space="preserve">Last Injection Product</t>
  </si>
  <si>
    <t xml:space="preserve">Reference Team</t>
  </si>
  <si>
    <t xml:space="preserve">Status</t>
  </si>
  <si>
    <t xml:space="preserve">Asha Sharma</t>
  </si>
  <si>
    <t xml:space="preserve">9876543210</t>
  </si>
  <si>
    <t xml:space="preserve">Purchase Date</t>
  </si>
  <si>
    <t xml:space="preserve">New / Renewal</t>
  </si>
  <si>
    <t xml:space="preserve">Product</t>
  </si>
  <si>
    <t xml:space="preserve">Qty (pens)</t>
  </si>
  <si>
    <t xml:space="preserve">Sale Amount (₹)</t>
  </si>
  <si>
    <t xml:space="preserve">Shared Reference</t>
  </si>
  <si>
    <t xml:space="preserve">Shared %</t>
  </si>
  <si>
    <t xml:space="preserve">Assigned Dietitian</t>
  </si>
  <si>
    <t xml:space="preserve">Total Incentive (₹)</t>
  </si>
  <si>
    <t xml:space="preserve">Reference Incentive (₹)</t>
  </si>
  <si>
    <t xml:space="preserve">Shared Incentive (₹)</t>
  </si>
  <si>
    <t xml:space="preserve">Notes</t>
  </si>
  <si>
    <t xml:space="preserve">New</t>
  </si>
  <si>
    <t xml:space="preserve">Mounjaro 5mg</t>
  </si>
  <si>
    <t xml:space="preserve">Murshida</t>
  </si>
  <si>
    <t xml:space="preserve">EXAMPLE row – overwrite or delete</t>
  </si>
  <si>
    <t xml:space="preserve">Date</t>
  </si>
  <si>
    <t xml:space="preserve">Protein Type</t>
  </si>
  <si>
    <t xml:space="preserve">Quantity</t>
  </si>
  <si>
    <t xml:space="preserve">Reference</t>
  </si>
  <si>
    <t xml:space="preserve">Protein Sachets</t>
  </si>
  <si>
    <t xml:space="preserve">Plan</t>
  </si>
  <si>
    <t xml:space="preserve">3 Month</t>
  </si>
  <si>
    <t xml:space="preserve">Invoice Date</t>
  </si>
  <si>
    <t xml:space="preserve">Vendor Name</t>
  </si>
  <si>
    <t xml:space="preserve">Invoice Number</t>
  </si>
  <si>
    <t xml:space="preserve">Batch</t>
  </si>
  <si>
    <t xml:space="preserve">Expiry</t>
  </si>
  <si>
    <t xml:space="preserve">Purchase Rate (₹)</t>
  </si>
  <si>
    <t xml:space="preserve">GST %</t>
  </si>
  <si>
    <t xml:space="preserve">Taxable Value (₹)</t>
  </si>
  <si>
    <t xml:space="preserve">GST Amount (₹)</t>
  </si>
  <si>
    <t xml:space="preserve">Line Total (₹)</t>
  </si>
  <si>
    <t xml:space="preserve">Example Pharma Distributors</t>
  </si>
  <si>
    <t xml:space="preserve">INV-0001</t>
  </si>
  <si>
    <t xml:space="preserve">B1234</t>
  </si>
  <si>
    <t xml:space="preserve">P778</t>
  </si>
  <si>
    <t xml:space="preserve">Category</t>
  </si>
  <si>
    <t xml:space="preserve">Item</t>
  </si>
  <si>
    <t xml:space="preserve">Unit</t>
  </si>
  <si>
    <t xml:space="preserve">Opening Stock</t>
  </si>
  <si>
    <t xml:space="preserve">Purchased Stock</t>
  </si>
  <si>
    <t xml:space="preserve">Sold Stock</t>
  </si>
  <si>
    <t xml:space="preserve">Adjusted (+/−)</t>
  </si>
  <si>
    <t xml:space="preserve">Available Stock</t>
  </si>
  <si>
    <t xml:space="preserve">Low Stock At</t>
  </si>
  <si>
    <t xml:space="preserve">Mounjaro 2.5mg</t>
  </si>
  <si>
    <t xml:space="preserve">pen</t>
  </si>
  <si>
    <t xml:space="preserve">Mounjaro 10mg</t>
  </si>
  <si>
    <t xml:space="preserve">Mounjaro 15mg</t>
  </si>
  <si>
    <t xml:space="preserve">Wegovy 0.25mg</t>
  </si>
  <si>
    <t xml:space="preserve">Wegovy 1mg</t>
  </si>
  <si>
    <t xml:space="preserve">Wegovy 2.4mg</t>
  </si>
  <si>
    <t xml:space="preserve">Ozempic 0.25mg</t>
  </si>
  <si>
    <t xml:space="preserve">Ozempic 1mg</t>
  </si>
  <si>
    <t xml:space="preserve">sachet</t>
  </si>
  <si>
    <t xml:space="preserve">Needles</t>
  </si>
  <si>
    <t xml:space="preserve">pcs</t>
  </si>
  <si>
    <t xml:space="preserve">Alcohol Swabs</t>
  </si>
  <si>
    <t xml:space="preserve">Insulin Syringes</t>
  </si>
  <si>
    <t xml:space="preserve">Ice Gel Packs</t>
  </si>
  <si>
    <t xml:space="preserve">Travel Bags</t>
  </si>
  <si>
    <t xml:space="preserve">Name</t>
  </si>
  <si>
    <t xml:space="preserve">Designation</t>
  </si>
  <si>
    <t xml:space="preserve">Mobile</t>
  </si>
  <si>
    <t xml:space="preserve">Salary (₹/month)</t>
  </si>
  <si>
    <t xml:space="preserve">Incentive Status</t>
  </si>
  <si>
    <t xml:space="preserve">Joining Date</t>
  </si>
  <si>
    <t xml:space="preserve">Counsellor</t>
  </si>
  <si>
    <t xml:space="preserve">On</t>
  </si>
  <si>
    <t xml:space="preserve">Active</t>
  </si>
  <si>
    <t xml:space="preserve">Incentive summary for the Dashboard period</t>
  </si>
  <si>
    <t xml:space="preserve">Team Member</t>
  </si>
  <si>
    <t xml:space="preserve">Injection Incentive (₹)</t>
  </si>
  <si>
    <t xml:space="preserve">Protein Incentive (₹)</t>
  </si>
  <si>
    <t xml:space="preserve">Diet Support Incentive (₹)</t>
  </si>
  <si>
    <t xml:space="preserve">Salary + Incentive for the month</t>
  </si>
  <si>
    <t xml:space="preserve">Month (any date in it)</t>
  </si>
  <si>
    <t xml:space="preserve">Employee</t>
  </si>
  <si>
    <t xml:space="preserve">Salary (₹)</t>
  </si>
  <si>
    <t xml:space="preserve">Incentive (₹)</t>
  </si>
  <si>
    <t xml:space="preserve">Salary + Incentive (₹)</t>
  </si>
  <si>
    <t xml:space="preserve">Book the amounts you pay in Expenses (categories Salary and Incentive) so they reduce profit.</t>
  </si>
  <si>
    <t xml:space="preserve">Note</t>
  </si>
  <si>
    <t xml:space="preserve">Rent</t>
  </si>
  <si>
    <t xml:space="preserve">EXAMPLE – September clinic rent</t>
  </si>
  <si>
    <t xml:space="preserve">Last Purchase Date</t>
  </si>
  <si>
    <t xml:space="preserve">Days Since</t>
  </si>
  <si>
    <t xml:space="preserve">Reminder</t>
  </si>
  <si>
    <t xml:space="preserve">Contacted</t>
  </si>
  <si>
    <t xml:space="preserve">Settings — prices, incentives and dropdown lists</t>
  </si>
  <si>
    <t xml:space="preserve">Blue values are inputs you can change. Every other sheet reads from here.</t>
  </si>
  <si>
    <t xml:space="preserve">Injection incentive (₹ per pen)</t>
  </si>
  <si>
    <t xml:space="preserve">Protein incentive (₹ per sale)</t>
  </si>
  <si>
    <t xml:space="preserve">Default shared-reference split</t>
  </si>
  <si>
    <t xml:space="preserve">Active patient = bought within (days)</t>
  </si>
  <si>
    <t xml:space="preserve">1st renewal reminder (days)</t>
  </si>
  <si>
    <t xml:space="preserve">2nd renewal reminder (days)</t>
  </si>
  <si>
    <t xml:space="preserve">Injection products</t>
  </si>
  <si>
    <t xml:space="preserve">Add new inventory categories in the empty cells below</t>
  </si>
  <si>
    <t xml:space="preserve">Sale Price (₹)</t>
  </si>
  <si>
    <t xml:space="preserve">Incentive Override (₹)</t>
  </si>
  <si>
    <t xml:space="preserve">Incentive Used (₹)</t>
  </si>
  <si>
    <t xml:space="preserve">Expense Categories</t>
  </si>
  <si>
    <t xml:space="preserve">Inventory Categories</t>
  </si>
  <si>
    <t xml:space="preserve">On / Off</t>
  </si>
  <si>
    <t xml:space="preserve">Yes / No</t>
  </si>
  <si>
    <t xml:space="preserve">Salary</t>
  </si>
  <si>
    <t xml:space="preserve">Yes</t>
  </si>
  <si>
    <t xml:space="preserve">Renewal</t>
  </si>
  <si>
    <t xml:space="preserve">Incentive</t>
  </si>
  <si>
    <t xml:space="preserve">Off</t>
  </si>
  <si>
    <t xml:space="preserve">Disabled</t>
  </si>
  <si>
    <t xml:space="preserve">No</t>
  </si>
  <si>
    <t xml:space="preserve">Electricity</t>
  </si>
  <si>
    <t xml:space="preserve">Courier</t>
  </si>
  <si>
    <t xml:space="preserve">Marketing</t>
  </si>
  <si>
    <t xml:space="preserve">Protein Purchase</t>
  </si>
  <si>
    <t xml:space="preserve">Injection Purchase</t>
  </si>
  <si>
    <t xml:space="preserve">Miscellaneous</t>
  </si>
  <si>
    <t xml:space="preserve">Protein products</t>
  </si>
  <si>
    <t xml:space="preserve">Diet support plans</t>
  </si>
  <si>
    <t xml:space="preserve">Price (₹)</t>
  </si>
  <si>
    <t xml:space="preserve">Months</t>
  </si>
  <si>
    <t xml:space="preserve">1 Month</t>
  </si>
  <si>
    <t xml:space="preserve">How to use this workbook</t>
  </si>
  <si>
    <t xml:space="preserve">1. White columns (blue text) = type here. Grey columns = automatic formulas; do not type over them.</t>
  </si>
  <si>
    <t xml:space="preserve">2. Enter sales in Injection Sales, Protein Sales and Diet Support; purchases in Purchases; costs in Expenses.</t>
  </si>
  <si>
    <t xml:space="preserve">3. Add every patient once in Patients and every team member once in Team: the dropdowns and reports use these names.</t>
  </si>
  <si>
    <t xml:space="preserve">4. Stock is automatic: Inventory = Opening + Purchased − Sold + Adjusted.</t>
  </si>
  <si>
    <t xml:space="preserve">5. Incentives are automatic: 100% to the reference, or split by Shared % (blank = 50-50) with a shared reference.</t>
  </si>
  <si>
    <t xml:space="preserve">6. Row 2 of each entry sheet (rows 2-3 in Purchases) is an EXAMPLE in blue text. Overwrite or delete its input cells before real use.</t>
  </si>
  <si>
    <t xml:space="preserve">7. Salary shows Salary + Incentive per month; book the amount paid in Expenses (categories Salary and Incentive).</t>
  </si>
  <si>
    <t xml:space="preserve">8. Dashboard period: change From / To on the Dashboard; Incentives follows the same period.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</si>
</sst>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#,##0"/>
    <numFmt numFmtId="167" formatCode="\₹#,##0;&quot;-₹&quot;#,##0;\-"/>
    <numFmt numFmtId="168" formatCode="@"/>
    <numFmt numFmtId="169" formatCode="0"/>
    <numFmt numFmtId="170" formatCode="0%"/>
    <numFmt numFmtId="171" formatCode="mmm\-yyyy"/>
    <numFmt numFmtId="172" formatCode="mmmm\ 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0A2F55"/>
      <name val="Arial"/>
      <family val="0"/>
      <charset val="1"/>
    </font>
    <font>
      <i val="true"/>
      <sz val="9"/>
      <color rgb="FF5D6B7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A2F55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0A2F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2F55"/>
        <bgColor rgb="FF333333"/>
      </patternFill>
    </fill>
    <fill>
      <patternFill patternType="solid">
        <fgColor rgb="FFE2ECF6"/>
        <bgColor rgb="FFEEF1F5"/>
      </patternFill>
    </fill>
    <fill>
      <patternFill patternType="solid">
        <fgColor rgb="FFEEF1F5"/>
        <bgColor rgb="FFE2ECF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BE4EE"/>
      </bottom>
      <diagonal/>
    </border>
    <border diagonalUp="false" diagonalDown="false">
      <left/>
      <right/>
      <top style="thin">
        <color rgb="FF0A2F5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1F8A5B"/>
      </font>
    </dxf>
    <dxf>
      <font>
        <name val="Arial"/>
        <charset val="1"/>
        <family val="0"/>
        <b val="1"/>
        <color rgb="FFC0392B"/>
      </font>
      <fill>
        <patternFill>
          <bgColor rgb="FFF8D7D3"/>
        </patternFill>
      </fill>
    </dxf>
    <dxf>
      <font>
        <name val="Arial"/>
        <charset val="1"/>
        <family val="0"/>
        <b val="1"/>
        <color rgb="FFB85A14"/>
      </font>
      <fill>
        <patternFill>
          <bgColor rgb="FFFCE8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D6F66"/>
      <rgbColor rgb="FF9999FF"/>
      <rgbColor rgb="FF993366"/>
      <rgbColor rgb="FFFCE8D5"/>
      <rgbColor rgb="FFE2ECF6"/>
      <rgbColor rgb="FF660066"/>
      <rgbColor rgb="FFFF8080"/>
      <rgbColor rgb="FF0066CC"/>
      <rgbColor rgb="FFDB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B85A14"/>
      <rgbColor rgb="FF5D6B7C"/>
      <rgbColor rgb="FF969696"/>
      <rgbColor rgb="FF0A2F55"/>
      <rgbColor rgb="FF1F8A5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1" t="s">
        <v>2</v>
      </c>
      <c r="C4" s="4" t="n">
        <f aca="true">DATE(YEAR(TODAY()),MONTH(TODAY()),1)</f>
        <v>46266</v>
      </c>
      <c r="D4" s="1"/>
      <c r="E4" s="1"/>
      <c r="F4" s="1"/>
    </row>
    <row r="5" customFormat="false" ht="15" hidden="false" customHeight="false" outlineLevel="0" collapsed="false">
      <c r="A5" s="1"/>
      <c r="B5" s="1" t="s">
        <v>3</v>
      </c>
      <c r="C5" s="4" t="n">
        <f aca="true">EOMONTH(TODAY(),0)</f>
        <v>46295</v>
      </c>
      <c r="D5" s="1"/>
      <c r="E5" s="1"/>
      <c r="F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15" hidden="false" customHeight="false" outlineLevel="0" collapsed="false">
      <c r="A7" s="1"/>
      <c r="B7" s="5" t="s">
        <v>4</v>
      </c>
      <c r="C7" s="6"/>
      <c r="D7" s="1"/>
      <c r="E7" s="5" t="s">
        <v>5</v>
      </c>
      <c r="F7" s="5" t="s">
        <v>6</v>
      </c>
    </row>
    <row r="8" customFormat="false" ht="15" hidden="false" customHeight="false" outlineLevel="0" collapsed="false">
      <c r="A8" s="1"/>
      <c r="B8" s="7" t="s">
        <v>7</v>
      </c>
      <c r="C8" s="8" t="n">
        <f aca="false">COUNTIFS('Injection Sales'!$A$2:$A$501,"&gt;="&amp;$C$4,'Injection Sales'!$A$2:$A$501,"&lt;="&amp;$C$5)+COUNTIFS('Protein Sales'!$A$2:$A$501,"&gt;="&amp;$C$4,'Protein Sales'!$A$2:$A$501,"&lt;="&amp;$C$5)+COUNTIFS('Diet Support'!$A$2:$A$501,"&gt;="&amp;$C$4,'Diet Support'!$A$2:$A$501,"&lt;="&amp;$C$5)</f>
        <v>3</v>
      </c>
      <c r="D8" s="1"/>
      <c r="E8" s="9" t="str">
        <f aca="false">Settings!$I$13</f>
        <v>Salary</v>
      </c>
      <c r="F8" s="10" t="n">
        <f aca="false">SUMIFS(Expenses!$C$2:$C$501,Expenses!$B$2:$B$501,E8,Expenses!$A$2:$A$501,"&gt;="&amp;$C$4,Expenses!$A$2:$A$501,"&lt;="&amp;$C$5)</f>
        <v>0</v>
      </c>
    </row>
    <row r="9" customFormat="false" ht="15" hidden="false" customHeight="false" outlineLevel="0" collapsed="false">
      <c r="A9" s="1"/>
      <c r="B9" s="7" t="s">
        <v>8</v>
      </c>
      <c r="C9" s="11" t="n">
        <f aca="false">SUMIFS('Injection Sales'!$G$2:$G$501,'Injection Sales'!$A$2:$A$501,"&gt;="&amp;$C$4,'Injection Sales'!$A$2:$A$501,"&lt;="&amp;$C$5)+SUMIFS('Protein Sales'!$F$2:$F$501,'Protein Sales'!$A$2:$A$501,"&gt;="&amp;$C$4,'Protein Sales'!$A$2:$A$501,"&lt;="&amp;$C$5)+SUMIFS('Diet Support'!$E$2:$E$501,'Diet Support'!$A$2:$A$501,"&gt;="&amp;$C$4,'Diet Support'!$A$2:$A$501,"&lt;="&amp;$C$5)</f>
        <v>14000</v>
      </c>
      <c r="D9" s="1"/>
      <c r="E9" s="9" t="str">
        <f aca="false">Settings!$I$14</f>
        <v>Incentive</v>
      </c>
      <c r="F9" s="10" t="n">
        <f aca="false">SUMIFS(Expenses!$C$2:$C$501,Expenses!$B$2:$B$501,E9,Expenses!$A$2:$A$501,"&gt;="&amp;$C$4,Expenses!$A$2:$A$501,"&lt;="&amp;$C$5)</f>
        <v>0</v>
      </c>
    </row>
    <row r="10" customFormat="false" ht="15" hidden="false" customHeight="false" outlineLevel="0" collapsed="false">
      <c r="A10" s="1"/>
      <c r="B10" s="7" t="s">
        <v>9</v>
      </c>
      <c r="C10" s="11" t="n">
        <f aca="false">SUMIFS(Expenses!$C$2:$C$501,Expenses!$A$2:$A$501,"&gt;="&amp;$C$4,Expenses!$A$2:$A$501,"&lt;="&amp;$C$5)</f>
        <v>15000</v>
      </c>
      <c r="D10" s="1"/>
      <c r="E10" s="9" t="str">
        <f aca="false">Settings!$I$15</f>
        <v>Rent</v>
      </c>
      <c r="F10" s="10" t="n">
        <f aca="false">SUMIFS(Expenses!$C$2:$C$501,Expenses!$B$2:$B$501,E10,Expenses!$A$2:$A$501,"&gt;="&amp;$C$4,Expenses!$A$2:$A$501,"&lt;="&amp;$C$5)</f>
        <v>15000</v>
      </c>
    </row>
    <row r="11" customFormat="false" ht="15" hidden="false" customHeight="false" outlineLevel="0" collapsed="false">
      <c r="A11" s="1"/>
      <c r="B11" s="7" t="s">
        <v>10</v>
      </c>
      <c r="C11" s="11" t="n">
        <f aca="false">C9-C10</f>
        <v>-1000</v>
      </c>
      <c r="D11" s="1"/>
      <c r="E11" s="9" t="str">
        <f aca="false">Settings!$I$16</f>
        <v>Electricity</v>
      </c>
      <c r="F11" s="10" t="n">
        <f aca="false">SUMIFS(Expenses!$C$2:$C$501,Expenses!$B$2:$B$501,E11,Expenses!$A$2:$A$501,"&gt;="&amp;$C$4,Expenses!$A$2:$A$501,"&lt;="&amp;$C$5)</f>
        <v>0</v>
      </c>
    </row>
    <row r="12" customFormat="false" ht="15" hidden="false" customHeight="false" outlineLevel="0" collapsed="false">
      <c r="A12" s="1"/>
      <c r="B12" s="7" t="s">
        <v>11</v>
      </c>
      <c r="C12" s="11" t="n">
        <f aca="false">SUMIFS('Injection Sales'!$G$2:$G$501,'Injection Sales'!$A$2:$A$501,"&gt;="&amp;$C$4,'Injection Sales'!$A$2:$A$501,"&lt;="&amp;$C$5)</f>
        <v>5000</v>
      </c>
      <c r="D12" s="1"/>
      <c r="E12" s="9" t="str">
        <f aca="false">Settings!$I$17</f>
        <v>Courier</v>
      </c>
      <c r="F12" s="10" t="n">
        <f aca="false">SUMIFS(Expenses!$C$2:$C$501,Expenses!$B$2:$B$501,E12,Expenses!$A$2:$A$501,"&gt;="&amp;$C$4,Expenses!$A$2:$A$501,"&lt;="&amp;$C$5)</f>
        <v>0</v>
      </c>
    </row>
    <row r="13" customFormat="false" ht="15" hidden="false" customHeight="false" outlineLevel="0" collapsed="false">
      <c r="A13" s="1"/>
      <c r="B13" s="7" t="s">
        <v>12</v>
      </c>
      <c r="C13" s="11" t="n">
        <f aca="false">SUMIFS('Protein Sales'!$F$2:$F$501,'Protein Sales'!$A$2:$A$501,"&gt;="&amp;$C$4,'Protein Sales'!$A$2:$A$501,"&lt;="&amp;$C$5)</f>
        <v>3000</v>
      </c>
      <c r="D13" s="1"/>
      <c r="E13" s="9" t="str">
        <f aca="false">Settings!$I$18</f>
        <v>Marketing</v>
      </c>
      <c r="F13" s="10" t="n">
        <f aca="false">SUMIFS(Expenses!$C$2:$C$501,Expenses!$B$2:$B$501,E13,Expenses!$A$2:$A$501,"&gt;="&amp;$C$4,Expenses!$A$2:$A$501,"&lt;="&amp;$C$5)</f>
        <v>0</v>
      </c>
    </row>
    <row r="14" customFormat="false" ht="15" hidden="false" customHeight="false" outlineLevel="0" collapsed="false">
      <c r="A14" s="1"/>
      <c r="B14" s="7" t="s">
        <v>13</v>
      </c>
      <c r="C14" s="11" t="n">
        <f aca="false">SUMIFS('Diet Support'!$E$2:$E$501,'Diet Support'!$A$2:$A$501,"&gt;="&amp;$C$4,'Diet Support'!$A$2:$A$501,"&lt;="&amp;$C$5)</f>
        <v>6000</v>
      </c>
      <c r="D14" s="1"/>
      <c r="E14" s="9" t="str">
        <f aca="false">Settings!$I$19</f>
        <v>Protein Purchase</v>
      </c>
      <c r="F14" s="10" t="n">
        <f aca="false">SUMIFS(Expenses!$C$2:$C$501,Expenses!$B$2:$B$501,E14,Expenses!$A$2:$A$501,"&gt;="&amp;$C$4,Expenses!$A$2:$A$501,"&lt;="&amp;$C$5)</f>
        <v>0</v>
      </c>
    </row>
    <row r="15" customFormat="false" ht="15" hidden="false" customHeight="false" outlineLevel="0" collapsed="false">
      <c r="A15" s="1"/>
      <c r="B15" s="1"/>
      <c r="C15" s="1"/>
      <c r="D15" s="1"/>
      <c r="E15" s="9" t="str">
        <f aca="false">Settings!$I$20</f>
        <v>Injection Purchase</v>
      </c>
      <c r="F15" s="10" t="n">
        <f aca="false">SUMIFS(Expenses!$C$2:$C$501,Expenses!$B$2:$B$501,E15,Expenses!$A$2:$A$501,"&gt;="&amp;$C$4,Expenses!$A$2:$A$501,"&lt;="&amp;$C$5)</f>
        <v>0</v>
      </c>
    </row>
    <row r="16" customFormat="false" ht="15" hidden="false" customHeight="false" outlineLevel="0" collapsed="false">
      <c r="A16" s="1"/>
      <c r="B16" s="5" t="s">
        <v>14</v>
      </c>
      <c r="C16" s="6"/>
      <c r="D16" s="1"/>
      <c r="E16" s="9" t="str">
        <f aca="false">Settings!$I$21</f>
        <v>Miscellaneous</v>
      </c>
      <c r="F16" s="10" t="n">
        <f aca="false">SUMIFS(Expenses!$C$2:$C$501,Expenses!$B$2:$B$501,E16,Expenses!$A$2:$A$501,"&gt;="&amp;$C$4,Expenses!$A$2:$A$501,"&lt;="&amp;$C$5)</f>
        <v>0</v>
      </c>
    </row>
    <row r="17" customFormat="false" ht="15" hidden="false" customHeight="false" outlineLevel="0" collapsed="false">
      <c r="A17" s="1"/>
      <c r="B17" s="7" t="s">
        <v>15</v>
      </c>
      <c r="C17" s="8" t="n">
        <f aca="false">COUNTA(Patients!$A$2:$A$501)</f>
        <v>1</v>
      </c>
      <c r="D17" s="1"/>
      <c r="E17" s="12" t="s">
        <v>16</v>
      </c>
      <c r="F17" s="13" t="n">
        <f aca="false">SUM(F8:F16)</f>
        <v>15000</v>
      </c>
    </row>
    <row r="18" customFormat="false" ht="15" hidden="false" customHeight="false" outlineLevel="0" collapsed="false">
      <c r="A18" s="1"/>
      <c r="B18" s="7" t="s">
        <v>17</v>
      </c>
      <c r="C18" s="8" t="n">
        <f aca="false">COUNTIFS('Injection Sales'!$A$2:$A$501,"&gt;="&amp;$C$4,'Injection Sales'!$A$2:$A$501,"&lt;="&amp;$C$5,'Injection Sales'!$D$2:$D$501,"New")</f>
        <v>1</v>
      </c>
      <c r="D18" s="1"/>
      <c r="E18" s="1"/>
      <c r="F18" s="1"/>
    </row>
    <row r="19" customFormat="false" ht="15" hidden="false" customHeight="false" outlineLevel="0" collapsed="false">
      <c r="A19" s="1"/>
      <c r="B19" s="7" t="s">
        <v>18</v>
      </c>
      <c r="C19" s="8" t="n">
        <f aca="false">COUNTIFS('Injection Sales'!$A$2:$A$501,"&gt;="&amp;$C$4,'Injection Sales'!$A$2:$A$501,"&lt;="&amp;$C$5,'Injection Sales'!$D$2:$D$501,"Renewal")</f>
        <v>0</v>
      </c>
      <c r="D19" s="1"/>
      <c r="E19" s="5" t="s">
        <v>19</v>
      </c>
      <c r="F19" s="5" t="s">
        <v>6</v>
      </c>
    </row>
    <row r="20" customFormat="false" ht="15" hidden="false" customHeight="false" outlineLevel="0" collapsed="false">
      <c r="A20" s="1"/>
      <c r="B20" s="7" t="s">
        <v>20</v>
      </c>
      <c r="C20" s="8" t="n">
        <f aca="false">COUNTIF(Patients!$I$2:$I$501,"Active")</f>
        <v>1</v>
      </c>
      <c r="D20" s="1"/>
      <c r="E20" s="9" t="s">
        <v>21</v>
      </c>
      <c r="F20" s="10" t="n">
        <f aca="false">C12</f>
        <v>5000</v>
      </c>
    </row>
    <row r="21" customFormat="false" ht="15" hidden="false" customHeight="false" outlineLevel="0" collapsed="false">
      <c r="A21" s="1"/>
      <c r="B21" s="1"/>
      <c r="C21" s="1"/>
      <c r="D21" s="1"/>
      <c r="E21" s="9" t="s">
        <v>22</v>
      </c>
      <c r="F21" s="10" t="n">
        <f aca="false">C13</f>
        <v>3000</v>
      </c>
    </row>
    <row r="22" customFormat="false" ht="15" hidden="false" customHeight="false" outlineLevel="0" collapsed="false">
      <c r="A22" s="1"/>
      <c r="B22" s="5" t="s">
        <v>23</v>
      </c>
      <c r="C22" s="6"/>
      <c r="D22" s="1"/>
      <c r="E22" s="9" t="s">
        <v>24</v>
      </c>
      <c r="F22" s="10" t="n">
        <f aca="false">C14</f>
        <v>6000</v>
      </c>
    </row>
    <row r="23" customFormat="false" ht="15" hidden="false" customHeight="false" outlineLevel="0" collapsed="false">
      <c r="A23" s="1"/>
      <c r="B23" s="7" t="s">
        <v>25</v>
      </c>
      <c r="C23" s="8" t="n">
        <f aca="false">COUNTIFS(Team!$A$2:$A$51,"&lt;&gt;",Team!$G$2:$G$51,"&lt;&gt;Disabled")</f>
        <v>1</v>
      </c>
      <c r="D23" s="1"/>
      <c r="E23" s="1"/>
      <c r="F23" s="1"/>
    </row>
    <row r="24" customFormat="false" ht="15" hidden="false" customHeight="false" outlineLevel="0" collapsed="false">
      <c r="A24" s="1"/>
      <c r="B24" s="7" t="s">
        <v>26</v>
      </c>
      <c r="C24" s="11" t="n">
        <f aca="false">Incentives!$E$55</f>
        <v>3500</v>
      </c>
      <c r="D24" s="1"/>
      <c r="E24" s="1"/>
      <c r="F24" s="1"/>
    </row>
    <row r="25" customFormat="false" ht="15" hidden="false" customHeight="false" outlineLevel="0" collapsed="false">
      <c r="A25" s="1"/>
      <c r="B25" s="7" t="s">
        <v>27</v>
      </c>
      <c r="C25" s="11" t="n">
        <f aca="false">SUMIFS(Team!$D$2:$D$51,Team!$G$2:$G$51,"&lt;&gt;Disabled")</f>
        <v>25000</v>
      </c>
      <c r="D25" s="1"/>
      <c r="E25" s="1"/>
      <c r="F25" s="1"/>
    </row>
    <row r="26" customFormat="false" ht="15" hidden="false" customHeight="false" outlineLevel="0" collapsed="false">
      <c r="A26" s="1"/>
      <c r="B26" s="7" t="s">
        <v>28</v>
      </c>
      <c r="C26" s="14" t="str">
        <f aca="false">IF(MAX(Incentives!$E$5:$E$54)&lt;=0,"—",INDEX(Incentives!$A$5:$A$54,MATCH(MAX(Incentives!$E$5:$E$54),Incentives!$E$5:$E$54,0)))</f>
        <v>Murshida</v>
      </c>
      <c r="D26" s="1"/>
      <c r="E26" s="1"/>
      <c r="F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</row>
    <row r="28" customFormat="false" ht="15" hidden="false" customHeight="false" outlineLevel="0" collapsed="false">
      <c r="A28" s="1"/>
      <c r="B28" s="5" t="s">
        <v>29</v>
      </c>
      <c r="C28" s="6"/>
      <c r="D28" s="1"/>
      <c r="E28" s="1"/>
      <c r="F28" s="1"/>
    </row>
    <row r="29" customFormat="false" ht="15" hidden="false" customHeight="false" outlineLevel="0" collapsed="false">
      <c r="A29" s="1"/>
      <c r="B29" s="7" t="s">
        <v>30</v>
      </c>
      <c r="C29" s="8" t="n">
        <f aca="false">SUMIFS(Inventory!$H$2:$H$101,Inventory!$A$2:$A$101,"Injection")</f>
        <v>1</v>
      </c>
      <c r="D29" s="1"/>
      <c r="E29" s="1"/>
      <c r="F29" s="1"/>
    </row>
    <row r="30" customFormat="false" ht="15" hidden="false" customHeight="false" outlineLevel="0" collapsed="false">
      <c r="A30" s="1"/>
      <c r="B30" s="7" t="s">
        <v>31</v>
      </c>
      <c r="C30" s="8" t="n">
        <f aca="false">SUMIFS(Inventory!$H$2:$H$101,Inventory!$A$2:$A$101,"Protein")</f>
        <v>70</v>
      </c>
      <c r="D30" s="1"/>
      <c r="E30" s="1"/>
      <c r="F30" s="1"/>
    </row>
    <row r="31" customFormat="false" ht="15" hidden="false" customHeight="false" outlineLevel="0" collapsed="false">
      <c r="A31" s="1"/>
      <c r="B31" s="7" t="s">
        <v>32</v>
      </c>
      <c r="C31" s="8" t="n">
        <f aca="false">COUNTIF(Inventory!$J$2:$J$101,"LOW")</f>
        <v>14</v>
      </c>
      <c r="D31" s="1"/>
      <c r="E31" s="1"/>
      <c r="F31" s="1"/>
    </row>
    <row r="32" customFormat="false" ht="15" hidden="false" customHeight="false" outlineLevel="0" collapsed="false">
      <c r="A32" s="1"/>
      <c r="B32" s="7" t="s">
        <v>33</v>
      </c>
      <c r="C32" s="8" t="n">
        <f aca="false">SUMIFS(Inventory!$H$2:$H$101,Inventory!$A$2:$A$101,"Needles")</f>
        <v>0</v>
      </c>
      <c r="D32" s="1"/>
      <c r="E32" s="1"/>
      <c r="F32" s="1"/>
    </row>
    <row r="33" customFormat="false" ht="15" hidden="false" customHeight="false" outlineLevel="0" collapsed="false">
      <c r="A33" s="1"/>
      <c r="B33" s="7" t="s">
        <v>34</v>
      </c>
      <c r="C33" s="8" t="n">
        <f aca="false">SUMIFS(Inventory!$H$2:$H$101,Inventory!$A$2:$A$101,"Alcohol Swabs")</f>
        <v>0</v>
      </c>
      <c r="D33" s="1"/>
      <c r="E33" s="1"/>
      <c r="F33" s="1"/>
    </row>
    <row r="34" customFormat="false" ht="15" hidden="false" customHeight="false" outlineLevel="0" collapsed="false">
      <c r="A34" s="1"/>
      <c r="B34" s="7" t="s">
        <v>35</v>
      </c>
      <c r="C34" s="8" t="n">
        <f aca="false">SUMIFS(Inventory!$H$2:$H$101,Inventory!$A$2:$A$101,"Insulin Syringes")</f>
        <v>0</v>
      </c>
      <c r="D34" s="1"/>
      <c r="E34" s="1"/>
      <c r="F34" s="1"/>
    </row>
    <row r="35" customFormat="false" ht="15" hidden="false" customHeight="false" outlineLevel="0" collapsed="false">
      <c r="A35" s="1"/>
      <c r="B35" s="7" t="s">
        <v>36</v>
      </c>
      <c r="C35" s="8" t="n">
        <f aca="false">COUNTIFS(Renewals!$F$2:$F$501,"*Day",Renewals!$H$2:$H$501,"&lt;&gt;Yes")</f>
        <v>0</v>
      </c>
      <c r="D35" s="1"/>
      <c r="E35" s="1"/>
      <c r="F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</sheetData>
  <conditionalFormatting sqref="C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C31">
    <cfRule type="cellIs" priority="4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</row>
    <row r="2" customFormat="false" ht="15" hidden="false" customHeight="false" outlineLevel="0" collapsed="false">
      <c r="A2" s="16" t="s">
        <v>46</v>
      </c>
      <c r="B2" s="17" t="s">
        <v>47</v>
      </c>
      <c r="C2" s="18" t="n">
        <f aca="false">IF(OR(A2="",COUNTIF('Injection Sales'!$B$2:$B$501,A2)+COUNTIF('Protein Sales'!$B$2:$B$501,A2)+COUNTIF('Diet Support'!$B$2:$B$501,A2)=0),"",MIN(IF(COUNTIF('Injection Sales'!$B$2:$B$501,A2),_xlfn.MINIFS('Injection Sales'!$A$2:$A$501,'Injection Sales'!$B$2:$B$501,A2),99999),IF(COUNTIF('Protein Sales'!$B$2:$B$501,A2),_xlfn.MINIFS('Protein Sales'!$A$2:$A$501,'Protein Sales'!$B$2:$B$501,A2),99999),IF(COUNTIF('Diet Support'!$B$2:$B$501,A2),_xlfn.MINIFS('Diet Support'!$A$2:$A$501,'Diet Support'!$B$2:$B$501,A2),99999)))</f>
        <v>46266</v>
      </c>
      <c r="D2" s="18" t="n">
        <f aca="false">IF(OR(A2="",COUNTIF('Injection Sales'!$B$2:$B$501,A2)+COUNTIF('Protein Sales'!$B$2:$B$501,A2)+COUNTIF('Diet Support'!$B$2:$B$501,A2)=0),"",MAX(_xlfn.MAXIFS('Injection Sales'!$A$2:$A$501,'Injection Sales'!$B$2:$B$501,A2),_xlfn.MAXIFS('Protein Sales'!$A$2:$A$501,'Protein Sales'!$B$2:$B$501,A2),_xlfn.MAXIFS('Diet Support'!$A$2:$A$501,'Diet Support'!$B$2:$B$501,A2)))</f>
        <v>46268</v>
      </c>
      <c r="E2" s="19" t="n">
        <f aca="false">IF(A2="","",COUNTIF('Injection Sales'!$B$2:$B$501,A2)+COUNTIF('Protein Sales'!$B$2:$B$501,A2)+COUNTIF('Diet Support'!$B$2:$B$501,A2))</f>
        <v>3</v>
      </c>
      <c r="F2" s="20" t="n">
        <f aca="false">IF(A2="","",SUMIF('Injection Sales'!$B$2:$B$501,A2,'Injection Sales'!$G$2:$G$501)+SUMIF('Protein Sales'!$B$2:$B$501,A2,'Protein Sales'!$F$2:$F$501)+SUMIF('Diet Support'!$B$2:$B$501,A2,'Diet Support'!$E$2:$E$501))</f>
        <v>14000</v>
      </c>
      <c r="G2" s="21" t="str">
        <f aca="false">IF(OR(A2="",COUNTIF('Injection Sales'!$B$2:$B$501,A2)=0),"",IFERROR(LOOKUP(2,1/(('Injection Sales'!$B$2:$B$501=A2)*('Injection Sales'!$A$2:$A$501=_xlfn.MAXIFS('Injection Sales'!$A$2:$A$501,'Injection Sales'!$B$2:$B$501,A2))),'Injection Sales'!$E$2:$E$501),""))</f>
        <v>Mounjaro 5mg</v>
      </c>
      <c r="H2" s="21" t="str">
        <f aca="false">IF(OR(A2="",COUNTIF('Injection Sales'!$B$2:$B$501,A2)=0),"",IFERROR(LOOKUP(2,1/(('Injection Sales'!$B$2:$B$501=A2)*('Injection Sales'!$A$2:$A$501=_xlfn.MAXIFS('Injection Sales'!$A$2:$A$501,'Injection Sales'!$B$2:$B$501,A2))),'Injection Sales'!$H$2:$H$501),""))</f>
        <v>Murshida</v>
      </c>
      <c r="I2" s="21" t="str">
        <f aca="true">IF(OR(A2="",D2=""),"",IF(TODAY()-D2&lt;=Settings!$B$7,"Active","Inactive"))</f>
        <v>Active</v>
      </c>
    </row>
    <row r="3" customFormat="false" ht="15" hidden="false" customHeight="false" outlineLevel="0" collapsed="false">
      <c r="A3" s="1"/>
      <c r="B3" s="22"/>
      <c r="C3" s="18" t="str">
        <f aca="false">IF(OR(A3="",COUNTIF('Injection Sales'!$B$2:$B$501,A3)+COUNTIF('Protein Sales'!$B$2:$B$501,A3)+COUNTIF('Diet Support'!$B$2:$B$501,A3)=0),"",MIN(IF(COUNTIF('Injection Sales'!$B$2:$B$501,A3),_xlfn.MINIFS('Injection Sales'!$A$2:$A$501,'Injection Sales'!$B$2:$B$501,A3),99999),IF(COUNTIF('Protein Sales'!$B$2:$B$501,A3),_xlfn.MINIFS('Protein Sales'!$A$2:$A$501,'Protein Sales'!$B$2:$B$501,A3),99999),IF(COUNTIF('Diet Support'!$B$2:$B$501,A3),_xlfn.MINIFS('Diet Support'!$A$2:$A$501,'Diet Support'!$B$2:$B$501,A3),99999)))</f>
        <v/>
      </c>
      <c r="D3" s="18" t="str">
        <f aca="false">IF(OR(A3="",COUNTIF('Injection Sales'!$B$2:$B$501,A3)+COUNTIF('Protein Sales'!$B$2:$B$501,A3)+COUNTIF('Diet Support'!$B$2:$B$501,A3)=0),"",MAX(_xlfn.MAXIFS('Injection Sales'!$A$2:$A$501,'Injection Sales'!$B$2:$B$501,A3),_xlfn.MAXIFS('Protein Sales'!$A$2:$A$501,'Protein Sales'!$B$2:$B$501,A3),_xlfn.MAXIFS('Diet Support'!$A$2:$A$501,'Diet Support'!$B$2:$B$501,A3)))</f>
        <v/>
      </c>
      <c r="E3" s="19" t="str">
        <f aca="false">IF(A3="","",COUNTIF('Injection Sales'!$B$2:$B$501,A3)+COUNTIF('Protein Sales'!$B$2:$B$501,A3)+COUNTIF('Diet Support'!$B$2:$B$501,A3))</f>
        <v/>
      </c>
      <c r="F3" s="20" t="str">
        <f aca="false">IF(A3="","",SUMIF('Injection Sales'!$B$2:$B$501,A3,'Injection Sales'!$G$2:$G$501)+SUMIF('Protein Sales'!$B$2:$B$501,A3,'Protein Sales'!$F$2:$F$501)+SUMIF('Diet Support'!$B$2:$B$501,A3,'Diet Support'!$E$2:$E$501))</f>
        <v/>
      </c>
      <c r="G3" s="21" t="str">
        <f aca="false">IF(OR(A3="",COUNTIF('Injection Sales'!$B$2:$B$501,A3)=0),"",IFERROR(LOOKUP(2,1/(('Injection Sales'!$B$2:$B$501=A3)*('Injection Sales'!$A$2:$A$501=_xlfn.MAXIFS('Injection Sales'!$A$2:$A$501,'Injection Sales'!$B$2:$B$501,A3))),'Injection Sales'!$E$2:$E$501),""))</f>
        <v/>
      </c>
      <c r="H3" s="21" t="str">
        <f aca="false">IF(OR(A3="",COUNTIF('Injection Sales'!$B$2:$B$501,A3)=0),"",IFERROR(LOOKUP(2,1/(('Injection Sales'!$B$2:$B$501=A3)*('Injection Sales'!$A$2:$A$501=_xlfn.MAXIFS('Injection Sales'!$A$2:$A$501,'Injection Sales'!$B$2:$B$501,A3))),'Injection Sales'!$H$2:$H$501),""))</f>
        <v/>
      </c>
      <c r="I3" s="21" t="str">
        <f aca="true">IF(OR(A3="",D3=""),"",IF(TODAY()-D3&lt;=Settings!$B$7,"Active","Inactive"))</f>
        <v/>
      </c>
    </row>
    <row r="4" customFormat="false" ht="15" hidden="false" customHeight="false" outlineLevel="0" collapsed="false">
      <c r="A4" s="1"/>
      <c r="B4" s="22"/>
      <c r="C4" s="18" t="str">
        <f aca="false">IF(OR(A4="",COUNTIF('Injection Sales'!$B$2:$B$501,A4)+COUNTIF('Protein Sales'!$B$2:$B$501,A4)+COUNTIF('Diet Support'!$B$2:$B$501,A4)=0),"",MIN(IF(COUNTIF('Injection Sales'!$B$2:$B$501,A4),_xlfn.MINIFS('Injection Sales'!$A$2:$A$501,'Injection Sales'!$B$2:$B$501,A4),99999),IF(COUNTIF('Protein Sales'!$B$2:$B$501,A4),_xlfn.MINIFS('Protein Sales'!$A$2:$A$501,'Protein Sales'!$B$2:$B$501,A4),99999),IF(COUNTIF('Diet Support'!$B$2:$B$501,A4),_xlfn.MINIFS('Diet Support'!$A$2:$A$501,'Diet Support'!$B$2:$B$501,A4),99999)))</f>
        <v/>
      </c>
      <c r="D4" s="18" t="str">
        <f aca="false">IF(OR(A4="",COUNTIF('Injection Sales'!$B$2:$B$501,A4)+COUNTIF('Protein Sales'!$B$2:$B$501,A4)+COUNTIF('Diet Support'!$B$2:$B$501,A4)=0),"",MAX(_xlfn.MAXIFS('Injection Sales'!$A$2:$A$501,'Injection Sales'!$B$2:$B$501,A4),_xlfn.MAXIFS('Protein Sales'!$A$2:$A$501,'Protein Sales'!$B$2:$B$501,A4),_xlfn.MAXIFS('Diet Support'!$A$2:$A$501,'Diet Support'!$B$2:$B$501,A4)))</f>
        <v/>
      </c>
      <c r="E4" s="19" t="str">
        <f aca="false">IF(A4="","",COUNTIF('Injection Sales'!$B$2:$B$501,A4)+COUNTIF('Protein Sales'!$B$2:$B$501,A4)+COUNTIF('Diet Support'!$B$2:$B$501,A4))</f>
        <v/>
      </c>
      <c r="F4" s="20" t="str">
        <f aca="false">IF(A4="","",SUMIF('Injection Sales'!$B$2:$B$501,A4,'Injection Sales'!$G$2:$G$501)+SUMIF('Protein Sales'!$B$2:$B$501,A4,'Protein Sales'!$F$2:$F$501)+SUMIF('Diet Support'!$B$2:$B$501,A4,'Diet Support'!$E$2:$E$501))</f>
        <v/>
      </c>
      <c r="G4" s="21" t="str">
        <f aca="false">IF(OR(A4="",COUNTIF('Injection Sales'!$B$2:$B$501,A4)=0),"",IFERROR(LOOKUP(2,1/(('Injection Sales'!$B$2:$B$501=A4)*('Injection Sales'!$A$2:$A$501=_xlfn.MAXIFS('Injection Sales'!$A$2:$A$501,'Injection Sales'!$B$2:$B$501,A4))),'Injection Sales'!$E$2:$E$501),""))</f>
        <v/>
      </c>
      <c r="H4" s="21" t="str">
        <f aca="false">IF(OR(A4="",COUNTIF('Injection Sales'!$B$2:$B$501,A4)=0),"",IFERROR(LOOKUP(2,1/(('Injection Sales'!$B$2:$B$501=A4)*('Injection Sales'!$A$2:$A$501=_xlfn.MAXIFS('Injection Sales'!$A$2:$A$501,'Injection Sales'!$B$2:$B$501,A4))),'Injection Sales'!$H$2:$H$501),""))</f>
        <v/>
      </c>
      <c r="I4" s="21" t="str">
        <f aca="true">IF(OR(A4="",D4=""),"",IF(TODAY()-D4&lt;=Settings!$B$7,"Active","Inactive"))</f>
        <v/>
      </c>
    </row>
    <row r="5" customFormat="false" ht="15" hidden="false" customHeight="false" outlineLevel="0" collapsed="false">
      <c r="A5" s="1"/>
      <c r="B5" s="22"/>
      <c r="C5" s="18" t="str">
        <f aca="false">IF(OR(A5="",COUNTIF('Injection Sales'!$B$2:$B$501,A5)+COUNTIF('Protein Sales'!$B$2:$B$501,A5)+COUNTIF('Diet Support'!$B$2:$B$501,A5)=0),"",MIN(IF(COUNTIF('Injection Sales'!$B$2:$B$501,A5),_xlfn.MINIFS('Injection Sales'!$A$2:$A$501,'Injection Sales'!$B$2:$B$501,A5),99999),IF(COUNTIF('Protein Sales'!$B$2:$B$501,A5),_xlfn.MINIFS('Protein Sales'!$A$2:$A$501,'Protein Sales'!$B$2:$B$501,A5),99999),IF(COUNTIF('Diet Support'!$B$2:$B$501,A5),_xlfn.MINIFS('Diet Support'!$A$2:$A$501,'Diet Support'!$B$2:$B$501,A5),99999)))</f>
        <v/>
      </c>
      <c r="D5" s="18" t="str">
        <f aca="false">IF(OR(A5="",COUNTIF('Injection Sales'!$B$2:$B$501,A5)+COUNTIF('Protein Sales'!$B$2:$B$501,A5)+COUNTIF('Diet Support'!$B$2:$B$501,A5)=0),"",MAX(_xlfn.MAXIFS('Injection Sales'!$A$2:$A$501,'Injection Sales'!$B$2:$B$501,A5),_xlfn.MAXIFS('Protein Sales'!$A$2:$A$501,'Protein Sales'!$B$2:$B$501,A5),_xlfn.MAXIFS('Diet Support'!$A$2:$A$501,'Diet Support'!$B$2:$B$501,A5)))</f>
        <v/>
      </c>
      <c r="E5" s="19" t="str">
        <f aca="false">IF(A5="","",COUNTIF('Injection Sales'!$B$2:$B$501,A5)+COUNTIF('Protein Sales'!$B$2:$B$501,A5)+COUNTIF('Diet Support'!$B$2:$B$501,A5))</f>
        <v/>
      </c>
      <c r="F5" s="20" t="str">
        <f aca="false">IF(A5="","",SUMIF('Injection Sales'!$B$2:$B$501,A5,'Injection Sales'!$G$2:$G$501)+SUMIF('Protein Sales'!$B$2:$B$501,A5,'Protein Sales'!$F$2:$F$501)+SUMIF('Diet Support'!$B$2:$B$501,A5,'Diet Support'!$E$2:$E$501))</f>
        <v/>
      </c>
      <c r="G5" s="21" t="str">
        <f aca="false">IF(OR(A5="",COUNTIF('Injection Sales'!$B$2:$B$501,A5)=0),"",IFERROR(LOOKUP(2,1/(('Injection Sales'!$B$2:$B$501=A5)*('Injection Sales'!$A$2:$A$501=_xlfn.MAXIFS('Injection Sales'!$A$2:$A$501,'Injection Sales'!$B$2:$B$501,A5))),'Injection Sales'!$E$2:$E$501),""))</f>
        <v/>
      </c>
      <c r="H5" s="21" t="str">
        <f aca="false">IF(OR(A5="",COUNTIF('Injection Sales'!$B$2:$B$501,A5)=0),"",IFERROR(LOOKUP(2,1/(('Injection Sales'!$B$2:$B$501=A5)*('Injection Sales'!$A$2:$A$501=_xlfn.MAXIFS('Injection Sales'!$A$2:$A$501,'Injection Sales'!$B$2:$B$501,A5))),'Injection Sales'!$H$2:$H$501),""))</f>
        <v/>
      </c>
      <c r="I5" s="21" t="str">
        <f aca="true">IF(OR(A5="",D5=""),"",IF(TODAY()-D5&lt;=Settings!$B$7,"Active","Inactive"))</f>
        <v/>
      </c>
    </row>
    <row r="6" customFormat="false" ht="15" hidden="false" customHeight="false" outlineLevel="0" collapsed="false">
      <c r="A6" s="1"/>
      <c r="B6" s="22"/>
      <c r="C6" s="18" t="str">
        <f aca="false">IF(OR(A6="",COUNTIF('Injection Sales'!$B$2:$B$501,A6)+COUNTIF('Protein Sales'!$B$2:$B$501,A6)+COUNTIF('Diet Support'!$B$2:$B$501,A6)=0),"",MIN(IF(COUNTIF('Injection Sales'!$B$2:$B$501,A6),_xlfn.MINIFS('Injection Sales'!$A$2:$A$501,'Injection Sales'!$B$2:$B$501,A6),99999),IF(COUNTIF('Protein Sales'!$B$2:$B$501,A6),_xlfn.MINIFS('Protein Sales'!$A$2:$A$501,'Protein Sales'!$B$2:$B$501,A6),99999),IF(COUNTIF('Diet Support'!$B$2:$B$501,A6),_xlfn.MINIFS('Diet Support'!$A$2:$A$501,'Diet Support'!$B$2:$B$501,A6),99999)))</f>
        <v/>
      </c>
      <c r="D6" s="18" t="str">
        <f aca="false">IF(OR(A6="",COUNTIF('Injection Sales'!$B$2:$B$501,A6)+COUNTIF('Protein Sales'!$B$2:$B$501,A6)+COUNTIF('Diet Support'!$B$2:$B$501,A6)=0),"",MAX(_xlfn.MAXIFS('Injection Sales'!$A$2:$A$501,'Injection Sales'!$B$2:$B$501,A6),_xlfn.MAXIFS('Protein Sales'!$A$2:$A$501,'Protein Sales'!$B$2:$B$501,A6),_xlfn.MAXIFS('Diet Support'!$A$2:$A$501,'Diet Support'!$B$2:$B$501,A6)))</f>
        <v/>
      </c>
      <c r="E6" s="19" t="str">
        <f aca="false">IF(A6="","",COUNTIF('Injection Sales'!$B$2:$B$501,A6)+COUNTIF('Protein Sales'!$B$2:$B$501,A6)+COUNTIF('Diet Support'!$B$2:$B$501,A6))</f>
        <v/>
      </c>
      <c r="F6" s="20" t="str">
        <f aca="false">IF(A6="","",SUMIF('Injection Sales'!$B$2:$B$501,A6,'Injection Sales'!$G$2:$G$501)+SUMIF('Protein Sales'!$B$2:$B$501,A6,'Protein Sales'!$F$2:$F$501)+SUMIF('Diet Support'!$B$2:$B$501,A6,'Diet Support'!$E$2:$E$501))</f>
        <v/>
      </c>
      <c r="G6" s="21" t="str">
        <f aca="false">IF(OR(A6="",COUNTIF('Injection Sales'!$B$2:$B$501,A6)=0),"",IFERROR(LOOKUP(2,1/(('Injection Sales'!$B$2:$B$501=A6)*('Injection Sales'!$A$2:$A$501=_xlfn.MAXIFS('Injection Sales'!$A$2:$A$501,'Injection Sales'!$B$2:$B$501,A6))),'Injection Sales'!$E$2:$E$501),""))</f>
        <v/>
      </c>
      <c r="H6" s="21" t="str">
        <f aca="false">IF(OR(A6="",COUNTIF('Injection Sales'!$B$2:$B$501,A6)=0),"",IFERROR(LOOKUP(2,1/(('Injection Sales'!$B$2:$B$501=A6)*('Injection Sales'!$A$2:$A$501=_xlfn.MAXIFS('Injection Sales'!$A$2:$A$501,'Injection Sales'!$B$2:$B$501,A6))),'Injection Sales'!$H$2:$H$501),""))</f>
        <v/>
      </c>
      <c r="I6" s="21" t="str">
        <f aca="true">IF(OR(A6="",D6=""),"",IF(TODAY()-D6&lt;=Settings!$B$7,"Active","Inactive"))</f>
        <v/>
      </c>
    </row>
    <row r="7" customFormat="false" ht="15" hidden="false" customHeight="false" outlineLevel="0" collapsed="false">
      <c r="A7" s="1"/>
      <c r="B7" s="22"/>
      <c r="C7" s="18" t="str">
        <f aca="false">IF(OR(A7="",COUNTIF('Injection Sales'!$B$2:$B$501,A7)+COUNTIF('Protein Sales'!$B$2:$B$501,A7)+COUNTIF('Diet Support'!$B$2:$B$501,A7)=0),"",MIN(IF(COUNTIF('Injection Sales'!$B$2:$B$501,A7),_xlfn.MINIFS('Injection Sales'!$A$2:$A$501,'Injection Sales'!$B$2:$B$501,A7),99999),IF(COUNTIF('Protein Sales'!$B$2:$B$501,A7),_xlfn.MINIFS('Protein Sales'!$A$2:$A$501,'Protein Sales'!$B$2:$B$501,A7),99999),IF(COUNTIF('Diet Support'!$B$2:$B$501,A7),_xlfn.MINIFS('Diet Support'!$A$2:$A$501,'Diet Support'!$B$2:$B$501,A7),99999)))</f>
        <v/>
      </c>
      <c r="D7" s="18" t="str">
        <f aca="false">IF(OR(A7="",COUNTIF('Injection Sales'!$B$2:$B$501,A7)+COUNTIF('Protein Sales'!$B$2:$B$501,A7)+COUNTIF('Diet Support'!$B$2:$B$501,A7)=0),"",MAX(_xlfn.MAXIFS('Injection Sales'!$A$2:$A$501,'Injection Sales'!$B$2:$B$501,A7),_xlfn.MAXIFS('Protein Sales'!$A$2:$A$501,'Protein Sales'!$B$2:$B$501,A7),_xlfn.MAXIFS('Diet Support'!$A$2:$A$501,'Diet Support'!$B$2:$B$501,A7)))</f>
        <v/>
      </c>
      <c r="E7" s="19" t="str">
        <f aca="false">IF(A7="","",COUNTIF('Injection Sales'!$B$2:$B$501,A7)+COUNTIF('Protein Sales'!$B$2:$B$501,A7)+COUNTIF('Diet Support'!$B$2:$B$501,A7))</f>
        <v/>
      </c>
      <c r="F7" s="20" t="str">
        <f aca="false">IF(A7="","",SUMIF('Injection Sales'!$B$2:$B$501,A7,'Injection Sales'!$G$2:$G$501)+SUMIF('Protein Sales'!$B$2:$B$501,A7,'Protein Sales'!$F$2:$F$501)+SUMIF('Diet Support'!$B$2:$B$501,A7,'Diet Support'!$E$2:$E$501))</f>
        <v/>
      </c>
      <c r="G7" s="21" t="str">
        <f aca="false">IF(OR(A7="",COUNTIF('Injection Sales'!$B$2:$B$501,A7)=0),"",IFERROR(LOOKUP(2,1/(('Injection Sales'!$B$2:$B$501=A7)*('Injection Sales'!$A$2:$A$501=_xlfn.MAXIFS('Injection Sales'!$A$2:$A$501,'Injection Sales'!$B$2:$B$501,A7))),'Injection Sales'!$E$2:$E$501),""))</f>
        <v/>
      </c>
      <c r="H7" s="21" t="str">
        <f aca="false">IF(OR(A7="",COUNTIF('Injection Sales'!$B$2:$B$501,A7)=0),"",IFERROR(LOOKUP(2,1/(('Injection Sales'!$B$2:$B$501=A7)*('Injection Sales'!$A$2:$A$501=_xlfn.MAXIFS('Injection Sales'!$A$2:$A$501,'Injection Sales'!$B$2:$B$501,A7))),'Injection Sales'!$H$2:$H$501),""))</f>
        <v/>
      </c>
      <c r="I7" s="21" t="str">
        <f aca="true">IF(OR(A7="",D7=""),"",IF(TODAY()-D7&lt;=Settings!$B$7,"Active","Inactive"))</f>
        <v/>
      </c>
    </row>
    <row r="8" customFormat="false" ht="15" hidden="false" customHeight="false" outlineLevel="0" collapsed="false">
      <c r="A8" s="1"/>
      <c r="B8" s="22"/>
      <c r="C8" s="18" t="str">
        <f aca="false">IF(OR(A8="",COUNTIF('Injection Sales'!$B$2:$B$501,A8)+COUNTIF('Protein Sales'!$B$2:$B$501,A8)+COUNTIF('Diet Support'!$B$2:$B$501,A8)=0),"",MIN(IF(COUNTIF('Injection Sales'!$B$2:$B$501,A8),_xlfn.MINIFS('Injection Sales'!$A$2:$A$501,'Injection Sales'!$B$2:$B$501,A8),99999),IF(COUNTIF('Protein Sales'!$B$2:$B$501,A8),_xlfn.MINIFS('Protein Sales'!$A$2:$A$501,'Protein Sales'!$B$2:$B$501,A8),99999),IF(COUNTIF('Diet Support'!$B$2:$B$501,A8),_xlfn.MINIFS('Diet Support'!$A$2:$A$501,'Diet Support'!$B$2:$B$501,A8),99999)))</f>
        <v/>
      </c>
      <c r="D8" s="18" t="str">
        <f aca="false">IF(OR(A8="",COUNTIF('Injection Sales'!$B$2:$B$501,A8)+COUNTIF('Protein Sales'!$B$2:$B$501,A8)+COUNTIF('Diet Support'!$B$2:$B$501,A8)=0),"",MAX(_xlfn.MAXIFS('Injection Sales'!$A$2:$A$501,'Injection Sales'!$B$2:$B$501,A8),_xlfn.MAXIFS('Protein Sales'!$A$2:$A$501,'Protein Sales'!$B$2:$B$501,A8),_xlfn.MAXIFS('Diet Support'!$A$2:$A$501,'Diet Support'!$B$2:$B$501,A8)))</f>
        <v/>
      </c>
      <c r="E8" s="19" t="str">
        <f aca="false">IF(A8="","",COUNTIF('Injection Sales'!$B$2:$B$501,A8)+COUNTIF('Protein Sales'!$B$2:$B$501,A8)+COUNTIF('Diet Support'!$B$2:$B$501,A8))</f>
        <v/>
      </c>
      <c r="F8" s="20" t="str">
        <f aca="false">IF(A8="","",SUMIF('Injection Sales'!$B$2:$B$501,A8,'Injection Sales'!$G$2:$G$501)+SUMIF('Protein Sales'!$B$2:$B$501,A8,'Protein Sales'!$F$2:$F$501)+SUMIF('Diet Support'!$B$2:$B$501,A8,'Diet Support'!$E$2:$E$501))</f>
        <v/>
      </c>
      <c r="G8" s="21" t="str">
        <f aca="false">IF(OR(A8="",COUNTIF('Injection Sales'!$B$2:$B$501,A8)=0),"",IFERROR(LOOKUP(2,1/(('Injection Sales'!$B$2:$B$501=A8)*('Injection Sales'!$A$2:$A$501=_xlfn.MAXIFS('Injection Sales'!$A$2:$A$501,'Injection Sales'!$B$2:$B$501,A8))),'Injection Sales'!$E$2:$E$501),""))</f>
        <v/>
      </c>
      <c r="H8" s="21" t="str">
        <f aca="false">IF(OR(A8="",COUNTIF('Injection Sales'!$B$2:$B$501,A8)=0),"",IFERROR(LOOKUP(2,1/(('Injection Sales'!$B$2:$B$501=A8)*('Injection Sales'!$A$2:$A$501=_xlfn.MAXIFS('Injection Sales'!$A$2:$A$501,'Injection Sales'!$B$2:$B$501,A8))),'Injection Sales'!$H$2:$H$501),""))</f>
        <v/>
      </c>
      <c r="I8" s="21" t="str">
        <f aca="true">IF(OR(A8="",D8=""),"",IF(TODAY()-D8&lt;=Settings!$B$7,"Active","Inactive"))</f>
        <v/>
      </c>
    </row>
    <row r="9" customFormat="false" ht="15" hidden="false" customHeight="false" outlineLevel="0" collapsed="false">
      <c r="A9" s="1"/>
      <c r="B9" s="22"/>
      <c r="C9" s="18" t="str">
        <f aca="false">IF(OR(A9="",COUNTIF('Injection Sales'!$B$2:$B$501,A9)+COUNTIF('Protein Sales'!$B$2:$B$501,A9)+COUNTIF('Diet Support'!$B$2:$B$501,A9)=0),"",MIN(IF(COUNTIF('Injection Sales'!$B$2:$B$501,A9),_xlfn.MINIFS('Injection Sales'!$A$2:$A$501,'Injection Sales'!$B$2:$B$501,A9),99999),IF(COUNTIF('Protein Sales'!$B$2:$B$501,A9),_xlfn.MINIFS('Protein Sales'!$A$2:$A$501,'Protein Sales'!$B$2:$B$501,A9),99999),IF(COUNTIF('Diet Support'!$B$2:$B$501,A9),_xlfn.MINIFS('Diet Support'!$A$2:$A$501,'Diet Support'!$B$2:$B$501,A9),99999)))</f>
        <v/>
      </c>
      <c r="D9" s="18" t="str">
        <f aca="false">IF(OR(A9="",COUNTIF('Injection Sales'!$B$2:$B$501,A9)+COUNTIF('Protein Sales'!$B$2:$B$501,A9)+COUNTIF('Diet Support'!$B$2:$B$501,A9)=0),"",MAX(_xlfn.MAXIFS('Injection Sales'!$A$2:$A$501,'Injection Sales'!$B$2:$B$501,A9),_xlfn.MAXIFS('Protein Sales'!$A$2:$A$501,'Protein Sales'!$B$2:$B$501,A9),_xlfn.MAXIFS('Diet Support'!$A$2:$A$501,'Diet Support'!$B$2:$B$501,A9)))</f>
        <v/>
      </c>
      <c r="E9" s="19" t="str">
        <f aca="false">IF(A9="","",COUNTIF('Injection Sales'!$B$2:$B$501,A9)+COUNTIF('Protein Sales'!$B$2:$B$501,A9)+COUNTIF('Diet Support'!$B$2:$B$501,A9))</f>
        <v/>
      </c>
      <c r="F9" s="20" t="str">
        <f aca="false">IF(A9="","",SUMIF('Injection Sales'!$B$2:$B$501,A9,'Injection Sales'!$G$2:$G$501)+SUMIF('Protein Sales'!$B$2:$B$501,A9,'Protein Sales'!$F$2:$F$501)+SUMIF('Diet Support'!$B$2:$B$501,A9,'Diet Support'!$E$2:$E$501))</f>
        <v/>
      </c>
      <c r="G9" s="21" t="str">
        <f aca="false">IF(OR(A9="",COUNTIF('Injection Sales'!$B$2:$B$501,A9)=0),"",IFERROR(LOOKUP(2,1/(('Injection Sales'!$B$2:$B$501=A9)*('Injection Sales'!$A$2:$A$501=_xlfn.MAXIFS('Injection Sales'!$A$2:$A$501,'Injection Sales'!$B$2:$B$501,A9))),'Injection Sales'!$E$2:$E$501),""))</f>
        <v/>
      </c>
      <c r="H9" s="21" t="str">
        <f aca="false">IF(OR(A9="",COUNTIF('Injection Sales'!$B$2:$B$501,A9)=0),"",IFERROR(LOOKUP(2,1/(('Injection Sales'!$B$2:$B$501=A9)*('Injection Sales'!$A$2:$A$501=_xlfn.MAXIFS('Injection Sales'!$A$2:$A$501,'Injection Sales'!$B$2:$B$501,A9))),'Injection Sales'!$H$2:$H$501),""))</f>
        <v/>
      </c>
      <c r="I9" s="21" t="str">
        <f aca="true">IF(OR(A9="",D9=""),"",IF(TODAY()-D9&lt;=Settings!$B$7,"Active","Inactive"))</f>
        <v/>
      </c>
    </row>
    <row r="10" customFormat="false" ht="15" hidden="false" customHeight="false" outlineLevel="0" collapsed="false">
      <c r="A10" s="1"/>
      <c r="B10" s="22"/>
      <c r="C10" s="18" t="str">
        <f aca="false">IF(OR(A10="",COUNTIF('Injection Sales'!$B$2:$B$501,A10)+COUNTIF('Protein Sales'!$B$2:$B$501,A10)+COUNTIF('Diet Support'!$B$2:$B$501,A10)=0),"",MIN(IF(COUNTIF('Injection Sales'!$B$2:$B$501,A10),_xlfn.MINIFS('Injection Sales'!$A$2:$A$501,'Injection Sales'!$B$2:$B$501,A10),99999),IF(COUNTIF('Protein Sales'!$B$2:$B$501,A10),_xlfn.MINIFS('Protein Sales'!$A$2:$A$501,'Protein Sales'!$B$2:$B$501,A10),99999),IF(COUNTIF('Diet Support'!$B$2:$B$501,A10),_xlfn.MINIFS('Diet Support'!$A$2:$A$501,'Diet Support'!$B$2:$B$501,A10),99999)))</f>
        <v/>
      </c>
      <c r="D10" s="18" t="str">
        <f aca="false">IF(OR(A10="",COUNTIF('Injection Sales'!$B$2:$B$501,A10)+COUNTIF('Protein Sales'!$B$2:$B$501,A10)+COUNTIF('Diet Support'!$B$2:$B$501,A10)=0),"",MAX(_xlfn.MAXIFS('Injection Sales'!$A$2:$A$501,'Injection Sales'!$B$2:$B$501,A10),_xlfn.MAXIFS('Protein Sales'!$A$2:$A$501,'Protein Sales'!$B$2:$B$501,A10),_xlfn.MAXIFS('Diet Support'!$A$2:$A$501,'Diet Support'!$B$2:$B$501,A10)))</f>
        <v/>
      </c>
      <c r="E10" s="19" t="str">
        <f aca="false">IF(A10="","",COUNTIF('Injection Sales'!$B$2:$B$501,A10)+COUNTIF('Protein Sales'!$B$2:$B$501,A10)+COUNTIF('Diet Support'!$B$2:$B$501,A10))</f>
        <v/>
      </c>
      <c r="F10" s="20" t="str">
        <f aca="false">IF(A10="","",SUMIF('Injection Sales'!$B$2:$B$501,A10,'Injection Sales'!$G$2:$G$501)+SUMIF('Protein Sales'!$B$2:$B$501,A10,'Protein Sales'!$F$2:$F$501)+SUMIF('Diet Support'!$B$2:$B$501,A10,'Diet Support'!$E$2:$E$501))</f>
        <v/>
      </c>
      <c r="G10" s="21" t="str">
        <f aca="false">IF(OR(A10="",COUNTIF('Injection Sales'!$B$2:$B$501,A10)=0),"",IFERROR(LOOKUP(2,1/(('Injection Sales'!$B$2:$B$501=A10)*('Injection Sales'!$A$2:$A$501=_xlfn.MAXIFS('Injection Sales'!$A$2:$A$501,'Injection Sales'!$B$2:$B$501,A10))),'Injection Sales'!$E$2:$E$501),""))</f>
        <v/>
      </c>
      <c r="H10" s="21" t="str">
        <f aca="false">IF(OR(A10="",COUNTIF('Injection Sales'!$B$2:$B$501,A10)=0),"",IFERROR(LOOKUP(2,1/(('Injection Sales'!$B$2:$B$501=A10)*('Injection Sales'!$A$2:$A$501=_xlfn.MAXIFS('Injection Sales'!$A$2:$A$501,'Injection Sales'!$B$2:$B$501,A10))),'Injection Sales'!$H$2:$H$501),""))</f>
        <v/>
      </c>
      <c r="I10" s="21" t="str">
        <f aca="true">IF(OR(A10="",D10=""),"",IF(TODAY()-D10&lt;=Settings!$B$7,"Active","Inactive"))</f>
        <v/>
      </c>
    </row>
    <row r="11" customFormat="false" ht="15" hidden="false" customHeight="false" outlineLevel="0" collapsed="false">
      <c r="A11" s="1"/>
      <c r="B11" s="22"/>
      <c r="C11" s="18" t="str">
        <f aca="false">IF(OR(A11="",COUNTIF('Injection Sales'!$B$2:$B$501,A11)+COUNTIF('Protein Sales'!$B$2:$B$501,A11)+COUNTIF('Diet Support'!$B$2:$B$501,A11)=0),"",MIN(IF(COUNTIF('Injection Sales'!$B$2:$B$501,A11),_xlfn.MINIFS('Injection Sales'!$A$2:$A$501,'Injection Sales'!$B$2:$B$501,A11),99999),IF(COUNTIF('Protein Sales'!$B$2:$B$501,A11),_xlfn.MINIFS('Protein Sales'!$A$2:$A$501,'Protein Sales'!$B$2:$B$501,A11),99999),IF(COUNTIF('Diet Support'!$B$2:$B$501,A11),_xlfn.MINIFS('Diet Support'!$A$2:$A$501,'Diet Support'!$B$2:$B$501,A11),99999)))</f>
        <v/>
      </c>
      <c r="D11" s="18" t="str">
        <f aca="false">IF(OR(A11="",COUNTIF('Injection Sales'!$B$2:$B$501,A11)+COUNTIF('Protein Sales'!$B$2:$B$501,A11)+COUNTIF('Diet Support'!$B$2:$B$501,A11)=0),"",MAX(_xlfn.MAXIFS('Injection Sales'!$A$2:$A$501,'Injection Sales'!$B$2:$B$501,A11),_xlfn.MAXIFS('Protein Sales'!$A$2:$A$501,'Protein Sales'!$B$2:$B$501,A11),_xlfn.MAXIFS('Diet Support'!$A$2:$A$501,'Diet Support'!$B$2:$B$501,A11)))</f>
        <v/>
      </c>
      <c r="E11" s="19" t="str">
        <f aca="false">IF(A11="","",COUNTIF('Injection Sales'!$B$2:$B$501,A11)+COUNTIF('Protein Sales'!$B$2:$B$501,A11)+COUNTIF('Diet Support'!$B$2:$B$501,A11))</f>
        <v/>
      </c>
      <c r="F11" s="20" t="str">
        <f aca="false">IF(A11="","",SUMIF('Injection Sales'!$B$2:$B$501,A11,'Injection Sales'!$G$2:$G$501)+SUMIF('Protein Sales'!$B$2:$B$501,A11,'Protein Sales'!$F$2:$F$501)+SUMIF('Diet Support'!$B$2:$B$501,A11,'Diet Support'!$E$2:$E$501))</f>
        <v/>
      </c>
      <c r="G11" s="21" t="str">
        <f aca="false">IF(OR(A11="",COUNTIF('Injection Sales'!$B$2:$B$501,A11)=0),"",IFERROR(LOOKUP(2,1/(('Injection Sales'!$B$2:$B$501=A11)*('Injection Sales'!$A$2:$A$501=_xlfn.MAXIFS('Injection Sales'!$A$2:$A$501,'Injection Sales'!$B$2:$B$501,A11))),'Injection Sales'!$E$2:$E$501),""))</f>
        <v/>
      </c>
      <c r="H11" s="21" t="str">
        <f aca="false">IF(OR(A11="",COUNTIF('Injection Sales'!$B$2:$B$501,A11)=0),"",IFERROR(LOOKUP(2,1/(('Injection Sales'!$B$2:$B$501=A11)*('Injection Sales'!$A$2:$A$501=_xlfn.MAXIFS('Injection Sales'!$A$2:$A$501,'Injection Sales'!$B$2:$B$501,A11))),'Injection Sales'!$H$2:$H$501),""))</f>
        <v/>
      </c>
      <c r="I11" s="21" t="str">
        <f aca="true">IF(OR(A11="",D11=""),"",IF(TODAY()-D11&lt;=Settings!$B$7,"Active","Inactive"))</f>
        <v/>
      </c>
    </row>
    <row r="12" customFormat="false" ht="15" hidden="false" customHeight="false" outlineLevel="0" collapsed="false">
      <c r="A12" s="1"/>
      <c r="B12" s="22"/>
      <c r="C12" s="18" t="str">
        <f aca="false">IF(OR(A12="",COUNTIF('Injection Sales'!$B$2:$B$501,A12)+COUNTIF('Protein Sales'!$B$2:$B$501,A12)+COUNTIF('Diet Support'!$B$2:$B$501,A12)=0),"",MIN(IF(COUNTIF('Injection Sales'!$B$2:$B$501,A12),_xlfn.MINIFS('Injection Sales'!$A$2:$A$501,'Injection Sales'!$B$2:$B$501,A12),99999),IF(COUNTIF('Protein Sales'!$B$2:$B$501,A12),_xlfn.MINIFS('Protein Sales'!$A$2:$A$501,'Protein Sales'!$B$2:$B$501,A12),99999),IF(COUNTIF('Diet Support'!$B$2:$B$501,A12),_xlfn.MINIFS('Diet Support'!$A$2:$A$501,'Diet Support'!$B$2:$B$501,A12),99999)))</f>
        <v/>
      </c>
      <c r="D12" s="18" t="str">
        <f aca="false">IF(OR(A12="",COUNTIF('Injection Sales'!$B$2:$B$501,A12)+COUNTIF('Protein Sales'!$B$2:$B$501,A12)+COUNTIF('Diet Support'!$B$2:$B$501,A12)=0),"",MAX(_xlfn.MAXIFS('Injection Sales'!$A$2:$A$501,'Injection Sales'!$B$2:$B$501,A12),_xlfn.MAXIFS('Protein Sales'!$A$2:$A$501,'Protein Sales'!$B$2:$B$501,A12),_xlfn.MAXIFS('Diet Support'!$A$2:$A$501,'Diet Support'!$B$2:$B$501,A12)))</f>
        <v/>
      </c>
      <c r="E12" s="19" t="str">
        <f aca="false">IF(A12="","",COUNTIF('Injection Sales'!$B$2:$B$501,A12)+COUNTIF('Protein Sales'!$B$2:$B$501,A12)+COUNTIF('Diet Support'!$B$2:$B$501,A12))</f>
        <v/>
      </c>
      <c r="F12" s="20" t="str">
        <f aca="false">IF(A12="","",SUMIF('Injection Sales'!$B$2:$B$501,A12,'Injection Sales'!$G$2:$G$501)+SUMIF('Protein Sales'!$B$2:$B$501,A12,'Protein Sales'!$F$2:$F$501)+SUMIF('Diet Support'!$B$2:$B$501,A12,'Diet Support'!$E$2:$E$501))</f>
        <v/>
      </c>
      <c r="G12" s="21" t="str">
        <f aca="false">IF(OR(A12="",COUNTIF('Injection Sales'!$B$2:$B$501,A12)=0),"",IFERROR(LOOKUP(2,1/(('Injection Sales'!$B$2:$B$501=A12)*('Injection Sales'!$A$2:$A$501=_xlfn.MAXIFS('Injection Sales'!$A$2:$A$501,'Injection Sales'!$B$2:$B$501,A12))),'Injection Sales'!$E$2:$E$501),""))</f>
        <v/>
      </c>
      <c r="H12" s="21" t="str">
        <f aca="false">IF(OR(A12="",COUNTIF('Injection Sales'!$B$2:$B$501,A12)=0),"",IFERROR(LOOKUP(2,1/(('Injection Sales'!$B$2:$B$501=A12)*('Injection Sales'!$A$2:$A$501=_xlfn.MAXIFS('Injection Sales'!$A$2:$A$501,'Injection Sales'!$B$2:$B$501,A12))),'Injection Sales'!$H$2:$H$501),""))</f>
        <v/>
      </c>
      <c r="I12" s="21" t="str">
        <f aca="true">IF(OR(A12="",D12=""),"",IF(TODAY()-D12&lt;=Settings!$B$7,"Active","Inactive"))</f>
        <v/>
      </c>
    </row>
    <row r="13" customFormat="false" ht="15" hidden="false" customHeight="false" outlineLevel="0" collapsed="false">
      <c r="A13" s="1"/>
      <c r="B13" s="22"/>
      <c r="C13" s="18" t="str">
        <f aca="false">IF(OR(A13="",COUNTIF('Injection Sales'!$B$2:$B$501,A13)+COUNTIF('Protein Sales'!$B$2:$B$501,A13)+COUNTIF('Diet Support'!$B$2:$B$501,A13)=0),"",MIN(IF(COUNTIF('Injection Sales'!$B$2:$B$501,A13),_xlfn.MINIFS('Injection Sales'!$A$2:$A$501,'Injection Sales'!$B$2:$B$501,A13),99999),IF(COUNTIF('Protein Sales'!$B$2:$B$501,A13),_xlfn.MINIFS('Protein Sales'!$A$2:$A$501,'Protein Sales'!$B$2:$B$501,A13),99999),IF(COUNTIF('Diet Support'!$B$2:$B$501,A13),_xlfn.MINIFS('Diet Support'!$A$2:$A$501,'Diet Support'!$B$2:$B$501,A13),99999)))</f>
        <v/>
      </c>
      <c r="D13" s="18" t="str">
        <f aca="false">IF(OR(A13="",COUNTIF('Injection Sales'!$B$2:$B$501,A13)+COUNTIF('Protein Sales'!$B$2:$B$501,A13)+COUNTIF('Diet Support'!$B$2:$B$501,A13)=0),"",MAX(_xlfn.MAXIFS('Injection Sales'!$A$2:$A$501,'Injection Sales'!$B$2:$B$501,A13),_xlfn.MAXIFS('Protein Sales'!$A$2:$A$501,'Protein Sales'!$B$2:$B$501,A13),_xlfn.MAXIFS('Diet Support'!$A$2:$A$501,'Diet Support'!$B$2:$B$501,A13)))</f>
        <v/>
      </c>
      <c r="E13" s="19" t="str">
        <f aca="false">IF(A13="","",COUNTIF('Injection Sales'!$B$2:$B$501,A13)+COUNTIF('Protein Sales'!$B$2:$B$501,A13)+COUNTIF('Diet Support'!$B$2:$B$501,A13))</f>
        <v/>
      </c>
      <c r="F13" s="20" t="str">
        <f aca="false">IF(A13="","",SUMIF('Injection Sales'!$B$2:$B$501,A13,'Injection Sales'!$G$2:$G$501)+SUMIF('Protein Sales'!$B$2:$B$501,A13,'Protein Sales'!$F$2:$F$501)+SUMIF('Diet Support'!$B$2:$B$501,A13,'Diet Support'!$E$2:$E$501))</f>
        <v/>
      </c>
      <c r="G13" s="21" t="str">
        <f aca="false">IF(OR(A13="",COUNTIF('Injection Sales'!$B$2:$B$501,A13)=0),"",IFERROR(LOOKUP(2,1/(('Injection Sales'!$B$2:$B$501=A13)*('Injection Sales'!$A$2:$A$501=_xlfn.MAXIFS('Injection Sales'!$A$2:$A$501,'Injection Sales'!$B$2:$B$501,A13))),'Injection Sales'!$E$2:$E$501),""))</f>
        <v/>
      </c>
      <c r="H13" s="21" t="str">
        <f aca="false">IF(OR(A13="",COUNTIF('Injection Sales'!$B$2:$B$501,A13)=0),"",IFERROR(LOOKUP(2,1/(('Injection Sales'!$B$2:$B$501=A13)*('Injection Sales'!$A$2:$A$501=_xlfn.MAXIFS('Injection Sales'!$A$2:$A$501,'Injection Sales'!$B$2:$B$501,A13))),'Injection Sales'!$H$2:$H$501),""))</f>
        <v/>
      </c>
      <c r="I13" s="21" t="str">
        <f aca="true">IF(OR(A13="",D13=""),"",IF(TODAY()-D13&lt;=Settings!$B$7,"Active","Inactive"))</f>
        <v/>
      </c>
    </row>
    <row r="14" customFormat="false" ht="15" hidden="false" customHeight="false" outlineLevel="0" collapsed="false">
      <c r="A14" s="1"/>
      <c r="B14" s="22"/>
      <c r="C14" s="18" t="str">
        <f aca="false">IF(OR(A14="",COUNTIF('Injection Sales'!$B$2:$B$501,A14)+COUNTIF('Protein Sales'!$B$2:$B$501,A14)+COUNTIF('Diet Support'!$B$2:$B$501,A14)=0),"",MIN(IF(COUNTIF('Injection Sales'!$B$2:$B$501,A14),_xlfn.MINIFS('Injection Sales'!$A$2:$A$501,'Injection Sales'!$B$2:$B$501,A14),99999),IF(COUNTIF('Protein Sales'!$B$2:$B$501,A14),_xlfn.MINIFS('Protein Sales'!$A$2:$A$501,'Protein Sales'!$B$2:$B$501,A14),99999),IF(COUNTIF('Diet Support'!$B$2:$B$501,A14),_xlfn.MINIFS('Diet Support'!$A$2:$A$501,'Diet Support'!$B$2:$B$501,A14),99999)))</f>
        <v/>
      </c>
      <c r="D14" s="18" t="str">
        <f aca="false">IF(OR(A14="",COUNTIF('Injection Sales'!$B$2:$B$501,A14)+COUNTIF('Protein Sales'!$B$2:$B$501,A14)+COUNTIF('Diet Support'!$B$2:$B$501,A14)=0),"",MAX(_xlfn.MAXIFS('Injection Sales'!$A$2:$A$501,'Injection Sales'!$B$2:$B$501,A14),_xlfn.MAXIFS('Protein Sales'!$A$2:$A$501,'Protein Sales'!$B$2:$B$501,A14),_xlfn.MAXIFS('Diet Support'!$A$2:$A$501,'Diet Support'!$B$2:$B$501,A14)))</f>
        <v/>
      </c>
      <c r="E14" s="19" t="str">
        <f aca="false">IF(A14="","",COUNTIF('Injection Sales'!$B$2:$B$501,A14)+COUNTIF('Protein Sales'!$B$2:$B$501,A14)+COUNTIF('Diet Support'!$B$2:$B$501,A14))</f>
        <v/>
      </c>
      <c r="F14" s="20" t="str">
        <f aca="false">IF(A14="","",SUMIF('Injection Sales'!$B$2:$B$501,A14,'Injection Sales'!$G$2:$G$501)+SUMIF('Protein Sales'!$B$2:$B$501,A14,'Protein Sales'!$F$2:$F$501)+SUMIF('Diet Support'!$B$2:$B$501,A14,'Diet Support'!$E$2:$E$501))</f>
        <v/>
      </c>
      <c r="G14" s="21" t="str">
        <f aca="false">IF(OR(A14="",COUNTIF('Injection Sales'!$B$2:$B$501,A14)=0),"",IFERROR(LOOKUP(2,1/(('Injection Sales'!$B$2:$B$501=A14)*('Injection Sales'!$A$2:$A$501=_xlfn.MAXIFS('Injection Sales'!$A$2:$A$501,'Injection Sales'!$B$2:$B$501,A14))),'Injection Sales'!$E$2:$E$501),""))</f>
        <v/>
      </c>
      <c r="H14" s="21" t="str">
        <f aca="false">IF(OR(A14="",COUNTIF('Injection Sales'!$B$2:$B$501,A14)=0),"",IFERROR(LOOKUP(2,1/(('Injection Sales'!$B$2:$B$501=A14)*('Injection Sales'!$A$2:$A$501=_xlfn.MAXIFS('Injection Sales'!$A$2:$A$501,'Injection Sales'!$B$2:$B$501,A14))),'Injection Sales'!$H$2:$H$501),""))</f>
        <v/>
      </c>
      <c r="I14" s="21" t="str">
        <f aca="true">IF(OR(A14="",D14=""),"",IF(TODAY()-D14&lt;=Settings!$B$7,"Active","Inactive"))</f>
        <v/>
      </c>
    </row>
    <row r="15" customFormat="false" ht="15" hidden="false" customHeight="false" outlineLevel="0" collapsed="false">
      <c r="A15" s="1"/>
      <c r="B15" s="22"/>
      <c r="C15" s="18" t="str">
        <f aca="false">IF(OR(A15="",COUNTIF('Injection Sales'!$B$2:$B$501,A15)+COUNTIF('Protein Sales'!$B$2:$B$501,A15)+COUNTIF('Diet Support'!$B$2:$B$501,A15)=0),"",MIN(IF(COUNTIF('Injection Sales'!$B$2:$B$501,A15),_xlfn.MINIFS('Injection Sales'!$A$2:$A$501,'Injection Sales'!$B$2:$B$501,A15),99999),IF(COUNTIF('Protein Sales'!$B$2:$B$501,A15),_xlfn.MINIFS('Protein Sales'!$A$2:$A$501,'Protein Sales'!$B$2:$B$501,A15),99999),IF(COUNTIF('Diet Support'!$B$2:$B$501,A15),_xlfn.MINIFS('Diet Support'!$A$2:$A$501,'Diet Support'!$B$2:$B$501,A15),99999)))</f>
        <v/>
      </c>
      <c r="D15" s="18" t="str">
        <f aca="false">IF(OR(A15="",COUNTIF('Injection Sales'!$B$2:$B$501,A15)+COUNTIF('Protein Sales'!$B$2:$B$501,A15)+COUNTIF('Diet Support'!$B$2:$B$501,A15)=0),"",MAX(_xlfn.MAXIFS('Injection Sales'!$A$2:$A$501,'Injection Sales'!$B$2:$B$501,A15),_xlfn.MAXIFS('Protein Sales'!$A$2:$A$501,'Protein Sales'!$B$2:$B$501,A15),_xlfn.MAXIFS('Diet Support'!$A$2:$A$501,'Diet Support'!$B$2:$B$501,A15)))</f>
        <v/>
      </c>
      <c r="E15" s="19" t="str">
        <f aca="false">IF(A15="","",COUNTIF('Injection Sales'!$B$2:$B$501,A15)+COUNTIF('Protein Sales'!$B$2:$B$501,A15)+COUNTIF('Diet Support'!$B$2:$B$501,A15))</f>
        <v/>
      </c>
      <c r="F15" s="20" t="str">
        <f aca="false">IF(A15="","",SUMIF('Injection Sales'!$B$2:$B$501,A15,'Injection Sales'!$G$2:$G$501)+SUMIF('Protein Sales'!$B$2:$B$501,A15,'Protein Sales'!$F$2:$F$501)+SUMIF('Diet Support'!$B$2:$B$501,A15,'Diet Support'!$E$2:$E$501))</f>
        <v/>
      </c>
      <c r="G15" s="21" t="str">
        <f aca="false">IF(OR(A15="",COUNTIF('Injection Sales'!$B$2:$B$501,A15)=0),"",IFERROR(LOOKUP(2,1/(('Injection Sales'!$B$2:$B$501=A15)*('Injection Sales'!$A$2:$A$501=_xlfn.MAXIFS('Injection Sales'!$A$2:$A$501,'Injection Sales'!$B$2:$B$501,A15))),'Injection Sales'!$E$2:$E$501),""))</f>
        <v/>
      </c>
      <c r="H15" s="21" t="str">
        <f aca="false">IF(OR(A15="",COUNTIF('Injection Sales'!$B$2:$B$501,A15)=0),"",IFERROR(LOOKUP(2,1/(('Injection Sales'!$B$2:$B$501=A15)*('Injection Sales'!$A$2:$A$501=_xlfn.MAXIFS('Injection Sales'!$A$2:$A$501,'Injection Sales'!$B$2:$B$501,A15))),'Injection Sales'!$H$2:$H$501),""))</f>
        <v/>
      </c>
      <c r="I15" s="21" t="str">
        <f aca="true">IF(OR(A15="",D15=""),"",IF(TODAY()-D15&lt;=Settings!$B$7,"Active","Inactive"))</f>
        <v/>
      </c>
    </row>
    <row r="16" customFormat="false" ht="15" hidden="false" customHeight="false" outlineLevel="0" collapsed="false">
      <c r="A16" s="1"/>
      <c r="B16" s="22"/>
      <c r="C16" s="18" t="str">
        <f aca="false">IF(OR(A16="",COUNTIF('Injection Sales'!$B$2:$B$501,A16)+COUNTIF('Protein Sales'!$B$2:$B$501,A16)+COUNTIF('Diet Support'!$B$2:$B$501,A16)=0),"",MIN(IF(COUNTIF('Injection Sales'!$B$2:$B$501,A16),_xlfn.MINIFS('Injection Sales'!$A$2:$A$501,'Injection Sales'!$B$2:$B$501,A16),99999),IF(COUNTIF('Protein Sales'!$B$2:$B$501,A16),_xlfn.MINIFS('Protein Sales'!$A$2:$A$501,'Protein Sales'!$B$2:$B$501,A16),99999),IF(COUNTIF('Diet Support'!$B$2:$B$501,A16),_xlfn.MINIFS('Diet Support'!$A$2:$A$501,'Diet Support'!$B$2:$B$501,A16),99999)))</f>
        <v/>
      </c>
      <c r="D16" s="18" t="str">
        <f aca="false">IF(OR(A16="",COUNTIF('Injection Sales'!$B$2:$B$501,A16)+COUNTIF('Protein Sales'!$B$2:$B$501,A16)+COUNTIF('Diet Support'!$B$2:$B$501,A16)=0),"",MAX(_xlfn.MAXIFS('Injection Sales'!$A$2:$A$501,'Injection Sales'!$B$2:$B$501,A16),_xlfn.MAXIFS('Protein Sales'!$A$2:$A$501,'Protein Sales'!$B$2:$B$501,A16),_xlfn.MAXIFS('Diet Support'!$A$2:$A$501,'Diet Support'!$B$2:$B$501,A16)))</f>
        <v/>
      </c>
      <c r="E16" s="19" t="str">
        <f aca="false">IF(A16="","",COUNTIF('Injection Sales'!$B$2:$B$501,A16)+COUNTIF('Protein Sales'!$B$2:$B$501,A16)+COUNTIF('Diet Support'!$B$2:$B$501,A16))</f>
        <v/>
      </c>
      <c r="F16" s="20" t="str">
        <f aca="false">IF(A16="","",SUMIF('Injection Sales'!$B$2:$B$501,A16,'Injection Sales'!$G$2:$G$501)+SUMIF('Protein Sales'!$B$2:$B$501,A16,'Protein Sales'!$F$2:$F$501)+SUMIF('Diet Support'!$B$2:$B$501,A16,'Diet Support'!$E$2:$E$501))</f>
        <v/>
      </c>
      <c r="G16" s="21" t="str">
        <f aca="false">IF(OR(A16="",COUNTIF('Injection Sales'!$B$2:$B$501,A16)=0),"",IFERROR(LOOKUP(2,1/(('Injection Sales'!$B$2:$B$501=A16)*('Injection Sales'!$A$2:$A$501=_xlfn.MAXIFS('Injection Sales'!$A$2:$A$501,'Injection Sales'!$B$2:$B$501,A16))),'Injection Sales'!$E$2:$E$501),""))</f>
        <v/>
      </c>
      <c r="H16" s="21" t="str">
        <f aca="false">IF(OR(A16="",COUNTIF('Injection Sales'!$B$2:$B$501,A16)=0),"",IFERROR(LOOKUP(2,1/(('Injection Sales'!$B$2:$B$501=A16)*('Injection Sales'!$A$2:$A$501=_xlfn.MAXIFS('Injection Sales'!$A$2:$A$501,'Injection Sales'!$B$2:$B$501,A16))),'Injection Sales'!$H$2:$H$501),""))</f>
        <v/>
      </c>
      <c r="I16" s="21" t="str">
        <f aca="true">IF(OR(A16="",D16=""),"",IF(TODAY()-D16&lt;=Settings!$B$7,"Active","Inactive"))</f>
        <v/>
      </c>
    </row>
    <row r="17" customFormat="false" ht="15" hidden="false" customHeight="false" outlineLevel="0" collapsed="false">
      <c r="A17" s="1"/>
      <c r="B17" s="22"/>
      <c r="C17" s="18" t="str">
        <f aca="false">IF(OR(A17="",COUNTIF('Injection Sales'!$B$2:$B$501,A17)+COUNTIF('Protein Sales'!$B$2:$B$501,A17)+COUNTIF('Diet Support'!$B$2:$B$501,A17)=0),"",MIN(IF(COUNTIF('Injection Sales'!$B$2:$B$501,A17),_xlfn.MINIFS('Injection Sales'!$A$2:$A$501,'Injection Sales'!$B$2:$B$501,A17),99999),IF(COUNTIF('Protein Sales'!$B$2:$B$501,A17),_xlfn.MINIFS('Protein Sales'!$A$2:$A$501,'Protein Sales'!$B$2:$B$501,A17),99999),IF(COUNTIF('Diet Support'!$B$2:$B$501,A17),_xlfn.MINIFS('Diet Support'!$A$2:$A$501,'Diet Support'!$B$2:$B$501,A17),99999)))</f>
        <v/>
      </c>
      <c r="D17" s="18" t="str">
        <f aca="false">IF(OR(A17="",COUNTIF('Injection Sales'!$B$2:$B$501,A17)+COUNTIF('Protein Sales'!$B$2:$B$501,A17)+COUNTIF('Diet Support'!$B$2:$B$501,A17)=0),"",MAX(_xlfn.MAXIFS('Injection Sales'!$A$2:$A$501,'Injection Sales'!$B$2:$B$501,A17),_xlfn.MAXIFS('Protein Sales'!$A$2:$A$501,'Protein Sales'!$B$2:$B$501,A17),_xlfn.MAXIFS('Diet Support'!$A$2:$A$501,'Diet Support'!$B$2:$B$501,A17)))</f>
        <v/>
      </c>
      <c r="E17" s="19" t="str">
        <f aca="false">IF(A17="","",COUNTIF('Injection Sales'!$B$2:$B$501,A17)+COUNTIF('Protein Sales'!$B$2:$B$501,A17)+COUNTIF('Diet Support'!$B$2:$B$501,A17))</f>
        <v/>
      </c>
      <c r="F17" s="20" t="str">
        <f aca="false">IF(A17="","",SUMIF('Injection Sales'!$B$2:$B$501,A17,'Injection Sales'!$G$2:$G$501)+SUMIF('Protein Sales'!$B$2:$B$501,A17,'Protein Sales'!$F$2:$F$501)+SUMIF('Diet Support'!$B$2:$B$501,A17,'Diet Support'!$E$2:$E$501))</f>
        <v/>
      </c>
      <c r="G17" s="21" t="str">
        <f aca="false">IF(OR(A17="",COUNTIF('Injection Sales'!$B$2:$B$501,A17)=0),"",IFERROR(LOOKUP(2,1/(('Injection Sales'!$B$2:$B$501=A17)*('Injection Sales'!$A$2:$A$501=_xlfn.MAXIFS('Injection Sales'!$A$2:$A$501,'Injection Sales'!$B$2:$B$501,A17))),'Injection Sales'!$E$2:$E$501),""))</f>
        <v/>
      </c>
      <c r="H17" s="21" t="str">
        <f aca="false">IF(OR(A17="",COUNTIF('Injection Sales'!$B$2:$B$501,A17)=0),"",IFERROR(LOOKUP(2,1/(('Injection Sales'!$B$2:$B$501=A17)*('Injection Sales'!$A$2:$A$501=_xlfn.MAXIFS('Injection Sales'!$A$2:$A$501,'Injection Sales'!$B$2:$B$501,A17))),'Injection Sales'!$H$2:$H$501),""))</f>
        <v/>
      </c>
      <c r="I17" s="21" t="str">
        <f aca="true">IF(OR(A17="",D17=""),"",IF(TODAY()-D17&lt;=Settings!$B$7,"Active","Inactive"))</f>
        <v/>
      </c>
    </row>
    <row r="18" customFormat="false" ht="15" hidden="false" customHeight="false" outlineLevel="0" collapsed="false">
      <c r="A18" s="1"/>
      <c r="B18" s="22"/>
      <c r="C18" s="18" t="str">
        <f aca="false">IF(OR(A18="",COUNTIF('Injection Sales'!$B$2:$B$501,A18)+COUNTIF('Protein Sales'!$B$2:$B$501,A18)+COUNTIF('Diet Support'!$B$2:$B$501,A18)=0),"",MIN(IF(COUNTIF('Injection Sales'!$B$2:$B$501,A18),_xlfn.MINIFS('Injection Sales'!$A$2:$A$501,'Injection Sales'!$B$2:$B$501,A18),99999),IF(COUNTIF('Protein Sales'!$B$2:$B$501,A18),_xlfn.MINIFS('Protein Sales'!$A$2:$A$501,'Protein Sales'!$B$2:$B$501,A18),99999),IF(COUNTIF('Diet Support'!$B$2:$B$501,A18),_xlfn.MINIFS('Diet Support'!$A$2:$A$501,'Diet Support'!$B$2:$B$501,A18),99999)))</f>
        <v/>
      </c>
      <c r="D18" s="18" t="str">
        <f aca="false">IF(OR(A18="",COUNTIF('Injection Sales'!$B$2:$B$501,A18)+COUNTIF('Protein Sales'!$B$2:$B$501,A18)+COUNTIF('Diet Support'!$B$2:$B$501,A18)=0),"",MAX(_xlfn.MAXIFS('Injection Sales'!$A$2:$A$501,'Injection Sales'!$B$2:$B$501,A18),_xlfn.MAXIFS('Protein Sales'!$A$2:$A$501,'Protein Sales'!$B$2:$B$501,A18),_xlfn.MAXIFS('Diet Support'!$A$2:$A$501,'Diet Support'!$B$2:$B$501,A18)))</f>
        <v/>
      </c>
      <c r="E18" s="19" t="str">
        <f aca="false">IF(A18="","",COUNTIF('Injection Sales'!$B$2:$B$501,A18)+COUNTIF('Protein Sales'!$B$2:$B$501,A18)+COUNTIF('Diet Support'!$B$2:$B$501,A18))</f>
        <v/>
      </c>
      <c r="F18" s="20" t="str">
        <f aca="false">IF(A18="","",SUMIF('Injection Sales'!$B$2:$B$501,A18,'Injection Sales'!$G$2:$G$501)+SUMIF('Protein Sales'!$B$2:$B$501,A18,'Protein Sales'!$F$2:$F$501)+SUMIF('Diet Support'!$B$2:$B$501,A18,'Diet Support'!$E$2:$E$501))</f>
        <v/>
      </c>
      <c r="G18" s="21" t="str">
        <f aca="false">IF(OR(A18="",COUNTIF('Injection Sales'!$B$2:$B$501,A18)=0),"",IFERROR(LOOKUP(2,1/(('Injection Sales'!$B$2:$B$501=A18)*('Injection Sales'!$A$2:$A$501=_xlfn.MAXIFS('Injection Sales'!$A$2:$A$501,'Injection Sales'!$B$2:$B$501,A18))),'Injection Sales'!$E$2:$E$501),""))</f>
        <v/>
      </c>
      <c r="H18" s="21" t="str">
        <f aca="false">IF(OR(A18="",COUNTIF('Injection Sales'!$B$2:$B$501,A18)=0),"",IFERROR(LOOKUP(2,1/(('Injection Sales'!$B$2:$B$501=A18)*('Injection Sales'!$A$2:$A$501=_xlfn.MAXIFS('Injection Sales'!$A$2:$A$501,'Injection Sales'!$B$2:$B$501,A18))),'Injection Sales'!$H$2:$H$501),""))</f>
        <v/>
      </c>
      <c r="I18" s="21" t="str">
        <f aca="true">IF(OR(A18="",D18=""),"",IF(TODAY()-D18&lt;=Settings!$B$7,"Active","Inactive"))</f>
        <v/>
      </c>
    </row>
    <row r="19" customFormat="false" ht="15" hidden="false" customHeight="false" outlineLevel="0" collapsed="false">
      <c r="A19" s="1"/>
      <c r="B19" s="22"/>
      <c r="C19" s="18" t="str">
        <f aca="false">IF(OR(A19="",COUNTIF('Injection Sales'!$B$2:$B$501,A19)+COUNTIF('Protein Sales'!$B$2:$B$501,A19)+COUNTIF('Diet Support'!$B$2:$B$501,A19)=0),"",MIN(IF(COUNTIF('Injection Sales'!$B$2:$B$501,A19),_xlfn.MINIFS('Injection Sales'!$A$2:$A$501,'Injection Sales'!$B$2:$B$501,A19),99999),IF(COUNTIF('Protein Sales'!$B$2:$B$501,A19),_xlfn.MINIFS('Protein Sales'!$A$2:$A$501,'Protein Sales'!$B$2:$B$501,A19),99999),IF(COUNTIF('Diet Support'!$B$2:$B$501,A19),_xlfn.MINIFS('Diet Support'!$A$2:$A$501,'Diet Support'!$B$2:$B$501,A19),99999)))</f>
        <v/>
      </c>
      <c r="D19" s="18" t="str">
        <f aca="false">IF(OR(A19="",COUNTIF('Injection Sales'!$B$2:$B$501,A19)+COUNTIF('Protein Sales'!$B$2:$B$501,A19)+COUNTIF('Diet Support'!$B$2:$B$501,A19)=0),"",MAX(_xlfn.MAXIFS('Injection Sales'!$A$2:$A$501,'Injection Sales'!$B$2:$B$501,A19),_xlfn.MAXIFS('Protein Sales'!$A$2:$A$501,'Protein Sales'!$B$2:$B$501,A19),_xlfn.MAXIFS('Diet Support'!$A$2:$A$501,'Diet Support'!$B$2:$B$501,A19)))</f>
        <v/>
      </c>
      <c r="E19" s="19" t="str">
        <f aca="false">IF(A19="","",COUNTIF('Injection Sales'!$B$2:$B$501,A19)+COUNTIF('Protein Sales'!$B$2:$B$501,A19)+COUNTIF('Diet Support'!$B$2:$B$501,A19))</f>
        <v/>
      </c>
      <c r="F19" s="20" t="str">
        <f aca="false">IF(A19="","",SUMIF('Injection Sales'!$B$2:$B$501,A19,'Injection Sales'!$G$2:$G$501)+SUMIF('Protein Sales'!$B$2:$B$501,A19,'Protein Sales'!$F$2:$F$501)+SUMIF('Diet Support'!$B$2:$B$501,A19,'Diet Support'!$E$2:$E$501))</f>
        <v/>
      </c>
      <c r="G19" s="21" t="str">
        <f aca="false">IF(OR(A19="",COUNTIF('Injection Sales'!$B$2:$B$501,A19)=0),"",IFERROR(LOOKUP(2,1/(('Injection Sales'!$B$2:$B$501=A19)*('Injection Sales'!$A$2:$A$501=_xlfn.MAXIFS('Injection Sales'!$A$2:$A$501,'Injection Sales'!$B$2:$B$501,A19))),'Injection Sales'!$E$2:$E$501),""))</f>
        <v/>
      </c>
      <c r="H19" s="21" t="str">
        <f aca="false">IF(OR(A19="",COUNTIF('Injection Sales'!$B$2:$B$501,A19)=0),"",IFERROR(LOOKUP(2,1/(('Injection Sales'!$B$2:$B$501=A19)*('Injection Sales'!$A$2:$A$501=_xlfn.MAXIFS('Injection Sales'!$A$2:$A$501,'Injection Sales'!$B$2:$B$501,A19))),'Injection Sales'!$H$2:$H$501),""))</f>
        <v/>
      </c>
      <c r="I19" s="21" t="str">
        <f aca="true">IF(OR(A19="",D19=""),"",IF(TODAY()-D19&lt;=Settings!$B$7,"Active","Inactive"))</f>
        <v/>
      </c>
    </row>
    <row r="20" customFormat="false" ht="15" hidden="false" customHeight="false" outlineLevel="0" collapsed="false">
      <c r="A20" s="1"/>
      <c r="B20" s="22"/>
      <c r="C20" s="18" t="str">
        <f aca="false">IF(OR(A20="",COUNTIF('Injection Sales'!$B$2:$B$501,A20)+COUNTIF('Protein Sales'!$B$2:$B$501,A20)+COUNTIF('Diet Support'!$B$2:$B$501,A20)=0),"",MIN(IF(COUNTIF('Injection Sales'!$B$2:$B$501,A20),_xlfn.MINIFS('Injection Sales'!$A$2:$A$501,'Injection Sales'!$B$2:$B$501,A20),99999),IF(COUNTIF('Protein Sales'!$B$2:$B$501,A20),_xlfn.MINIFS('Protein Sales'!$A$2:$A$501,'Protein Sales'!$B$2:$B$501,A20),99999),IF(COUNTIF('Diet Support'!$B$2:$B$501,A20),_xlfn.MINIFS('Diet Support'!$A$2:$A$501,'Diet Support'!$B$2:$B$501,A20),99999)))</f>
        <v/>
      </c>
      <c r="D20" s="18" t="str">
        <f aca="false">IF(OR(A20="",COUNTIF('Injection Sales'!$B$2:$B$501,A20)+COUNTIF('Protein Sales'!$B$2:$B$501,A20)+COUNTIF('Diet Support'!$B$2:$B$501,A20)=0),"",MAX(_xlfn.MAXIFS('Injection Sales'!$A$2:$A$501,'Injection Sales'!$B$2:$B$501,A20),_xlfn.MAXIFS('Protein Sales'!$A$2:$A$501,'Protein Sales'!$B$2:$B$501,A20),_xlfn.MAXIFS('Diet Support'!$A$2:$A$501,'Diet Support'!$B$2:$B$501,A20)))</f>
        <v/>
      </c>
      <c r="E20" s="19" t="str">
        <f aca="false">IF(A20="","",COUNTIF('Injection Sales'!$B$2:$B$501,A20)+COUNTIF('Protein Sales'!$B$2:$B$501,A20)+COUNTIF('Diet Support'!$B$2:$B$501,A20))</f>
        <v/>
      </c>
      <c r="F20" s="20" t="str">
        <f aca="false">IF(A20="","",SUMIF('Injection Sales'!$B$2:$B$501,A20,'Injection Sales'!$G$2:$G$501)+SUMIF('Protein Sales'!$B$2:$B$501,A20,'Protein Sales'!$F$2:$F$501)+SUMIF('Diet Support'!$B$2:$B$501,A20,'Diet Support'!$E$2:$E$501))</f>
        <v/>
      </c>
      <c r="G20" s="21" t="str">
        <f aca="false">IF(OR(A20="",COUNTIF('Injection Sales'!$B$2:$B$501,A20)=0),"",IFERROR(LOOKUP(2,1/(('Injection Sales'!$B$2:$B$501=A20)*('Injection Sales'!$A$2:$A$501=_xlfn.MAXIFS('Injection Sales'!$A$2:$A$501,'Injection Sales'!$B$2:$B$501,A20))),'Injection Sales'!$E$2:$E$501),""))</f>
        <v/>
      </c>
      <c r="H20" s="21" t="str">
        <f aca="false">IF(OR(A20="",COUNTIF('Injection Sales'!$B$2:$B$501,A20)=0),"",IFERROR(LOOKUP(2,1/(('Injection Sales'!$B$2:$B$501=A20)*('Injection Sales'!$A$2:$A$501=_xlfn.MAXIFS('Injection Sales'!$A$2:$A$501,'Injection Sales'!$B$2:$B$501,A20))),'Injection Sales'!$H$2:$H$501),""))</f>
        <v/>
      </c>
      <c r="I20" s="21" t="str">
        <f aca="true">IF(OR(A20="",D20=""),"",IF(TODAY()-D20&lt;=Settings!$B$7,"Active","Inactive"))</f>
        <v/>
      </c>
    </row>
    <row r="21" customFormat="false" ht="15" hidden="false" customHeight="false" outlineLevel="0" collapsed="false">
      <c r="A21" s="1"/>
      <c r="B21" s="22"/>
      <c r="C21" s="18" t="str">
        <f aca="false">IF(OR(A21="",COUNTIF('Injection Sales'!$B$2:$B$501,A21)+COUNTIF('Protein Sales'!$B$2:$B$501,A21)+COUNTIF('Diet Support'!$B$2:$B$501,A21)=0),"",MIN(IF(COUNTIF('Injection Sales'!$B$2:$B$501,A21),_xlfn.MINIFS('Injection Sales'!$A$2:$A$501,'Injection Sales'!$B$2:$B$501,A21),99999),IF(COUNTIF('Protein Sales'!$B$2:$B$501,A21),_xlfn.MINIFS('Protein Sales'!$A$2:$A$501,'Protein Sales'!$B$2:$B$501,A21),99999),IF(COUNTIF('Diet Support'!$B$2:$B$501,A21),_xlfn.MINIFS('Diet Support'!$A$2:$A$501,'Diet Support'!$B$2:$B$501,A21),99999)))</f>
        <v/>
      </c>
      <c r="D21" s="18" t="str">
        <f aca="false">IF(OR(A21="",COUNTIF('Injection Sales'!$B$2:$B$501,A21)+COUNTIF('Protein Sales'!$B$2:$B$501,A21)+COUNTIF('Diet Support'!$B$2:$B$501,A21)=0),"",MAX(_xlfn.MAXIFS('Injection Sales'!$A$2:$A$501,'Injection Sales'!$B$2:$B$501,A21),_xlfn.MAXIFS('Protein Sales'!$A$2:$A$501,'Protein Sales'!$B$2:$B$501,A21),_xlfn.MAXIFS('Diet Support'!$A$2:$A$501,'Diet Support'!$B$2:$B$501,A21)))</f>
        <v/>
      </c>
      <c r="E21" s="19" t="str">
        <f aca="false">IF(A21="","",COUNTIF('Injection Sales'!$B$2:$B$501,A21)+COUNTIF('Protein Sales'!$B$2:$B$501,A21)+COUNTIF('Diet Support'!$B$2:$B$501,A21))</f>
        <v/>
      </c>
      <c r="F21" s="20" t="str">
        <f aca="false">IF(A21="","",SUMIF('Injection Sales'!$B$2:$B$501,A21,'Injection Sales'!$G$2:$G$501)+SUMIF('Protein Sales'!$B$2:$B$501,A21,'Protein Sales'!$F$2:$F$501)+SUMIF('Diet Support'!$B$2:$B$501,A21,'Diet Support'!$E$2:$E$501))</f>
        <v/>
      </c>
      <c r="G21" s="21" t="str">
        <f aca="false">IF(OR(A21="",COUNTIF('Injection Sales'!$B$2:$B$501,A21)=0),"",IFERROR(LOOKUP(2,1/(('Injection Sales'!$B$2:$B$501=A21)*('Injection Sales'!$A$2:$A$501=_xlfn.MAXIFS('Injection Sales'!$A$2:$A$501,'Injection Sales'!$B$2:$B$501,A21))),'Injection Sales'!$E$2:$E$501),""))</f>
        <v/>
      </c>
      <c r="H21" s="21" t="str">
        <f aca="false">IF(OR(A21="",COUNTIF('Injection Sales'!$B$2:$B$501,A21)=0),"",IFERROR(LOOKUP(2,1/(('Injection Sales'!$B$2:$B$501=A21)*('Injection Sales'!$A$2:$A$501=_xlfn.MAXIFS('Injection Sales'!$A$2:$A$501,'Injection Sales'!$B$2:$B$501,A21))),'Injection Sales'!$H$2:$H$501),""))</f>
        <v/>
      </c>
      <c r="I21" s="21" t="str">
        <f aca="true">IF(OR(A21="",D21=""),"",IF(TODAY()-D21&lt;=Settings!$B$7,"Active","Inactive"))</f>
        <v/>
      </c>
    </row>
    <row r="22" customFormat="false" ht="15" hidden="false" customHeight="false" outlineLevel="0" collapsed="false">
      <c r="A22" s="1"/>
      <c r="B22" s="22"/>
      <c r="C22" s="18" t="str">
        <f aca="false">IF(OR(A22="",COUNTIF('Injection Sales'!$B$2:$B$501,A22)+COUNTIF('Protein Sales'!$B$2:$B$501,A22)+COUNTIF('Diet Support'!$B$2:$B$501,A22)=0),"",MIN(IF(COUNTIF('Injection Sales'!$B$2:$B$501,A22),_xlfn.MINIFS('Injection Sales'!$A$2:$A$501,'Injection Sales'!$B$2:$B$501,A22),99999),IF(COUNTIF('Protein Sales'!$B$2:$B$501,A22),_xlfn.MINIFS('Protein Sales'!$A$2:$A$501,'Protein Sales'!$B$2:$B$501,A22),99999),IF(COUNTIF('Diet Support'!$B$2:$B$501,A22),_xlfn.MINIFS('Diet Support'!$A$2:$A$501,'Diet Support'!$B$2:$B$501,A22),99999)))</f>
        <v/>
      </c>
      <c r="D22" s="18" t="str">
        <f aca="false">IF(OR(A22="",COUNTIF('Injection Sales'!$B$2:$B$501,A22)+COUNTIF('Protein Sales'!$B$2:$B$501,A22)+COUNTIF('Diet Support'!$B$2:$B$501,A22)=0),"",MAX(_xlfn.MAXIFS('Injection Sales'!$A$2:$A$501,'Injection Sales'!$B$2:$B$501,A22),_xlfn.MAXIFS('Protein Sales'!$A$2:$A$501,'Protein Sales'!$B$2:$B$501,A22),_xlfn.MAXIFS('Diet Support'!$A$2:$A$501,'Diet Support'!$B$2:$B$501,A22)))</f>
        <v/>
      </c>
      <c r="E22" s="19" t="str">
        <f aca="false">IF(A22="","",COUNTIF('Injection Sales'!$B$2:$B$501,A22)+COUNTIF('Protein Sales'!$B$2:$B$501,A22)+COUNTIF('Diet Support'!$B$2:$B$501,A22))</f>
        <v/>
      </c>
      <c r="F22" s="20" t="str">
        <f aca="false">IF(A22="","",SUMIF('Injection Sales'!$B$2:$B$501,A22,'Injection Sales'!$G$2:$G$501)+SUMIF('Protein Sales'!$B$2:$B$501,A22,'Protein Sales'!$F$2:$F$501)+SUMIF('Diet Support'!$B$2:$B$501,A22,'Diet Support'!$E$2:$E$501))</f>
        <v/>
      </c>
      <c r="G22" s="21" t="str">
        <f aca="false">IF(OR(A22="",COUNTIF('Injection Sales'!$B$2:$B$501,A22)=0),"",IFERROR(LOOKUP(2,1/(('Injection Sales'!$B$2:$B$501=A22)*('Injection Sales'!$A$2:$A$501=_xlfn.MAXIFS('Injection Sales'!$A$2:$A$501,'Injection Sales'!$B$2:$B$501,A22))),'Injection Sales'!$E$2:$E$501),""))</f>
        <v/>
      </c>
      <c r="H22" s="21" t="str">
        <f aca="false">IF(OR(A22="",COUNTIF('Injection Sales'!$B$2:$B$501,A22)=0),"",IFERROR(LOOKUP(2,1/(('Injection Sales'!$B$2:$B$501=A22)*('Injection Sales'!$A$2:$A$501=_xlfn.MAXIFS('Injection Sales'!$A$2:$A$501,'Injection Sales'!$B$2:$B$501,A22))),'Injection Sales'!$H$2:$H$501),""))</f>
        <v/>
      </c>
      <c r="I22" s="21" t="str">
        <f aca="true">IF(OR(A22="",D22=""),"",IF(TODAY()-D22&lt;=Settings!$B$7,"Active","Inactive"))</f>
        <v/>
      </c>
    </row>
    <row r="23" customFormat="false" ht="15" hidden="false" customHeight="false" outlineLevel="0" collapsed="false">
      <c r="A23" s="1"/>
      <c r="B23" s="22"/>
      <c r="C23" s="18" t="str">
        <f aca="false">IF(OR(A23="",COUNTIF('Injection Sales'!$B$2:$B$501,A23)+COUNTIF('Protein Sales'!$B$2:$B$501,A23)+COUNTIF('Diet Support'!$B$2:$B$501,A23)=0),"",MIN(IF(COUNTIF('Injection Sales'!$B$2:$B$501,A23),_xlfn.MINIFS('Injection Sales'!$A$2:$A$501,'Injection Sales'!$B$2:$B$501,A23),99999),IF(COUNTIF('Protein Sales'!$B$2:$B$501,A23),_xlfn.MINIFS('Protein Sales'!$A$2:$A$501,'Protein Sales'!$B$2:$B$501,A23),99999),IF(COUNTIF('Diet Support'!$B$2:$B$501,A23),_xlfn.MINIFS('Diet Support'!$A$2:$A$501,'Diet Support'!$B$2:$B$501,A23),99999)))</f>
        <v/>
      </c>
      <c r="D23" s="18" t="str">
        <f aca="false">IF(OR(A23="",COUNTIF('Injection Sales'!$B$2:$B$501,A23)+COUNTIF('Protein Sales'!$B$2:$B$501,A23)+COUNTIF('Diet Support'!$B$2:$B$501,A23)=0),"",MAX(_xlfn.MAXIFS('Injection Sales'!$A$2:$A$501,'Injection Sales'!$B$2:$B$501,A23),_xlfn.MAXIFS('Protein Sales'!$A$2:$A$501,'Protein Sales'!$B$2:$B$501,A23),_xlfn.MAXIFS('Diet Support'!$A$2:$A$501,'Diet Support'!$B$2:$B$501,A23)))</f>
        <v/>
      </c>
      <c r="E23" s="19" t="str">
        <f aca="false">IF(A23="","",COUNTIF('Injection Sales'!$B$2:$B$501,A23)+COUNTIF('Protein Sales'!$B$2:$B$501,A23)+COUNTIF('Diet Support'!$B$2:$B$501,A23))</f>
        <v/>
      </c>
      <c r="F23" s="20" t="str">
        <f aca="false">IF(A23="","",SUMIF('Injection Sales'!$B$2:$B$501,A23,'Injection Sales'!$G$2:$G$501)+SUMIF('Protein Sales'!$B$2:$B$501,A23,'Protein Sales'!$F$2:$F$501)+SUMIF('Diet Support'!$B$2:$B$501,A23,'Diet Support'!$E$2:$E$501))</f>
        <v/>
      </c>
      <c r="G23" s="21" t="str">
        <f aca="false">IF(OR(A23="",COUNTIF('Injection Sales'!$B$2:$B$501,A23)=0),"",IFERROR(LOOKUP(2,1/(('Injection Sales'!$B$2:$B$501=A23)*('Injection Sales'!$A$2:$A$501=_xlfn.MAXIFS('Injection Sales'!$A$2:$A$501,'Injection Sales'!$B$2:$B$501,A23))),'Injection Sales'!$E$2:$E$501),""))</f>
        <v/>
      </c>
      <c r="H23" s="21" t="str">
        <f aca="false">IF(OR(A23="",COUNTIF('Injection Sales'!$B$2:$B$501,A23)=0),"",IFERROR(LOOKUP(2,1/(('Injection Sales'!$B$2:$B$501=A23)*('Injection Sales'!$A$2:$A$501=_xlfn.MAXIFS('Injection Sales'!$A$2:$A$501,'Injection Sales'!$B$2:$B$501,A23))),'Injection Sales'!$H$2:$H$501),""))</f>
        <v/>
      </c>
      <c r="I23" s="21" t="str">
        <f aca="true">IF(OR(A23="",D23=""),"",IF(TODAY()-D23&lt;=Settings!$B$7,"Active","Inactive"))</f>
        <v/>
      </c>
    </row>
    <row r="24" customFormat="false" ht="15" hidden="false" customHeight="false" outlineLevel="0" collapsed="false">
      <c r="A24" s="1"/>
      <c r="B24" s="22"/>
      <c r="C24" s="18" t="str">
        <f aca="false">IF(OR(A24="",COUNTIF('Injection Sales'!$B$2:$B$501,A24)+COUNTIF('Protein Sales'!$B$2:$B$501,A24)+COUNTIF('Diet Support'!$B$2:$B$501,A24)=0),"",MIN(IF(COUNTIF('Injection Sales'!$B$2:$B$501,A24),_xlfn.MINIFS('Injection Sales'!$A$2:$A$501,'Injection Sales'!$B$2:$B$501,A24),99999),IF(COUNTIF('Protein Sales'!$B$2:$B$501,A24),_xlfn.MINIFS('Protein Sales'!$A$2:$A$501,'Protein Sales'!$B$2:$B$501,A24),99999),IF(COUNTIF('Diet Support'!$B$2:$B$501,A24),_xlfn.MINIFS('Diet Support'!$A$2:$A$501,'Diet Support'!$B$2:$B$501,A24),99999)))</f>
        <v/>
      </c>
      <c r="D24" s="18" t="str">
        <f aca="false">IF(OR(A24="",COUNTIF('Injection Sales'!$B$2:$B$501,A24)+COUNTIF('Protein Sales'!$B$2:$B$501,A24)+COUNTIF('Diet Support'!$B$2:$B$501,A24)=0),"",MAX(_xlfn.MAXIFS('Injection Sales'!$A$2:$A$501,'Injection Sales'!$B$2:$B$501,A24),_xlfn.MAXIFS('Protein Sales'!$A$2:$A$501,'Protein Sales'!$B$2:$B$501,A24),_xlfn.MAXIFS('Diet Support'!$A$2:$A$501,'Diet Support'!$B$2:$B$501,A24)))</f>
        <v/>
      </c>
      <c r="E24" s="19" t="str">
        <f aca="false">IF(A24="","",COUNTIF('Injection Sales'!$B$2:$B$501,A24)+COUNTIF('Protein Sales'!$B$2:$B$501,A24)+COUNTIF('Diet Support'!$B$2:$B$501,A24))</f>
        <v/>
      </c>
      <c r="F24" s="20" t="str">
        <f aca="false">IF(A24="","",SUMIF('Injection Sales'!$B$2:$B$501,A24,'Injection Sales'!$G$2:$G$501)+SUMIF('Protein Sales'!$B$2:$B$501,A24,'Protein Sales'!$F$2:$F$501)+SUMIF('Diet Support'!$B$2:$B$501,A24,'Diet Support'!$E$2:$E$501))</f>
        <v/>
      </c>
      <c r="G24" s="21" t="str">
        <f aca="false">IF(OR(A24="",COUNTIF('Injection Sales'!$B$2:$B$501,A24)=0),"",IFERROR(LOOKUP(2,1/(('Injection Sales'!$B$2:$B$501=A24)*('Injection Sales'!$A$2:$A$501=_xlfn.MAXIFS('Injection Sales'!$A$2:$A$501,'Injection Sales'!$B$2:$B$501,A24))),'Injection Sales'!$E$2:$E$501),""))</f>
        <v/>
      </c>
      <c r="H24" s="21" t="str">
        <f aca="false">IF(OR(A24="",COUNTIF('Injection Sales'!$B$2:$B$501,A24)=0),"",IFERROR(LOOKUP(2,1/(('Injection Sales'!$B$2:$B$501=A24)*('Injection Sales'!$A$2:$A$501=_xlfn.MAXIFS('Injection Sales'!$A$2:$A$501,'Injection Sales'!$B$2:$B$501,A24))),'Injection Sales'!$H$2:$H$501),""))</f>
        <v/>
      </c>
      <c r="I24" s="21" t="str">
        <f aca="true">IF(OR(A24="",D24=""),"",IF(TODAY()-D24&lt;=Settings!$B$7,"Active","Inactive"))</f>
        <v/>
      </c>
    </row>
    <row r="25" customFormat="false" ht="15" hidden="false" customHeight="false" outlineLevel="0" collapsed="false">
      <c r="A25" s="1"/>
      <c r="B25" s="22"/>
      <c r="C25" s="18" t="str">
        <f aca="false">IF(OR(A25="",COUNTIF('Injection Sales'!$B$2:$B$501,A25)+COUNTIF('Protein Sales'!$B$2:$B$501,A25)+COUNTIF('Diet Support'!$B$2:$B$501,A25)=0),"",MIN(IF(COUNTIF('Injection Sales'!$B$2:$B$501,A25),_xlfn.MINIFS('Injection Sales'!$A$2:$A$501,'Injection Sales'!$B$2:$B$501,A25),99999),IF(COUNTIF('Protein Sales'!$B$2:$B$501,A25),_xlfn.MINIFS('Protein Sales'!$A$2:$A$501,'Protein Sales'!$B$2:$B$501,A25),99999),IF(COUNTIF('Diet Support'!$B$2:$B$501,A25),_xlfn.MINIFS('Diet Support'!$A$2:$A$501,'Diet Support'!$B$2:$B$501,A25),99999)))</f>
        <v/>
      </c>
      <c r="D25" s="18" t="str">
        <f aca="false">IF(OR(A25="",COUNTIF('Injection Sales'!$B$2:$B$501,A25)+COUNTIF('Protein Sales'!$B$2:$B$501,A25)+COUNTIF('Diet Support'!$B$2:$B$501,A25)=0),"",MAX(_xlfn.MAXIFS('Injection Sales'!$A$2:$A$501,'Injection Sales'!$B$2:$B$501,A25),_xlfn.MAXIFS('Protein Sales'!$A$2:$A$501,'Protein Sales'!$B$2:$B$501,A25),_xlfn.MAXIFS('Diet Support'!$A$2:$A$501,'Diet Support'!$B$2:$B$501,A25)))</f>
        <v/>
      </c>
      <c r="E25" s="19" t="str">
        <f aca="false">IF(A25="","",COUNTIF('Injection Sales'!$B$2:$B$501,A25)+COUNTIF('Protein Sales'!$B$2:$B$501,A25)+COUNTIF('Diet Support'!$B$2:$B$501,A25))</f>
        <v/>
      </c>
      <c r="F25" s="20" t="str">
        <f aca="false">IF(A25="","",SUMIF('Injection Sales'!$B$2:$B$501,A25,'Injection Sales'!$G$2:$G$501)+SUMIF('Protein Sales'!$B$2:$B$501,A25,'Protein Sales'!$F$2:$F$501)+SUMIF('Diet Support'!$B$2:$B$501,A25,'Diet Support'!$E$2:$E$501))</f>
        <v/>
      </c>
      <c r="G25" s="21" t="str">
        <f aca="false">IF(OR(A25="",COUNTIF('Injection Sales'!$B$2:$B$501,A25)=0),"",IFERROR(LOOKUP(2,1/(('Injection Sales'!$B$2:$B$501=A25)*('Injection Sales'!$A$2:$A$501=_xlfn.MAXIFS('Injection Sales'!$A$2:$A$501,'Injection Sales'!$B$2:$B$501,A25))),'Injection Sales'!$E$2:$E$501),""))</f>
        <v/>
      </c>
      <c r="H25" s="21" t="str">
        <f aca="false">IF(OR(A25="",COUNTIF('Injection Sales'!$B$2:$B$501,A25)=0),"",IFERROR(LOOKUP(2,1/(('Injection Sales'!$B$2:$B$501=A25)*('Injection Sales'!$A$2:$A$501=_xlfn.MAXIFS('Injection Sales'!$A$2:$A$501,'Injection Sales'!$B$2:$B$501,A25))),'Injection Sales'!$H$2:$H$501),""))</f>
        <v/>
      </c>
      <c r="I25" s="21" t="str">
        <f aca="true">IF(OR(A25="",D25=""),"",IF(TODAY()-D25&lt;=Settings!$B$7,"Active","Inactive"))</f>
        <v/>
      </c>
    </row>
    <row r="26" customFormat="false" ht="15" hidden="false" customHeight="false" outlineLevel="0" collapsed="false">
      <c r="A26" s="1"/>
      <c r="B26" s="22"/>
      <c r="C26" s="18" t="str">
        <f aca="false">IF(OR(A26="",COUNTIF('Injection Sales'!$B$2:$B$501,A26)+COUNTIF('Protein Sales'!$B$2:$B$501,A26)+COUNTIF('Diet Support'!$B$2:$B$501,A26)=0),"",MIN(IF(COUNTIF('Injection Sales'!$B$2:$B$501,A26),_xlfn.MINIFS('Injection Sales'!$A$2:$A$501,'Injection Sales'!$B$2:$B$501,A26),99999),IF(COUNTIF('Protein Sales'!$B$2:$B$501,A26),_xlfn.MINIFS('Protein Sales'!$A$2:$A$501,'Protein Sales'!$B$2:$B$501,A26),99999),IF(COUNTIF('Diet Support'!$B$2:$B$501,A26),_xlfn.MINIFS('Diet Support'!$A$2:$A$501,'Diet Support'!$B$2:$B$501,A26),99999)))</f>
        <v/>
      </c>
      <c r="D26" s="18" t="str">
        <f aca="false">IF(OR(A26="",COUNTIF('Injection Sales'!$B$2:$B$501,A26)+COUNTIF('Protein Sales'!$B$2:$B$501,A26)+COUNTIF('Diet Support'!$B$2:$B$501,A26)=0),"",MAX(_xlfn.MAXIFS('Injection Sales'!$A$2:$A$501,'Injection Sales'!$B$2:$B$501,A26),_xlfn.MAXIFS('Protein Sales'!$A$2:$A$501,'Protein Sales'!$B$2:$B$501,A26),_xlfn.MAXIFS('Diet Support'!$A$2:$A$501,'Diet Support'!$B$2:$B$501,A26)))</f>
        <v/>
      </c>
      <c r="E26" s="19" t="str">
        <f aca="false">IF(A26="","",COUNTIF('Injection Sales'!$B$2:$B$501,A26)+COUNTIF('Protein Sales'!$B$2:$B$501,A26)+COUNTIF('Diet Support'!$B$2:$B$501,A26))</f>
        <v/>
      </c>
      <c r="F26" s="20" t="str">
        <f aca="false">IF(A26="","",SUMIF('Injection Sales'!$B$2:$B$501,A26,'Injection Sales'!$G$2:$G$501)+SUMIF('Protein Sales'!$B$2:$B$501,A26,'Protein Sales'!$F$2:$F$501)+SUMIF('Diet Support'!$B$2:$B$501,A26,'Diet Support'!$E$2:$E$501))</f>
        <v/>
      </c>
      <c r="G26" s="21" t="str">
        <f aca="false">IF(OR(A26="",COUNTIF('Injection Sales'!$B$2:$B$501,A26)=0),"",IFERROR(LOOKUP(2,1/(('Injection Sales'!$B$2:$B$501=A26)*('Injection Sales'!$A$2:$A$501=_xlfn.MAXIFS('Injection Sales'!$A$2:$A$501,'Injection Sales'!$B$2:$B$501,A26))),'Injection Sales'!$E$2:$E$501),""))</f>
        <v/>
      </c>
      <c r="H26" s="21" t="str">
        <f aca="false">IF(OR(A26="",COUNTIF('Injection Sales'!$B$2:$B$501,A26)=0),"",IFERROR(LOOKUP(2,1/(('Injection Sales'!$B$2:$B$501=A26)*('Injection Sales'!$A$2:$A$501=_xlfn.MAXIFS('Injection Sales'!$A$2:$A$501,'Injection Sales'!$B$2:$B$501,A26))),'Injection Sales'!$H$2:$H$501),""))</f>
        <v/>
      </c>
      <c r="I26" s="21" t="str">
        <f aca="true">IF(OR(A26="",D26=""),"",IF(TODAY()-D26&lt;=Settings!$B$7,"Active","Inactive"))</f>
        <v/>
      </c>
    </row>
    <row r="27" customFormat="false" ht="15" hidden="false" customHeight="false" outlineLevel="0" collapsed="false">
      <c r="A27" s="1"/>
      <c r="B27" s="22"/>
      <c r="C27" s="18" t="str">
        <f aca="false">IF(OR(A27="",COUNTIF('Injection Sales'!$B$2:$B$501,A27)+COUNTIF('Protein Sales'!$B$2:$B$501,A27)+COUNTIF('Diet Support'!$B$2:$B$501,A27)=0),"",MIN(IF(COUNTIF('Injection Sales'!$B$2:$B$501,A27),_xlfn.MINIFS('Injection Sales'!$A$2:$A$501,'Injection Sales'!$B$2:$B$501,A27),99999),IF(COUNTIF('Protein Sales'!$B$2:$B$501,A27),_xlfn.MINIFS('Protein Sales'!$A$2:$A$501,'Protein Sales'!$B$2:$B$501,A27),99999),IF(COUNTIF('Diet Support'!$B$2:$B$501,A27),_xlfn.MINIFS('Diet Support'!$A$2:$A$501,'Diet Support'!$B$2:$B$501,A27),99999)))</f>
        <v/>
      </c>
      <c r="D27" s="18" t="str">
        <f aca="false">IF(OR(A27="",COUNTIF('Injection Sales'!$B$2:$B$501,A27)+COUNTIF('Protein Sales'!$B$2:$B$501,A27)+COUNTIF('Diet Support'!$B$2:$B$501,A27)=0),"",MAX(_xlfn.MAXIFS('Injection Sales'!$A$2:$A$501,'Injection Sales'!$B$2:$B$501,A27),_xlfn.MAXIFS('Protein Sales'!$A$2:$A$501,'Protein Sales'!$B$2:$B$501,A27),_xlfn.MAXIFS('Diet Support'!$A$2:$A$501,'Diet Support'!$B$2:$B$501,A27)))</f>
        <v/>
      </c>
      <c r="E27" s="19" t="str">
        <f aca="false">IF(A27="","",COUNTIF('Injection Sales'!$B$2:$B$501,A27)+COUNTIF('Protein Sales'!$B$2:$B$501,A27)+COUNTIF('Diet Support'!$B$2:$B$501,A27))</f>
        <v/>
      </c>
      <c r="F27" s="20" t="str">
        <f aca="false">IF(A27="","",SUMIF('Injection Sales'!$B$2:$B$501,A27,'Injection Sales'!$G$2:$G$501)+SUMIF('Protein Sales'!$B$2:$B$501,A27,'Protein Sales'!$F$2:$F$501)+SUMIF('Diet Support'!$B$2:$B$501,A27,'Diet Support'!$E$2:$E$501))</f>
        <v/>
      </c>
      <c r="G27" s="21" t="str">
        <f aca="false">IF(OR(A27="",COUNTIF('Injection Sales'!$B$2:$B$501,A27)=0),"",IFERROR(LOOKUP(2,1/(('Injection Sales'!$B$2:$B$501=A27)*('Injection Sales'!$A$2:$A$501=_xlfn.MAXIFS('Injection Sales'!$A$2:$A$501,'Injection Sales'!$B$2:$B$501,A27))),'Injection Sales'!$E$2:$E$501),""))</f>
        <v/>
      </c>
      <c r="H27" s="21" t="str">
        <f aca="false">IF(OR(A27="",COUNTIF('Injection Sales'!$B$2:$B$501,A27)=0),"",IFERROR(LOOKUP(2,1/(('Injection Sales'!$B$2:$B$501=A27)*('Injection Sales'!$A$2:$A$501=_xlfn.MAXIFS('Injection Sales'!$A$2:$A$501,'Injection Sales'!$B$2:$B$501,A27))),'Injection Sales'!$H$2:$H$501),""))</f>
        <v/>
      </c>
      <c r="I27" s="21" t="str">
        <f aca="true">IF(OR(A27="",D27=""),"",IF(TODAY()-D27&lt;=Settings!$B$7,"Active","Inactive"))</f>
        <v/>
      </c>
    </row>
    <row r="28" customFormat="false" ht="15" hidden="false" customHeight="false" outlineLevel="0" collapsed="false">
      <c r="A28" s="1"/>
      <c r="B28" s="22"/>
      <c r="C28" s="18" t="str">
        <f aca="false">IF(OR(A28="",COUNTIF('Injection Sales'!$B$2:$B$501,A28)+COUNTIF('Protein Sales'!$B$2:$B$501,A28)+COUNTIF('Diet Support'!$B$2:$B$501,A28)=0),"",MIN(IF(COUNTIF('Injection Sales'!$B$2:$B$501,A28),_xlfn.MINIFS('Injection Sales'!$A$2:$A$501,'Injection Sales'!$B$2:$B$501,A28),99999),IF(COUNTIF('Protein Sales'!$B$2:$B$501,A28),_xlfn.MINIFS('Protein Sales'!$A$2:$A$501,'Protein Sales'!$B$2:$B$501,A28),99999),IF(COUNTIF('Diet Support'!$B$2:$B$501,A28),_xlfn.MINIFS('Diet Support'!$A$2:$A$501,'Diet Support'!$B$2:$B$501,A28),99999)))</f>
        <v/>
      </c>
      <c r="D28" s="18" t="str">
        <f aca="false">IF(OR(A28="",COUNTIF('Injection Sales'!$B$2:$B$501,A28)+COUNTIF('Protein Sales'!$B$2:$B$501,A28)+COUNTIF('Diet Support'!$B$2:$B$501,A28)=0),"",MAX(_xlfn.MAXIFS('Injection Sales'!$A$2:$A$501,'Injection Sales'!$B$2:$B$501,A28),_xlfn.MAXIFS('Protein Sales'!$A$2:$A$501,'Protein Sales'!$B$2:$B$501,A28),_xlfn.MAXIFS('Diet Support'!$A$2:$A$501,'Diet Support'!$B$2:$B$501,A28)))</f>
        <v/>
      </c>
      <c r="E28" s="19" t="str">
        <f aca="false">IF(A28="","",COUNTIF('Injection Sales'!$B$2:$B$501,A28)+COUNTIF('Protein Sales'!$B$2:$B$501,A28)+COUNTIF('Diet Support'!$B$2:$B$501,A28))</f>
        <v/>
      </c>
      <c r="F28" s="20" t="str">
        <f aca="false">IF(A28="","",SUMIF('Injection Sales'!$B$2:$B$501,A28,'Injection Sales'!$G$2:$G$501)+SUMIF('Protein Sales'!$B$2:$B$501,A28,'Protein Sales'!$F$2:$F$501)+SUMIF('Diet Support'!$B$2:$B$501,A28,'Diet Support'!$E$2:$E$501))</f>
        <v/>
      </c>
      <c r="G28" s="21" t="str">
        <f aca="false">IF(OR(A28="",COUNTIF('Injection Sales'!$B$2:$B$501,A28)=0),"",IFERROR(LOOKUP(2,1/(('Injection Sales'!$B$2:$B$501=A28)*('Injection Sales'!$A$2:$A$501=_xlfn.MAXIFS('Injection Sales'!$A$2:$A$501,'Injection Sales'!$B$2:$B$501,A28))),'Injection Sales'!$E$2:$E$501),""))</f>
        <v/>
      </c>
      <c r="H28" s="21" t="str">
        <f aca="false">IF(OR(A28="",COUNTIF('Injection Sales'!$B$2:$B$501,A28)=0),"",IFERROR(LOOKUP(2,1/(('Injection Sales'!$B$2:$B$501=A28)*('Injection Sales'!$A$2:$A$501=_xlfn.MAXIFS('Injection Sales'!$A$2:$A$501,'Injection Sales'!$B$2:$B$501,A28))),'Injection Sales'!$H$2:$H$501),""))</f>
        <v/>
      </c>
      <c r="I28" s="21" t="str">
        <f aca="true">IF(OR(A28="",D28=""),"",IF(TODAY()-D28&lt;=Settings!$B$7,"Active","Inactive"))</f>
        <v/>
      </c>
    </row>
    <row r="29" customFormat="false" ht="15" hidden="false" customHeight="false" outlineLevel="0" collapsed="false">
      <c r="A29" s="1"/>
      <c r="B29" s="22"/>
      <c r="C29" s="18" t="str">
        <f aca="false">IF(OR(A29="",COUNTIF('Injection Sales'!$B$2:$B$501,A29)+COUNTIF('Protein Sales'!$B$2:$B$501,A29)+COUNTIF('Diet Support'!$B$2:$B$501,A29)=0),"",MIN(IF(COUNTIF('Injection Sales'!$B$2:$B$501,A29),_xlfn.MINIFS('Injection Sales'!$A$2:$A$501,'Injection Sales'!$B$2:$B$501,A29),99999),IF(COUNTIF('Protein Sales'!$B$2:$B$501,A29),_xlfn.MINIFS('Protein Sales'!$A$2:$A$501,'Protein Sales'!$B$2:$B$501,A29),99999),IF(COUNTIF('Diet Support'!$B$2:$B$501,A29),_xlfn.MINIFS('Diet Support'!$A$2:$A$501,'Diet Support'!$B$2:$B$501,A29),99999)))</f>
        <v/>
      </c>
      <c r="D29" s="18" t="str">
        <f aca="false">IF(OR(A29="",COUNTIF('Injection Sales'!$B$2:$B$501,A29)+COUNTIF('Protein Sales'!$B$2:$B$501,A29)+COUNTIF('Diet Support'!$B$2:$B$501,A29)=0),"",MAX(_xlfn.MAXIFS('Injection Sales'!$A$2:$A$501,'Injection Sales'!$B$2:$B$501,A29),_xlfn.MAXIFS('Protein Sales'!$A$2:$A$501,'Protein Sales'!$B$2:$B$501,A29),_xlfn.MAXIFS('Diet Support'!$A$2:$A$501,'Diet Support'!$B$2:$B$501,A29)))</f>
        <v/>
      </c>
      <c r="E29" s="19" t="str">
        <f aca="false">IF(A29="","",COUNTIF('Injection Sales'!$B$2:$B$501,A29)+COUNTIF('Protein Sales'!$B$2:$B$501,A29)+COUNTIF('Diet Support'!$B$2:$B$501,A29))</f>
        <v/>
      </c>
      <c r="F29" s="20" t="str">
        <f aca="false">IF(A29="","",SUMIF('Injection Sales'!$B$2:$B$501,A29,'Injection Sales'!$G$2:$G$501)+SUMIF('Protein Sales'!$B$2:$B$501,A29,'Protein Sales'!$F$2:$F$501)+SUMIF('Diet Support'!$B$2:$B$501,A29,'Diet Support'!$E$2:$E$501))</f>
        <v/>
      </c>
      <c r="G29" s="21" t="str">
        <f aca="false">IF(OR(A29="",COUNTIF('Injection Sales'!$B$2:$B$501,A29)=0),"",IFERROR(LOOKUP(2,1/(('Injection Sales'!$B$2:$B$501=A29)*('Injection Sales'!$A$2:$A$501=_xlfn.MAXIFS('Injection Sales'!$A$2:$A$501,'Injection Sales'!$B$2:$B$501,A29))),'Injection Sales'!$E$2:$E$501),""))</f>
        <v/>
      </c>
      <c r="H29" s="21" t="str">
        <f aca="false">IF(OR(A29="",COUNTIF('Injection Sales'!$B$2:$B$501,A29)=0),"",IFERROR(LOOKUP(2,1/(('Injection Sales'!$B$2:$B$501=A29)*('Injection Sales'!$A$2:$A$501=_xlfn.MAXIFS('Injection Sales'!$A$2:$A$501,'Injection Sales'!$B$2:$B$501,A29))),'Injection Sales'!$H$2:$H$501),""))</f>
        <v/>
      </c>
      <c r="I29" s="21" t="str">
        <f aca="true">IF(OR(A29="",D29=""),"",IF(TODAY()-D29&lt;=Settings!$B$7,"Active","Inactive"))</f>
        <v/>
      </c>
    </row>
    <row r="30" customFormat="false" ht="15" hidden="false" customHeight="false" outlineLevel="0" collapsed="false">
      <c r="A30" s="1"/>
      <c r="B30" s="22"/>
      <c r="C30" s="18" t="str">
        <f aca="false">IF(OR(A30="",COUNTIF('Injection Sales'!$B$2:$B$501,A30)+COUNTIF('Protein Sales'!$B$2:$B$501,A30)+COUNTIF('Diet Support'!$B$2:$B$501,A30)=0),"",MIN(IF(COUNTIF('Injection Sales'!$B$2:$B$501,A30),_xlfn.MINIFS('Injection Sales'!$A$2:$A$501,'Injection Sales'!$B$2:$B$501,A30),99999),IF(COUNTIF('Protein Sales'!$B$2:$B$501,A30),_xlfn.MINIFS('Protein Sales'!$A$2:$A$501,'Protein Sales'!$B$2:$B$501,A30),99999),IF(COUNTIF('Diet Support'!$B$2:$B$501,A30),_xlfn.MINIFS('Diet Support'!$A$2:$A$501,'Diet Support'!$B$2:$B$501,A30),99999)))</f>
        <v/>
      </c>
      <c r="D30" s="18" t="str">
        <f aca="false">IF(OR(A30="",COUNTIF('Injection Sales'!$B$2:$B$501,A30)+COUNTIF('Protein Sales'!$B$2:$B$501,A30)+COUNTIF('Diet Support'!$B$2:$B$501,A30)=0),"",MAX(_xlfn.MAXIFS('Injection Sales'!$A$2:$A$501,'Injection Sales'!$B$2:$B$501,A30),_xlfn.MAXIFS('Protein Sales'!$A$2:$A$501,'Protein Sales'!$B$2:$B$501,A30),_xlfn.MAXIFS('Diet Support'!$A$2:$A$501,'Diet Support'!$B$2:$B$501,A30)))</f>
        <v/>
      </c>
      <c r="E30" s="19" t="str">
        <f aca="false">IF(A30="","",COUNTIF('Injection Sales'!$B$2:$B$501,A30)+COUNTIF('Protein Sales'!$B$2:$B$501,A30)+COUNTIF('Diet Support'!$B$2:$B$501,A30))</f>
        <v/>
      </c>
      <c r="F30" s="20" t="str">
        <f aca="false">IF(A30="","",SUMIF('Injection Sales'!$B$2:$B$501,A30,'Injection Sales'!$G$2:$G$501)+SUMIF('Protein Sales'!$B$2:$B$501,A30,'Protein Sales'!$F$2:$F$501)+SUMIF('Diet Support'!$B$2:$B$501,A30,'Diet Support'!$E$2:$E$501))</f>
        <v/>
      </c>
      <c r="G30" s="21" t="str">
        <f aca="false">IF(OR(A30="",COUNTIF('Injection Sales'!$B$2:$B$501,A30)=0),"",IFERROR(LOOKUP(2,1/(('Injection Sales'!$B$2:$B$501=A30)*('Injection Sales'!$A$2:$A$501=_xlfn.MAXIFS('Injection Sales'!$A$2:$A$501,'Injection Sales'!$B$2:$B$501,A30))),'Injection Sales'!$E$2:$E$501),""))</f>
        <v/>
      </c>
      <c r="H30" s="21" t="str">
        <f aca="false">IF(OR(A30="",COUNTIF('Injection Sales'!$B$2:$B$501,A30)=0),"",IFERROR(LOOKUP(2,1/(('Injection Sales'!$B$2:$B$501=A30)*('Injection Sales'!$A$2:$A$501=_xlfn.MAXIFS('Injection Sales'!$A$2:$A$501,'Injection Sales'!$B$2:$B$501,A30))),'Injection Sales'!$H$2:$H$501),""))</f>
        <v/>
      </c>
      <c r="I30" s="21" t="str">
        <f aca="true">IF(OR(A30="",D30=""),"",IF(TODAY()-D30&lt;=Settings!$B$7,"Active","Inactive"))</f>
        <v/>
      </c>
    </row>
    <row r="31" customFormat="false" ht="15" hidden="false" customHeight="false" outlineLevel="0" collapsed="false">
      <c r="A31" s="1"/>
      <c r="B31" s="22"/>
      <c r="C31" s="18" t="str">
        <f aca="false">IF(OR(A31="",COUNTIF('Injection Sales'!$B$2:$B$501,A31)+COUNTIF('Protein Sales'!$B$2:$B$501,A31)+COUNTIF('Diet Support'!$B$2:$B$501,A31)=0),"",MIN(IF(COUNTIF('Injection Sales'!$B$2:$B$501,A31),_xlfn.MINIFS('Injection Sales'!$A$2:$A$501,'Injection Sales'!$B$2:$B$501,A31),99999),IF(COUNTIF('Protein Sales'!$B$2:$B$501,A31),_xlfn.MINIFS('Protein Sales'!$A$2:$A$501,'Protein Sales'!$B$2:$B$501,A31),99999),IF(COUNTIF('Diet Support'!$B$2:$B$501,A31),_xlfn.MINIFS('Diet Support'!$A$2:$A$501,'Diet Support'!$B$2:$B$501,A31),99999)))</f>
        <v/>
      </c>
      <c r="D31" s="18" t="str">
        <f aca="false">IF(OR(A31="",COUNTIF('Injection Sales'!$B$2:$B$501,A31)+COUNTIF('Protein Sales'!$B$2:$B$501,A31)+COUNTIF('Diet Support'!$B$2:$B$501,A31)=0),"",MAX(_xlfn.MAXIFS('Injection Sales'!$A$2:$A$501,'Injection Sales'!$B$2:$B$501,A31),_xlfn.MAXIFS('Protein Sales'!$A$2:$A$501,'Protein Sales'!$B$2:$B$501,A31),_xlfn.MAXIFS('Diet Support'!$A$2:$A$501,'Diet Support'!$B$2:$B$501,A31)))</f>
        <v/>
      </c>
      <c r="E31" s="19" t="str">
        <f aca="false">IF(A31="","",COUNTIF('Injection Sales'!$B$2:$B$501,A31)+COUNTIF('Protein Sales'!$B$2:$B$501,A31)+COUNTIF('Diet Support'!$B$2:$B$501,A31))</f>
        <v/>
      </c>
      <c r="F31" s="20" t="str">
        <f aca="false">IF(A31="","",SUMIF('Injection Sales'!$B$2:$B$501,A31,'Injection Sales'!$G$2:$G$501)+SUMIF('Protein Sales'!$B$2:$B$501,A31,'Protein Sales'!$F$2:$F$501)+SUMIF('Diet Support'!$B$2:$B$501,A31,'Diet Support'!$E$2:$E$501))</f>
        <v/>
      </c>
      <c r="G31" s="21" t="str">
        <f aca="false">IF(OR(A31="",COUNTIF('Injection Sales'!$B$2:$B$501,A31)=0),"",IFERROR(LOOKUP(2,1/(('Injection Sales'!$B$2:$B$501=A31)*('Injection Sales'!$A$2:$A$501=_xlfn.MAXIFS('Injection Sales'!$A$2:$A$501,'Injection Sales'!$B$2:$B$501,A31))),'Injection Sales'!$E$2:$E$501),""))</f>
        <v/>
      </c>
      <c r="H31" s="21" t="str">
        <f aca="false">IF(OR(A31="",COUNTIF('Injection Sales'!$B$2:$B$501,A31)=0),"",IFERROR(LOOKUP(2,1/(('Injection Sales'!$B$2:$B$501=A31)*('Injection Sales'!$A$2:$A$501=_xlfn.MAXIFS('Injection Sales'!$A$2:$A$501,'Injection Sales'!$B$2:$B$501,A31))),'Injection Sales'!$H$2:$H$501),""))</f>
        <v/>
      </c>
      <c r="I31" s="21" t="str">
        <f aca="true">IF(OR(A31="",D31=""),"",IF(TODAY()-D31&lt;=Settings!$B$7,"Active","Inactive"))</f>
        <v/>
      </c>
    </row>
    <row r="32" customFormat="false" ht="15" hidden="false" customHeight="false" outlineLevel="0" collapsed="false">
      <c r="A32" s="1"/>
      <c r="B32" s="22"/>
      <c r="C32" s="18" t="str">
        <f aca="false">IF(OR(A32="",COUNTIF('Injection Sales'!$B$2:$B$501,A32)+COUNTIF('Protein Sales'!$B$2:$B$501,A32)+COUNTIF('Diet Support'!$B$2:$B$501,A32)=0),"",MIN(IF(COUNTIF('Injection Sales'!$B$2:$B$501,A32),_xlfn.MINIFS('Injection Sales'!$A$2:$A$501,'Injection Sales'!$B$2:$B$501,A32),99999),IF(COUNTIF('Protein Sales'!$B$2:$B$501,A32),_xlfn.MINIFS('Protein Sales'!$A$2:$A$501,'Protein Sales'!$B$2:$B$501,A32),99999),IF(COUNTIF('Diet Support'!$B$2:$B$501,A32),_xlfn.MINIFS('Diet Support'!$A$2:$A$501,'Diet Support'!$B$2:$B$501,A32),99999)))</f>
        <v/>
      </c>
      <c r="D32" s="18" t="str">
        <f aca="false">IF(OR(A32="",COUNTIF('Injection Sales'!$B$2:$B$501,A32)+COUNTIF('Protein Sales'!$B$2:$B$501,A32)+COUNTIF('Diet Support'!$B$2:$B$501,A32)=0),"",MAX(_xlfn.MAXIFS('Injection Sales'!$A$2:$A$501,'Injection Sales'!$B$2:$B$501,A32),_xlfn.MAXIFS('Protein Sales'!$A$2:$A$501,'Protein Sales'!$B$2:$B$501,A32),_xlfn.MAXIFS('Diet Support'!$A$2:$A$501,'Diet Support'!$B$2:$B$501,A32)))</f>
        <v/>
      </c>
      <c r="E32" s="19" t="str">
        <f aca="false">IF(A32="","",COUNTIF('Injection Sales'!$B$2:$B$501,A32)+COUNTIF('Protein Sales'!$B$2:$B$501,A32)+COUNTIF('Diet Support'!$B$2:$B$501,A32))</f>
        <v/>
      </c>
      <c r="F32" s="20" t="str">
        <f aca="false">IF(A32="","",SUMIF('Injection Sales'!$B$2:$B$501,A32,'Injection Sales'!$G$2:$G$501)+SUMIF('Protein Sales'!$B$2:$B$501,A32,'Protein Sales'!$F$2:$F$501)+SUMIF('Diet Support'!$B$2:$B$501,A32,'Diet Support'!$E$2:$E$501))</f>
        <v/>
      </c>
      <c r="G32" s="21" t="str">
        <f aca="false">IF(OR(A32="",COUNTIF('Injection Sales'!$B$2:$B$501,A32)=0),"",IFERROR(LOOKUP(2,1/(('Injection Sales'!$B$2:$B$501=A32)*('Injection Sales'!$A$2:$A$501=_xlfn.MAXIFS('Injection Sales'!$A$2:$A$501,'Injection Sales'!$B$2:$B$501,A32))),'Injection Sales'!$E$2:$E$501),""))</f>
        <v/>
      </c>
      <c r="H32" s="21" t="str">
        <f aca="false">IF(OR(A32="",COUNTIF('Injection Sales'!$B$2:$B$501,A32)=0),"",IFERROR(LOOKUP(2,1/(('Injection Sales'!$B$2:$B$501=A32)*('Injection Sales'!$A$2:$A$501=_xlfn.MAXIFS('Injection Sales'!$A$2:$A$501,'Injection Sales'!$B$2:$B$501,A32))),'Injection Sales'!$H$2:$H$501),""))</f>
        <v/>
      </c>
      <c r="I32" s="21" t="str">
        <f aca="true">IF(OR(A32="",D32=""),"",IF(TODAY()-D32&lt;=Settings!$B$7,"Active","Inactive"))</f>
        <v/>
      </c>
    </row>
    <row r="33" customFormat="false" ht="15" hidden="false" customHeight="false" outlineLevel="0" collapsed="false">
      <c r="A33" s="1"/>
      <c r="B33" s="22"/>
      <c r="C33" s="18" t="str">
        <f aca="false">IF(OR(A33="",COUNTIF('Injection Sales'!$B$2:$B$501,A33)+COUNTIF('Protein Sales'!$B$2:$B$501,A33)+COUNTIF('Diet Support'!$B$2:$B$501,A33)=0),"",MIN(IF(COUNTIF('Injection Sales'!$B$2:$B$501,A33),_xlfn.MINIFS('Injection Sales'!$A$2:$A$501,'Injection Sales'!$B$2:$B$501,A33),99999),IF(COUNTIF('Protein Sales'!$B$2:$B$501,A33),_xlfn.MINIFS('Protein Sales'!$A$2:$A$501,'Protein Sales'!$B$2:$B$501,A33),99999),IF(COUNTIF('Diet Support'!$B$2:$B$501,A33),_xlfn.MINIFS('Diet Support'!$A$2:$A$501,'Diet Support'!$B$2:$B$501,A33),99999)))</f>
        <v/>
      </c>
      <c r="D33" s="18" t="str">
        <f aca="false">IF(OR(A33="",COUNTIF('Injection Sales'!$B$2:$B$501,A33)+COUNTIF('Protein Sales'!$B$2:$B$501,A33)+COUNTIF('Diet Support'!$B$2:$B$501,A33)=0),"",MAX(_xlfn.MAXIFS('Injection Sales'!$A$2:$A$501,'Injection Sales'!$B$2:$B$501,A33),_xlfn.MAXIFS('Protein Sales'!$A$2:$A$501,'Protein Sales'!$B$2:$B$501,A33),_xlfn.MAXIFS('Diet Support'!$A$2:$A$501,'Diet Support'!$B$2:$B$501,A33)))</f>
        <v/>
      </c>
      <c r="E33" s="19" t="str">
        <f aca="false">IF(A33="","",COUNTIF('Injection Sales'!$B$2:$B$501,A33)+COUNTIF('Protein Sales'!$B$2:$B$501,A33)+COUNTIF('Diet Support'!$B$2:$B$501,A33))</f>
        <v/>
      </c>
      <c r="F33" s="20" t="str">
        <f aca="false">IF(A33="","",SUMIF('Injection Sales'!$B$2:$B$501,A33,'Injection Sales'!$G$2:$G$501)+SUMIF('Protein Sales'!$B$2:$B$501,A33,'Protein Sales'!$F$2:$F$501)+SUMIF('Diet Support'!$B$2:$B$501,A33,'Diet Support'!$E$2:$E$501))</f>
        <v/>
      </c>
      <c r="G33" s="21" t="str">
        <f aca="false">IF(OR(A33="",COUNTIF('Injection Sales'!$B$2:$B$501,A33)=0),"",IFERROR(LOOKUP(2,1/(('Injection Sales'!$B$2:$B$501=A33)*('Injection Sales'!$A$2:$A$501=_xlfn.MAXIFS('Injection Sales'!$A$2:$A$501,'Injection Sales'!$B$2:$B$501,A33))),'Injection Sales'!$E$2:$E$501),""))</f>
        <v/>
      </c>
      <c r="H33" s="21" t="str">
        <f aca="false">IF(OR(A33="",COUNTIF('Injection Sales'!$B$2:$B$501,A33)=0),"",IFERROR(LOOKUP(2,1/(('Injection Sales'!$B$2:$B$501=A33)*('Injection Sales'!$A$2:$A$501=_xlfn.MAXIFS('Injection Sales'!$A$2:$A$501,'Injection Sales'!$B$2:$B$501,A33))),'Injection Sales'!$H$2:$H$501),""))</f>
        <v/>
      </c>
      <c r="I33" s="21" t="str">
        <f aca="true">IF(OR(A33="",D33=""),"",IF(TODAY()-D33&lt;=Settings!$B$7,"Active","Inactive"))</f>
        <v/>
      </c>
    </row>
    <row r="34" customFormat="false" ht="15" hidden="false" customHeight="false" outlineLevel="0" collapsed="false">
      <c r="A34" s="1"/>
      <c r="B34" s="22"/>
      <c r="C34" s="18" t="str">
        <f aca="false">IF(OR(A34="",COUNTIF('Injection Sales'!$B$2:$B$501,A34)+COUNTIF('Protein Sales'!$B$2:$B$501,A34)+COUNTIF('Diet Support'!$B$2:$B$501,A34)=0),"",MIN(IF(COUNTIF('Injection Sales'!$B$2:$B$501,A34),_xlfn.MINIFS('Injection Sales'!$A$2:$A$501,'Injection Sales'!$B$2:$B$501,A34),99999),IF(COUNTIF('Protein Sales'!$B$2:$B$501,A34),_xlfn.MINIFS('Protein Sales'!$A$2:$A$501,'Protein Sales'!$B$2:$B$501,A34),99999),IF(COUNTIF('Diet Support'!$B$2:$B$501,A34),_xlfn.MINIFS('Diet Support'!$A$2:$A$501,'Diet Support'!$B$2:$B$501,A34),99999)))</f>
        <v/>
      </c>
      <c r="D34" s="18" t="str">
        <f aca="false">IF(OR(A34="",COUNTIF('Injection Sales'!$B$2:$B$501,A34)+COUNTIF('Protein Sales'!$B$2:$B$501,A34)+COUNTIF('Diet Support'!$B$2:$B$501,A34)=0),"",MAX(_xlfn.MAXIFS('Injection Sales'!$A$2:$A$501,'Injection Sales'!$B$2:$B$501,A34),_xlfn.MAXIFS('Protein Sales'!$A$2:$A$501,'Protein Sales'!$B$2:$B$501,A34),_xlfn.MAXIFS('Diet Support'!$A$2:$A$501,'Diet Support'!$B$2:$B$501,A34)))</f>
        <v/>
      </c>
      <c r="E34" s="19" t="str">
        <f aca="false">IF(A34="","",COUNTIF('Injection Sales'!$B$2:$B$501,A34)+COUNTIF('Protein Sales'!$B$2:$B$501,A34)+COUNTIF('Diet Support'!$B$2:$B$501,A34))</f>
        <v/>
      </c>
      <c r="F34" s="20" t="str">
        <f aca="false">IF(A34="","",SUMIF('Injection Sales'!$B$2:$B$501,A34,'Injection Sales'!$G$2:$G$501)+SUMIF('Protein Sales'!$B$2:$B$501,A34,'Protein Sales'!$F$2:$F$501)+SUMIF('Diet Support'!$B$2:$B$501,A34,'Diet Support'!$E$2:$E$501))</f>
        <v/>
      </c>
      <c r="G34" s="21" t="str">
        <f aca="false">IF(OR(A34="",COUNTIF('Injection Sales'!$B$2:$B$501,A34)=0),"",IFERROR(LOOKUP(2,1/(('Injection Sales'!$B$2:$B$501=A34)*('Injection Sales'!$A$2:$A$501=_xlfn.MAXIFS('Injection Sales'!$A$2:$A$501,'Injection Sales'!$B$2:$B$501,A34))),'Injection Sales'!$E$2:$E$501),""))</f>
        <v/>
      </c>
      <c r="H34" s="21" t="str">
        <f aca="false">IF(OR(A34="",COUNTIF('Injection Sales'!$B$2:$B$501,A34)=0),"",IFERROR(LOOKUP(2,1/(('Injection Sales'!$B$2:$B$501=A34)*('Injection Sales'!$A$2:$A$501=_xlfn.MAXIFS('Injection Sales'!$A$2:$A$501,'Injection Sales'!$B$2:$B$501,A34))),'Injection Sales'!$H$2:$H$501),""))</f>
        <v/>
      </c>
      <c r="I34" s="21" t="str">
        <f aca="true">IF(OR(A34="",D34=""),"",IF(TODAY()-D34&lt;=Settings!$B$7,"Active","Inactive"))</f>
        <v/>
      </c>
    </row>
    <row r="35" customFormat="false" ht="15" hidden="false" customHeight="false" outlineLevel="0" collapsed="false">
      <c r="A35" s="1"/>
      <c r="B35" s="22"/>
      <c r="C35" s="18" t="str">
        <f aca="false">IF(OR(A35="",COUNTIF('Injection Sales'!$B$2:$B$501,A35)+COUNTIF('Protein Sales'!$B$2:$B$501,A35)+COUNTIF('Diet Support'!$B$2:$B$501,A35)=0),"",MIN(IF(COUNTIF('Injection Sales'!$B$2:$B$501,A35),_xlfn.MINIFS('Injection Sales'!$A$2:$A$501,'Injection Sales'!$B$2:$B$501,A35),99999),IF(COUNTIF('Protein Sales'!$B$2:$B$501,A35),_xlfn.MINIFS('Protein Sales'!$A$2:$A$501,'Protein Sales'!$B$2:$B$501,A35),99999),IF(COUNTIF('Diet Support'!$B$2:$B$501,A35),_xlfn.MINIFS('Diet Support'!$A$2:$A$501,'Diet Support'!$B$2:$B$501,A35),99999)))</f>
        <v/>
      </c>
      <c r="D35" s="18" t="str">
        <f aca="false">IF(OR(A35="",COUNTIF('Injection Sales'!$B$2:$B$501,A35)+COUNTIF('Protein Sales'!$B$2:$B$501,A35)+COUNTIF('Diet Support'!$B$2:$B$501,A35)=0),"",MAX(_xlfn.MAXIFS('Injection Sales'!$A$2:$A$501,'Injection Sales'!$B$2:$B$501,A35),_xlfn.MAXIFS('Protein Sales'!$A$2:$A$501,'Protein Sales'!$B$2:$B$501,A35),_xlfn.MAXIFS('Diet Support'!$A$2:$A$501,'Diet Support'!$B$2:$B$501,A35)))</f>
        <v/>
      </c>
      <c r="E35" s="19" t="str">
        <f aca="false">IF(A35="","",COUNTIF('Injection Sales'!$B$2:$B$501,A35)+COUNTIF('Protein Sales'!$B$2:$B$501,A35)+COUNTIF('Diet Support'!$B$2:$B$501,A35))</f>
        <v/>
      </c>
      <c r="F35" s="20" t="str">
        <f aca="false">IF(A35="","",SUMIF('Injection Sales'!$B$2:$B$501,A35,'Injection Sales'!$G$2:$G$501)+SUMIF('Protein Sales'!$B$2:$B$501,A35,'Protein Sales'!$F$2:$F$501)+SUMIF('Diet Support'!$B$2:$B$501,A35,'Diet Support'!$E$2:$E$501))</f>
        <v/>
      </c>
      <c r="G35" s="21" t="str">
        <f aca="false">IF(OR(A35="",COUNTIF('Injection Sales'!$B$2:$B$501,A35)=0),"",IFERROR(LOOKUP(2,1/(('Injection Sales'!$B$2:$B$501=A35)*('Injection Sales'!$A$2:$A$501=_xlfn.MAXIFS('Injection Sales'!$A$2:$A$501,'Injection Sales'!$B$2:$B$501,A35))),'Injection Sales'!$E$2:$E$501),""))</f>
        <v/>
      </c>
      <c r="H35" s="21" t="str">
        <f aca="false">IF(OR(A35="",COUNTIF('Injection Sales'!$B$2:$B$501,A35)=0),"",IFERROR(LOOKUP(2,1/(('Injection Sales'!$B$2:$B$501=A35)*('Injection Sales'!$A$2:$A$501=_xlfn.MAXIFS('Injection Sales'!$A$2:$A$501,'Injection Sales'!$B$2:$B$501,A35))),'Injection Sales'!$H$2:$H$501),""))</f>
        <v/>
      </c>
      <c r="I35" s="21" t="str">
        <f aca="true">IF(OR(A35="",D35=""),"",IF(TODAY()-D35&lt;=Settings!$B$7,"Active","Inactive"))</f>
        <v/>
      </c>
    </row>
    <row r="36" customFormat="false" ht="15" hidden="false" customHeight="false" outlineLevel="0" collapsed="false">
      <c r="A36" s="1"/>
      <c r="B36" s="22"/>
      <c r="C36" s="18" t="str">
        <f aca="false">IF(OR(A36="",COUNTIF('Injection Sales'!$B$2:$B$501,A36)+COUNTIF('Protein Sales'!$B$2:$B$501,A36)+COUNTIF('Diet Support'!$B$2:$B$501,A36)=0),"",MIN(IF(COUNTIF('Injection Sales'!$B$2:$B$501,A36),_xlfn.MINIFS('Injection Sales'!$A$2:$A$501,'Injection Sales'!$B$2:$B$501,A36),99999),IF(COUNTIF('Protein Sales'!$B$2:$B$501,A36),_xlfn.MINIFS('Protein Sales'!$A$2:$A$501,'Protein Sales'!$B$2:$B$501,A36),99999),IF(COUNTIF('Diet Support'!$B$2:$B$501,A36),_xlfn.MINIFS('Diet Support'!$A$2:$A$501,'Diet Support'!$B$2:$B$501,A36),99999)))</f>
        <v/>
      </c>
      <c r="D36" s="18" t="str">
        <f aca="false">IF(OR(A36="",COUNTIF('Injection Sales'!$B$2:$B$501,A36)+COUNTIF('Protein Sales'!$B$2:$B$501,A36)+COUNTIF('Diet Support'!$B$2:$B$501,A36)=0),"",MAX(_xlfn.MAXIFS('Injection Sales'!$A$2:$A$501,'Injection Sales'!$B$2:$B$501,A36),_xlfn.MAXIFS('Protein Sales'!$A$2:$A$501,'Protein Sales'!$B$2:$B$501,A36),_xlfn.MAXIFS('Diet Support'!$A$2:$A$501,'Diet Support'!$B$2:$B$501,A36)))</f>
        <v/>
      </c>
      <c r="E36" s="19" t="str">
        <f aca="false">IF(A36="","",COUNTIF('Injection Sales'!$B$2:$B$501,A36)+COUNTIF('Protein Sales'!$B$2:$B$501,A36)+COUNTIF('Diet Support'!$B$2:$B$501,A36))</f>
        <v/>
      </c>
      <c r="F36" s="20" t="str">
        <f aca="false">IF(A36="","",SUMIF('Injection Sales'!$B$2:$B$501,A36,'Injection Sales'!$G$2:$G$501)+SUMIF('Protein Sales'!$B$2:$B$501,A36,'Protein Sales'!$F$2:$F$501)+SUMIF('Diet Support'!$B$2:$B$501,A36,'Diet Support'!$E$2:$E$501))</f>
        <v/>
      </c>
      <c r="G36" s="21" t="str">
        <f aca="false">IF(OR(A36="",COUNTIF('Injection Sales'!$B$2:$B$501,A36)=0),"",IFERROR(LOOKUP(2,1/(('Injection Sales'!$B$2:$B$501=A36)*('Injection Sales'!$A$2:$A$501=_xlfn.MAXIFS('Injection Sales'!$A$2:$A$501,'Injection Sales'!$B$2:$B$501,A36))),'Injection Sales'!$E$2:$E$501),""))</f>
        <v/>
      </c>
      <c r="H36" s="21" t="str">
        <f aca="false">IF(OR(A36="",COUNTIF('Injection Sales'!$B$2:$B$501,A36)=0),"",IFERROR(LOOKUP(2,1/(('Injection Sales'!$B$2:$B$501=A36)*('Injection Sales'!$A$2:$A$501=_xlfn.MAXIFS('Injection Sales'!$A$2:$A$501,'Injection Sales'!$B$2:$B$501,A36))),'Injection Sales'!$H$2:$H$501),""))</f>
        <v/>
      </c>
      <c r="I36" s="21" t="str">
        <f aca="true">IF(OR(A36="",D36=""),"",IF(TODAY()-D36&lt;=Settings!$B$7,"Active","Inactive"))</f>
        <v/>
      </c>
    </row>
    <row r="37" customFormat="false" ht="15" hidden="false" customHeight="false" outlineLevel="0" collapsed="false">
      <c r="A37" s="1"/>
      <c r="B37" s="22"/>
      <c r="C37" s="18" t="str">
        <f aca="false">IF(OR(A37="",COUNTIF('Injection Sales'!$B$2:$B$501,A37)+COUNTIF('Protein Sales'!$B$2:$B$501,A37)+COUNTIF('Diet Support'!$B$2:$B$501,A37)=0),"",MIN(IF(COUNTIF('Injection Sales'!$B$2:$B$501,A37),_xlfn.MINIFS('Injection Sales'!$A$2:$A$501,'Injection Sales'!$B$2:$B$501,A37),99999),IF(COUNTIF('Protein Sales'!$B$2:$B$501,A37),_xlfn.MINIFS('Protein Sales'!$A$2:$A$501,'Protein Sales'!$B$2:$B$501,A37),99999),IF(COUNTIF('Diet Support'!$B$2:$B$501,A37),_xlfn.MINIFS('Diet Support'!$A$2:$A$501,'Diet Support'!$B$2:$B$501,A37),99999)))</f>
        <v/>
      </c>
      <c r="D37" s="18" t="str">
        <f aca="false">IF(OR(A37="",COUNTIF('Injection Sales'!$B$2:$B$501,A37)+COUNTIF('Protein Sales'!$B$2:$B$501,A37)+COUNTIF('Diet Support'!$B$2:$B$501,A37)=0),"",MAX(_xlfn.MAXIFS('Injection Sales'!$A$2:$A$501,'Injection Sales'!$B$2:$B$501,A37),_xlfn.MAXIFS('Protein Sales'!$A$2:$A$501,'Protein Sales'!$B$2:$B$501,A37),_xlfn.MAXIFS('Diet Support'!$A$2:$A$501,'Diet Support'!$B$2:$B$501,A37)))</f>
        <v/>
      </c>
      <c r="E37" s="19" t="str">
        <f aca="false">IF(A37="","",COUNTIF('Injection Sales'!$B$2:$B$501,A37)+COUNTIF('Protein Sales'!$B$2:$B$501,A37)+COUNTIF('Diet Support'!$B$2:$B$501,A37))</f>
        <v/>
      </c>
      <c r="F37" s="20" t="str">
        <f aca="false">IF(A37="","",SUMIF('Injection Sales'!$B$2:$B$501,A37,'Injection Sales'!$G$2:$G$501)+SUMIF('Protein Sales'!$B$2:$B$501,A37,'Protein Sales'!$F$2:$F$501)+SUMIF('Diet Support'!$B$2:$B$501,A37,'Diet Support'!$E$2:$E$501))</f>
        <v/>
      </c>
      <c r="G37" s="21" t="str">
        <f aca="false">IF(OR(A37="",COUNTIF('Injection Sales'!$B$2:$B$501,A37)=0),"",IFERROR(LOOKUP(2,1/(('Injection Sales'!$B$2:$B$501=A37)*('Injection Sales'!$A$2:$A$501=_xlfn.MAXIFS('Injection Sales'!$A$2:$A$501,'Injection Sales'!$B$2:$B$501,A37))),'Injection Sales'!$E$2:$E$501),""))</f>
        <v/>
      </c>
      <c r="H37" s="21" t="str">
        <f aca="false">IF(OR(A37="",COUNTIF('Injection Sales'!$B$2:$B$501,A37)=0),"",IFERROR(LOOKUP(2,1/(('Injection Sales'!$B$2:$B$501=A37)*('Injection Sales'!$A$2:$A$501=_xlfn.MAXIFS('Injection Sales'!$A$2:$A$501,'Injection Sales'!$B$2:$B$501,A37))),'Injection Sales'!$H$2:$H$501),""))</f>
        <v/>
      </c>
      <c r="I37" s="21" t="str">
        <f aca="true">IF(OR(A37="",D37=""),"",IF(TODAY()-D37&lt;=Settings!$B$7,"Active","Inactive"))</f>
        <v/>
      </c>
    </row>
    <row r="38" customFormat="false" ht="15" hidden="false" customHeight="false" outlineLevel="0" collapsed="false">
      <c r="A38" s="1"/>
      <c r="B38" s="22"/>
      <c r="C38" s="18" t="str">
        <f aca="false">IF(OR(A38="",COUNTIF('Injection Sales'!$B$2:$B$501,A38)+COUNTIF('Protein Sales'!$B$2:$B$501,A38)+COUNTIF('Diet Support'!$B$2:$B$501,A38)=0),"",MIN(IF(COUNTIF('Injection Sales'!$B$2:$B$501,A38),_xlfn.MINIFS('Injection Sales'!$A$2:$A$501,'Injection Sales'!$B$2:$B$501,A38),99999),IF(COUNTIF('Protein Sales'!$B$2:$B$501,A38),_xlfn.MINIFS('Protein Sales'!$A$2:$A$501,'Protein Sales'!$B$2:$B$501,A38),99999),IF(COUNTIF('Diet Support'!$B$2:$B$501,A38),_xlfn.MINIFS('Diet Support'!$A$2:$A$501,'Diet Support'!$B$2:$B$501,A38),99999)))</f>
        <v/>
      </c>
      <c r="D38" s="18" t="str">
        <f aca="false">IF(OR(A38="",COUNTIF('Injection Sales'!$B$2:$B$501,A38)+COUNTIF('Protein Sales'!$B$2:$B$501,A38)+COUNTIF('Diet Support'!$B$2:$B$501,A38)=0),"",MAX(_xlfn.MAXIFS('Injection Sales'!$A$2:$A$501,'Injection Sales'!$B$2:$B$501,A38),_xlfn.MAXIFS('Protein Sales'!$A$2:$A$501,'Protein Sales'!$B$2:$B$501,A38),_xlfn.MAXIFS('Diet Support'!$A$2:$A$501,'Diet Support'!$B$2:$B$501,A38)))</f>
        <v/>
      </c>
      <c r="E38" s="19" t="str">
        <f aca="false">IF(A38="","",COUNTIF('Injection Sales'!$B$2:$B$501,A38)+COUNTIF('Protein Sales'!$B$2:$B$501,A38)+COUNTIF('Diet Support'!$B$2:$B$501,A38))</f>
        <v/>
      </c>
      <c r="F38" s="20" t="str">
        <f aca="false">IF(A38="","",SUMIF('Injection Sales'!$B$2:$B$501,A38,'Injection Sales'!$G$2:$G$501)+SUMIF('Protein Sales'!$B$2:$B$501,A38,'Protein Sales'!$F$2:$F$501)+SUMIF('Diet Support'!$B$2:$B$501,A38,'Diet Support'!$E$2:$E$501))</f>
        <v/>
      </c>
      <c r="G38" s="21" t="str">
        <f aca="false">IF(OR(A38="",COUNTIF('Injection Sales'!$B$2:$B$501,A38)=0),"",IFERROR(LOOKUP(2,1/(('Injection Sales'!$B$2:$B$501=A38)*('Injection Sales'!$A$2:$A$501=_xlfn.MAXIFS('Injection Sales'!$A$2:$A$501,'Injection Sales'!$B$2:$B$501,A38))),'Injection Sales'!$E$2:$E$501),""))</f>
        <v/>
      </c>
      <c r="H38" s="21" t="str">
        <f aca="false">IF(OR(A38="",COUNTIF('Injection Sales'!$B$2:$B$501,A38)=0),"",IFERROR(LOOKUP(2,1/(('Injection Sales'!$B$2:$B$501=A38)*('Injection Sales'!$A$2:$A$501=_xlfn.MAXIFS('Injection Sales'!$A$2:$A$501,'Injection Sales'!$B$2:$B$501,A38))),'Injection Sales'!$H$2:$H$501),""))</f>
        <v/>
      </c>
      <c r="I38" s="21" t="str">
        <f aca="true">IF(OR(A38="",D38=""),"",IF(TODAY()-D38&lt;=Settings!$B$7,"Active","Inactive"))</f>
        <v/>
      </c>
    </row>
    <row r="39" customFormat="false" ht="15" hidden="false" customHeight="false" outlineLevel="0" collapsed="false">
      <c r="A39" s="1"/>
      <c r="B39" s="22"/>
      <c r="C39" s="18" t="str">
        <f aca="false">IF(OR(A39="",COUNTIF('Injection Sales'!$B$2:$B$501,A39)+COUNTIF('Protein Sales'!$B$2:$B$501,A39)+COUNTIF('Diet Support'!$B$2:$B$501,A39)=0),"",MIN(IF(COUNTIF('Injection Sales'!$B$2:$B$501,A39),_xlfn.MINIFS('Injection Sales'!$A$2:$A$501,'Injection Sales'!$B$2:$B$501,A39),99999),IF(COUNTIF('Protein Sales'!$B$2:$B$501,A39),_xlfn.MINIFS('Protein Sales'!$A$2:$A$501,'Protein Sales'!$B$2:$B$501,A39),99999),IF(COUNTIF('Diet Support'!$B$2:$B$501,A39),_xlfn.MINIFS('Diet Support'!$A$2:$A$501,'Diet Support'!$B$2:$B$501,A39),99999)))</f>
        <v/>
      </c>
      <c r="D39" s="18" t="str">
        <f aca="false">IF(OR(A39="",COUNTIF('Injection Sales'!$B$2:$B$501,A39)+COUNTIF('Protein Sales'!$B$2:$B$501,A39)+COUNTIF('Diet Support'!$B$2:$B$501,A39)=0),"",MAX(_xlfn.MAXIFS('Injection Sales'!$A$2:$A$501,'Injection Sales'!$B$2:$B$501,A39),_xlfn.MAXIFS('Protein Sales'!$A$2:$A$501,'Protein Sales'!$B$2:$B$501,A39),_xlfn.MAXIFS('Diet Support'!$A$2:$A$501,'Diet Support'!$B$2:$B$501,A39)))</f>
        <v/>
      </c>
      <c r="E39" s="19" t="str">
        <f aca="false">IF(A39="","",COUNTIF('Injection Sales'!$B$2:$B$501,A39)+COUNTIF('Protein Sales'!$B$2:$B$501,A39)+COUNTIF('Diet Support'!$B$2:$B$501,A39))</f>
        <v/>
      </c>
      <c r="F39" s="20" t="str">
        <f aca="false">IF(A39="","",SUMIF('Injection Sales'!$B$2:$B$501,A39,'Injection Sales'!$G$2:$G$501)+SUMIF('Protein Sales'!$B$2:$B$501,A39,'Protein Sales'!$F$2:$F$501)+SUMIF('Diet Support'!$B$2:$B$501,A39,'Diet Support'!$E$2:$E$501))</f>
        <v/>
      </c>
      <c r="G39" s="21" t="str">
        <f aca="false">IF(OR(A39="",COUNTIF('Injection Sales'!$B$2:$B$501,A39)=0),"",IFERROR(LOOKUP(2,1/(('Injection Sales'!$B$2:$B$501=A39)*('Injection Sales'!$A$2:$A$501=_xlfn.MAXIFS('Injection Sales'!$A$2:$A$501,'Injection Sales'!$B$2:$B$501,A39))),'Injection Sales'!$E$2:$E$501),""))</f>
        <v/>
      </c>
      <c r="H39" s="21" t="str">
        <f aca="false">IF(OR(A39="",COUNTIF('Injection Sales'!$B$2:$B$501,A39)=0),"",IFERROR(LOOKUP(2,1/(('Injection Sales'!$B$2:$B$501=A39)*('Injection Sales'!$A$2:$A$501=_xlfn.MAXIFS('Injection Sales'!$A$2:$A$501,'Injection Sales'!$B$2:$B$501,A39))),'Injection Sales'!$H$2:$H$501),""))</f>
        <v/>
      </c>
      <c r="I39" s="21" t="str">
        <f aca="true">IF(OR(A39="",D39=""),"",IF(TODAY()-D39&lt;=Settings!$B$7,"Active","Inactive"))</f>
        <v/>
      </c>
    </row>
    <row r="40" customFormat="false" ht="15" hidden="false" customHeight="false" outlineLevel="0" collapsed="false">
      <c r="A40" s="1"/>
      <c r="B40" s="22"/>
      <c r="C40" s="18" t="str">
        <f aca="false">IF(OR(A40="",COUNTIF('Injection Sales'!$B$2:$B$501,A40)+COUNTIF('Protein Sales'!$B$2:$B$501,A40)+COUNTIF('Diet Support'!$B$2:$B$501,A40)=0),"",MIN(IF(COUNTIF('Injection Sales'!$B$2:$B$501,A40),_xlfn.MINIFS('Injection Sales'!$A$2:$A$501,'Injection Sales'!$B$2:$B$501,A40),99999),IF(COUNTIF('Protein Sales'!$B$2:$B$501,A40),_xlfn.MINIFS('Protein Sales'!$A$2:$A$501,'Protein Sales'!$B$2:$B$501,A40),99999),IF(COUNTIF('Diet Support'!$B$2:$B$501,A40),_xlfn.MINIFS('Diet Support'!$A$2:$A$501,'Diet Support'!$B$2:$B$501,A40),99999)))</f>
        <v/>
      </c>
      <c r="D40" s="18" t="str">
        <f aca="false">IF(OR(A40="",COUNTIF('Injection Sales'!$B$2:$B$501,A40)+COUNTIF('Protein Sales'!$B$2:$B$501,A40)+COUNTIF('Diet Support'!$B$2:$B$501,A40)=0),"",MAX(_xlfn.MAXIFS('Injection Sales'!$A$2:$A$501,'Injection Sales'!$B$2:$B$501,A40),_xlfn.MAXIFS('Protein Sales'!$A$2:$A$501,'Protein Sales'!$B$2:$B$501,A40),_xlfn.MAXIFS('Diet Support'!$A$2:$A$501,'Diet Support'!$B$2:$B$501,A40)))</f>
        <v/>
      </c>
      <c r="E40" s="19" t="str">
        <f aca="false">IF(A40="","",COUNTIF('Injection Sales'!$B$2:$B$501,A40)+COUNTIF('Protein Sales'!$B$2:$B$501,A40)+COUNTIF('Diet Support'!$B$2:$B$501,A40))</f>
        <v/>
      </c>
      <c r="F40" s="20" t="str">
        <f aca="false">IF(A40="","",SUMIF('Injection Sales'!$B$2:$B$501,A40,'Injection Sales'!$G$2:$G$501)+SUMIF('Protein Sales'!$B$2:$B$501,A40,'Protein Sales'!$F$2:$F$501)+SUMIF('Diet Support'!$B$2:$B$501,A40,'Diet Support'!$E$2:$E$501))</f>
        <v/>
      </c>
      <c r="G40" s="21" t="str">
        <f aca="false">IF(OR(A40="",COUNTIF('Injection Sales'!$B$2:$B$501,A40)=0),"",IFERROR(LOOKUP(2,1/(('Injection Sales'!$B$2:$B$501=A40)*('Injection Sales'!$A$2:$A$501=_xlfn.MAXIFS('Injection Sales'!$A$2:$A$501,'Injection Sales'!$B$2:$B$501,A40))),'Injection Sales'!$E$2:$E$501),""))</f>
        <v/>
      </c>
      <c r="H40" s="21" t="str">
        <f aca="false">IF(OR(A40="",COUNTIF('Injection Sales'!$B$2:$B$501,A40)=0),"",IFERROR(LOOKUP(2,1/(('Injection Sales'!$B$2:$B$501=A40)*('Injection Sales'!$A$2:$A$501=_xlfn.MAXIFS('Injection Sales'!$A$2:$A$501,'Injection Sales'!$B$2:$B$501,A40))),'Injection Sales'!$H$2:$H$501),""))</f>
        <v/>
      </c>
      <c r="I40" s="21" t="str">
        <f aca="true">IF(OR(A40="",D40=""),"",IF(TODAY()-D40&lt;=Settings!$B$7,"Active","Inactive"))</f>
        <v/>
      </c>
    </row>
    <row r="41" customFormat="false" ht="15" hidden="false" customHeight="false" outlineLevel="0" collapsed="false">
      <c r="A41" s="1"/>
      <c r="B41" s="22"/>
      <c r="C41" s="18" t="str">
        <f aca="false">IF(OR(A41="",COUNTIF('Injection Sales'!$B$2:$B$501,A41)+COUNTIF('Protein Sales'!$B$2:$B$501,A41)+COUNTIF('Diet Support'!$B$2:$B$501,A41)=0),"",MIN(IF(COUNTIF('Injection Sales'!$B$2:$B$501,A41),_xlfn.MINIFS('Injection Sales'!$A$2:$A$501,'Injection Sales'!$B$2:$B$501,A41),99999),IF(COUNTIF('Protein Sales'!$B$2:$B$501,A41),_xlfn.MINIFS('Protein Sales'!$A$2:$A$501,'Protein Sales'!$B$2:$B$501,A41),99999),IF(COUNTIF('Diet Support'!$B$2:$B$501,A41),_xlfn.MINIFS('Diet Support'!$A$2:$A$501,'Diet Support'!$B$2:$B$501,A41),99999)))</f>
        <v/>
      </c>
      <c r="D41" s="18" t="str">
        <f aca="false">IF(OR(A41="",COUNTIF('Injection Sales'!$B$2:$B$501,A41)+COUNTIF('Protein Sales'!$B$2:$B$501,A41)+COUNTIF('Diet Support'!$B$2:$B$501,A41)=0),"",MAX(_xlfn.MAXIFS('Injection Sales'!$A$2:$A$501,'Injection Sales'!$B$2:$B$501,A41),_xlfn.MAXIFS('Protein Sales'!$A$2:$A$501,'Protein Sales'!$B$2:$B$501,A41),_xlfn.MAXIFS('Diet Support'!$A$2:$A$501,'Diet Support'!$B$2:$B$501,A41)))</f>
        <v/>
      </c>
      <c r="E41" s="19" t="str">
        <f aca="false">IF(A41="","",COUNTIF('Injection Sales'!$B$2:$B$501,A41)+COUNTIF('Protein Sales'!$B$2:$B$501,A41)+COUNTIF('Diet Support'!$B$2:$B$501,A41))</f>
        <v/>
      </c>
      <c r="F41" s="20" t="str">
        <f aca="false">IF(A41="","",SUMIF('Injection Sales'!$B$2:$B$501,A41,'Injection Sales'!$G$2:$G$501)+SUMIF('Protein Sales'!$B$2:$B$501,A41,'Protein Sales'!$F$2:$F$501)+SUMIF('Diet Support'!$B$2:$B$501,A41,'Diet Support'!$E$2:$E$501))</f>
        <v/>
      </c>
      <c r="G41" s="21" t="str">
        <f aca="false">IF(OR(A41="",COUNTIF('Injection Sales'!$B$2:$B$501,A41)=0),"",IFERROR(LOOKUP(2,1/(('Injection Sales'!$B$2:$B$501=A41)*('Injection Sales'!$A$2:$A$501=_xlfn.MAXIFS('Injection Sales'!$A$2:$A$501,'Injection Sales'!$B$2:$B$501,A41))),'Injection Sales'!$E$2:$E$501),""))</f>
        <v/>
      </c>
      <c r="H41" s="21" t="str">
        <f aca="false">IF(OR(A41="",COUNTIF('Injection Sales'!$B$2:$B$501,A41)=0),"",IFERROR(LOOKUP(2,1/(('Injection Sales'!$B$2:$B$501=A41)*('Injection Sales'!$A$2:$A$501=_xlfn.MAXIFS('Injection Sales'!$A$2:$A$501,'Injection Sales'!$B$2:$B$501,A41))),'Injection Sales'!$H$2:$H$501),""))</f>
        <v/>
      </c>
      <c r="I41" s="21" t="str">
        <f aca="true">IF(OR(A41="",D41=""),"",IF(TODAY()-D41&lt;=Settings!$B$7,"Active","Inactive"))</f>
        <v/>
      </c>
    </row>
    <row r="42" customFormat="false" ht="15" hidden="false" customHeight="false" outlineLevel="0" collapsed="false">
      <c r="A42" s="1"/>
      <c r="B42" s="22"/>
      <c r="C42" s="18" t="str">
        <f aca="false">IF(OR(A42="",COUNTIF('Injection Sales'!$B$2:$B$501,A42)+COUNTIF('Protein Sales'!$B$2:$B$501,A42)+COUNTIF('Diet Support'!$B$2:$B$501,A42)=0),"",MIN(IF(COUNTIF('Injection Sales'!$B$2:$B$501,A42),_xlfn.MINIFS('Injection Sales'!$A$2:$A$501,'Injection Sales'!$B$2:$B$501,A42),99999),IF(COUNTIF('Protein Sales'!$B$2:$B$501,A42),_xlfn.MINIFS('Protein Sales'!$A$2:$A$501,'Protein Sales'!$B$2:$B$501,A42),99999),IF(COUNTIF('Diet Support'!$B$2:$B$501,A42),_xlfn.MINIFS('Diet Support'!$A$2:$A$501,'Diet Support'!$B$2:$B$501,A42),99999)))</f>
        <v/>
      </c>
      <c r="D42" s="18" t="str">
        <f aca="false">IF(OR(A42="",COUNTIF('Injection Sales'!$B$2:$B$501,A42)+COUNTIF('Protein Sales'!$B$2:$B$501,A42)+COUNTIF('Diet Support'!$B$2:$B$501,A42)=0),"",MAX(_xlfn.MAXIFS('Injection Sales'!$A$2:$A$501,'Injection Sales'!$B$2:$B$501,A42),_xlfn.MAXIFS('Protein Sales'!$A$2:$A$501,'Protein Sales'!$B$2:$B$501,A42),_xlfn.MAXIFS('Diet Support'!$A$2:$A$501,'Diet Support'!$B$2:$B$501,A42)))</f>
        <v/>
      </c>
      <c r="E42" s="19" t="str">
        <f aca="false">IF(A42="","",COUNTIF('Injection Sales'!$B$2:$B$501,A42)+COUNTIF('Protein Sales'!$B$2:$B$501,A42)+COUNTIF('Diet Support'!$B$2:$B$501,A42))</f>
        <v/>
      </c>
      <c r="F42" s="20" t="str">
        <f aca="false">IF(A42="","",SUMIF('Injection Sales'!$B$2:$B$501,A42,'Injection Sales'!$G$2:$G$501)+SUMIF('Protein Sales'!$B$2:$B$501,A42,'Protein Sales'!$F$2:$F$501)+SUMIF('Diet Support'!$B$2:$B$501,A42,'Diet Support'!$E$2:$E$501))</f>
        <v/>
      </c>
      <c r="G42" s="21" t="str">
        <f aca="false">IF(OR(A42="",COUNTIF('Injection Sales'!$B$2:$B$501,A42)=0),"",IFERROR(LOOKUP(2,1/(('Injection Sales'!$B$2:$B$501=A42)*('Injection Sales'!$A$2:$A$501=_xlfn.MAXIFS('Injection Sales'!$A$2:$A$501,'Injection Sales'!$B$2:$B$501,A42))),'Injection Sales'!$E$2:$E$501),""))</f>
        <v/>
      </c>
      <c r="H42" s="21" t="str">
        <f aca="false">IF(OR(A42="",COUNTIF('Injection Sales'!$B$2:$B$501,A42)=0),"",IFERROR(LOOKUP(2,1/(('Injection Sales'!$B$2:$B$501=A42)*('Injection Sales'!$A$2:$A$501=_xlfn.MAXIFS('Injection Sales'!$A$2:$A$501,'Injection Sales'!$B$2:$B$501,A42))),'Injection Sales'!$H$2:$H$501),""))</f>
        <v/>
      </c>
      <c r="I42" s="21" t="str">
        <f aca="true">IF(OR(A42="",D42=""),"",IF(TODAY()-D42&lt;=Settings!$B$7,"Active","Inactive"))</f>
        <v/>
      </c>
    </row>
    <row r="43" customFormat="false" ht="15" hidden="false" customHeight="false" outlineLevel="0" collapsed="false">
      <c r="A43" s="1"/>
      <c r="B43" s="22"/>
      <c r="C43" s="18" t="str">
        <f aca="false">IF(OR(A43="",COUNTIF('Injection Sales'!$B$2:$B$501,A43)+COUNTIF('Protein Sales'!$B$2:$B$501,A43)+COUNTIF('Diet Support'!$B$2:$B$501,A43)=0),"",MIN(IF(COUNTIF('Injection Sales'!$B$2:$B$501,A43),_xlfn.MINIFS('Injection Sales'!$A$2:$A$501,'Injection Sales'!$B$2:$B$501,A43),99999),IF(COUNTIF('Protein Sales'!$B$2:$B$501,A43),_xlfn.MINIFS('Protein Sales'!$A$2:$A$501,'Protein Sales'!$B$2:$B$501,A43),99999),IF(COUNTIF('Diet Support'!$B$2:$B$501,A43),_xlfn.MINIFS('Diet Support'!$A$2:$A$501,'Diet Support'!$B$2:$B$501,A43),99999)))</f>
        <v/>
      </c>
      <c r="D43" s="18" t="str">
        <f aca="false">IF(OR(A43="",COUNTIF('Injection Sales'!$B$2:$B$501,A43)+COUNTIF('Protein Sales'!$B$2:$B$501,A43)+COUNTIF('Diet Support'!$B$2:$B$501,A43)=0),"",MAX(_xlfn.MAXIFS('Injection Sales'!$A$2:$A$501,'Injection Sales'!$B$2:$B$501,A43),_xlfn.MAXIFS('Protein Sales'!$A$2:$A$501,'Protein Sales'!$B$2:$B$501,A43),_xlfn.MAXIFS('Diet Support'!$A$2:$A$501,'Diet Support'!$B$2:$B$501,A43)))</f>
        <v/>
      </c>
      <c r="E43" s="19" t="str">
        <f aca="false">IF(A43="","",COUNTIF('Injection Sales'!$B$2:$B$501,A43)+COUNTIF('Protein Sales'!$B$2:$B$501,A43)+COUNTIF('Diet Support'!$B$2:$B$501,A43))</f>
        <v/>
      </c>
      <c r="F43" s="20" t="str">
        <f aca="false">IF(A43="","",SUMIF('Injection Sales'!$B$2:$B$501,A43,'Injection Sales'!$G$2:$G$501)+SUMIF('Protein Sales'!$B$2:$B$501,A43,'Protein Sales'!$F$2:$F$501)+SUMIF('Diet Support'!$B$2:$B$501,A43,'Diet Support'!$E$2:$E$501))</f>
        <v/>
      </c>
      <c r="G43" s="21" t="str">
        <f aca="false">IF(OR(A43="",COUNTIF('Injection Sales'!$B$2:$B$501,A43)=0),"",IFERROR(LOOKUP(2,1/(('Injection Sales'!$B$2:$B$501=A43)*('Injection Sales'!$A$2:$A$501=_xlfn.MAXIFS('Injection Sales'!$A$2:$A$501,'Injection Sales'!$B$2:$B$501,A43))),'Injection Sales'!$E$2:$E$501),""))</f>
        <v/>
      </c>
      <c r="H43" s="21" t="str">
        <f aca="false">IF(OR(A43="",COUNTIF('Injection Sales'!$B$2:$B$501,A43)=0),"",IFERROR(LOOKUP(2,1/(('Injection Sales'!$B$2:$B$501=A43)*('Injection Sales'!$A$2:$A$501=_xlfn.MAXIFS('Injection Sales'!$A$2:$A$501,'Injection Sales'!$B$2:$B$501,A43))),'Injection Sales'!$H$2:$H$501),""))</f>
        <v/>
      </c>
      <c r="I43" s="21" t="str">
        <f aca="true">IF(OR(A43="",D43=""),"",IF(TODAY()-D43&lt;=Settings!$B$7,"Active","Inactive"))</f>
        <v/>
      </c>
    </row>
    <row r="44" customFormat="false" ht="15" hidden="false" customHeight="false" outlineLevel="0" collapsed="false">
      <c r="A44" s="1"/>
      <c r="B44" s="22"/>
      <c r="C44" s="18" t="str">
        <f aca="false">IF(OR(A44="",COUNTIF('Injection Sales'!$B$2:$B$501,A44)+COUNTIF('Protein Sales'!$B$2:$B$501,A44)+COUNTIF('Diet Support'!$B$2:$B$501,A44)=0),"",MIN(IF(COUNTIF('Injection Sales'!$B$2:$B$501,A44),_xlfn.MINIFS('Injection Sales'!$A$2:$A$501,'Injection Sales'!$B$2:$B$501,A44),99999),IF(COUNTIF('Protein Sales'!$B$2:$B$501,A44),_xlfn.MINIFS('Protein Sales'!$A$2:$A$501,'Protein Sales'!$B$2:$B$501,A44),99999),IF(COUNTIF('Diet Support'!$B$2:$B$501,A44),_xlfn.MINIFS('Diet Support'!$A$2:$A$501,'Diet Support'!$B$2:$B$501,A44),99999)))</f>
        <v/>
      </c>
      <c r="D44" s="18" t="str">
        <f aca="false">IF(OR(A44="",COUNTIF('Injection Sales'!$B$2:$B$501,A44)+COUNTIF('Protein Sales'!$B$2:$B$501,A44)+COUNTIF('Diet Support'!$B$2:$B$501,A44)=0),"",MAX(_xlfn.MAXIFS('Injection Sales'!$A$2:$A$501,'Injection Sales'!$B$2:$B$501,A44),_xlfn.MAXIFS('Protein Sales'!$A$2:$A$501,'Protein Sales'!$B$2:$B$501,A44),_xlfn.MAXIFS('Diet Support'!$A$2:$A$501,'Diet Support'!$B$2:$B$501,A44)))</f>
        <v/>
      </c>
      <c r="E44" s="19" t="str">
        <f aca="false">IF(A44="","",COUNTIF('Injection Sales'!$B$2:$B$501,A44)+COUNTIF('Protein Sales'!$B$2:$B$501,A44)+COUNTIF('Diet Support'!$B$2:$B$501,A44))</f>
        <v/>
      </c>
      <c r="F44" s="20" t="str">
        <f aca="false">IF(A44="","",SUMIF('Injection Sales'!$B$2:$B$501,A44,'Injection Sales'!$G$2:$G$501)+SUMIF('Protein Sales'!$B$2:$B$501,A44,'Protein Sales'!$F$2:$F$501)+SUMIF('Diet Support'!$B$2:$B$501,A44,'Diet Support'!$E$2:$E$501))</f>
        <v/>
      </c>
      <c r="G44" s="21" t="str">
        <f aca="false">IF(OR(A44="",COUNTIF('Injection Sales'!$B$2:$B$501,A44)=0),"",IFERROR(LOOKUP(2,1/(('Injection Sales'!$B$2:$B$501=A44)*('Injection Sales'!$A$2:$A$501=_xlfn.MAXIFS('Injection Sales'!$A$2:$A$501,'Injection Sales'!$B$2:$B$501,A44))),'Injection Sales'!$E$2:$E$501),""))</f>
        <v/>
      </c>
      <c r="H44" s="21" t="str">
        <f aca="false">IF(OR(A44="",COUNTIF('Injection Sales'!$B$2:$B$501,A44)=0),"",IFERROR(LOOKUP(2,1/(('Injection Sales'!$B$2:$B$501=A44)*('Injection Sales'!$A$2:$A$501=_xlfn.MAXIFS('Injection Sales'!$A$2:$A$501,'Injection Sales'!$B$2:$B$501,A44))),'Injection Sales'!$H$2:$H$501),""))</f>
        <v/>
      </c>
      <c r="I44" s="21" t="str">
        <f aca="true">IF(OR(A44="",D44=""),"",IF(TODAY()-D44&lt;=Settings!$B$7,"Active","Inactive"))</f>
        <v/>
      </c>
    </row>
    <row r="45" customFormat="false" ht="15" hidden="false" customHeight="false" outlineLevel="0" collapsed="false">
      <c r="A45" s="1"/>
      <c r="B45" s="22"/>
      <c r="C45" s="18" t="str">
        <f aca="false">IF(OR(A45="",COUNTIF('Injection Sales'!$B$2:$B$501,A45)+COUNTIF('Protein Sales'!$B$2:$B$501,A45)+COUNTIF('Diet Support'!$B$2:$B$501,A45)=0),"",MIN(IF(COUNTIF('Injection Sales'!$B$2:$B$501,A45),_xlfn.MINIFS('Injection Sales'!$A$2:$A$501,'Injection Sales'!$B$2:$B$501,A45),99999),IF(COUNTIF('Protein Sales'!$B$2:$B$501,A45),_xlfn.MINIFS('Protein Sales'!$A$2:$A$501,'Protein Sales'!$B$2:$B$501,A45),99999),IF(COUNTIF('Diet Support'!$B$2:$B$501,A45),_xlfn.MINIFS('Diet Support'!$A$2:$A$501,'Diet Support'!$B$2:$B$501,A45),99999)))</f>
        <v/>
      </c>
      <c r="D45" s="18" t="str">
        <f aca="false">IF(OR(A45="",COUNTIF('Injection Sales'!$B$2:$B$501,A45)+COUNTIF('Protein Sales'!$B$2:$B$501,A45)+COUNTIF('Diet Support'!$B$2:$B$501,A45)=0),"",MAX(_xlfn.MAXIFS('Injection Sales'!$A$2:$A$501,'Injection Sales'!$B$2:$B$501,A45),_xlfn.MAXIFS('Protein Sales'!$A$2:$A$501,'Protein Sales'!$B$2:$B$501,A45),_xlfn.MAXIFS('Diet Support'!$A$2:$A$501,'Diet Support'!$B$2:$B$501,A45)))</f>
        <v/>
      </c>
      <c r="E45" s="19" t="str">
        <f aca="false">IF(A45="","",COUNTIF('Injection Sales'!$B$2:$B$501,A45)+COUNTIF('Protein Sales'!$B$2:$B$501,A45)+COUNTIF('Diet Support'!$B$2:$B$501,A45))</f>
        <v/>
      </c>
      <c r="F45" s="20" t="str">
        <f aca="false">IF(A45="","",SUMIF('Injection Sales'!$B$2:$B$501,A45,'Injection Sales'!$G$2:$G$501)+SUMIF('Protein Sales'!$B$2:$B$501,A45,'Protein Sales'!$F$2:$F$501)+SUMIF('Diet Support'!$B$2:$B$501,A45,'Diet Support'!$E$2:$E$501))</f>
        <v/>
      </c>
      <c r="G45" s="21" t="str">
        <f aca="false">IF(OR(A45="",COUNTIF('Injection Sales'!$B$2:$B$501,A45)=0),"",IFERROR(LOOKUP(2,1/(('Injection Sales'!$B$2:$B$501=A45)*('Injection Sales'!$A$2:$A$501=_xlfn.MAXIFS('Injection Sales'!$A$2:$A$501,'Injection Sales'!$B$2:$B$501,A45))),'Injection Sales'!$E$2:$E$501),""))</f>
        <v/>
      </c>
      <c r="H45" s="21" t="str">
        <f aca="false">IF(OR(A45="",COUNTIF('Injection Sales'!$B$2:$B$501,A45)=0),"",IFERROR(LOOKUP(2,1/(('Injection Sales'!$B$2:$B$501=A45)*('Injection Sales'!$A$2:$A$501=_xlfn.MAXIFS('Injection Sales'!$A$2:$A$501,'Injection Sales'!$B$2:$B$501,A45))),'Injection Sales'!$H$2:$H$501),""))</f>
        <v/>
      </c>
      <c r="I45" s="21" t="str">
        <f aca="true">IF(OR(A45="",D45=""),"",IF(TODAY()-D45&lt;=Settings!$B$7,"Active","Inactive"))</f>
        <v/>
      </c>
    </row>
    <row r="46" customFormat="false" ht="15" hidden="false" customHeight="false" outlineLevel="0" collapsed="false">
      <c r="A46" s="1"/>
      <c r="B46" s="22"/>
      <c r="C46" s="18" t="str">
        <f aca="false">IF(OR(A46="",COUNTIF('Injection Sales'!$B$2:$B$501,A46)+COUNTIF('Protein Sales'!$B$2:$B$501,A46)+COUNTIF('Diet Support'!$B$2:$B$501,A46)=0),"",MIN(IF(COUNTIF('Injection Sales'!$B$2:$B$501,A46),_xlfn.MINIFS('Injection Sales'!$A$2:$A$501,'Injection Sales'!$B$2:$B$501,A46),99999),IF(COUNTIF('Protein Sales'!$B$2:$B$501,A46),_xlfn.MINIFS('Protein Sales'!$A$2:$A$501,'Protein Sales'!$B$2:$B$501,A46),99999),IF(COUNTIF('Diet Support'!$B$2:$B$501,A46),_xlfn.MINIFS('Diet Support'!$A$2:$A$501,'Diet Support'!$B$2:$B$501,A46),99999)))</f>
        <v/>
      </c>
      <c r="D46" s="18" t="str">
        <f aca="false">IF(OR(A46="",COUNTIF('Injection Sales'!$B$2:$B$501,A46)+COUNTIF('Protein Sales'!$B$2:$B$501,A46)+COUNTIF('Diet Support'!$B$2:$B$501,A46)=0),"",MAX(_xlfn.MAXIFS('Injection Sales'!$A$2:$A$501,'Injection Sales'!$B$2:$B$501,A46),_xlfn.MAXIFS('Protein Sales'!$A$2:$A$501,'Protein Sales'!$B$2:$B$501,A46),_xlfn.MAXIFS('Diet Support'!$A$2:$A$501,'Diet Support'!$B$2:$B$501,A46)))</f>
        <v/>
      </c>
      <c r="E46" s="19" t="str">
        <f aca="false">IF(A46="","",COUNTIF('Injection Sales'!$B$2:$B$501,A46)+COUNTIF('Protein Sales'!$B$2:$B$501,A46)+COUNTIF('Diet Support'!$B$2:$B$501,A46))</f>
        <v/>
      </c>
      <c r="F46" s="20" t="str">
        <f aca="false">IF(A46="","",SUMIF('Injection Sales'!$B$2:$B$501,A46,'Injection Sales'!$G$2:$G$501)+SUMIF('Protein Sales'!$B$2:$B$501,A46,'Protein Sales'!$F$2:$F$501)+SUMIF('Diet Support'!$B$2:$B$501,A46,'Diet Support'!$E$2:$E$501))</f>
        <v/>
      </c>
      <c r="G46" s="21" t="str">
        <f aca="false">IF(OR(A46="",COUNTIF('Injection Sales'!$B$2:$B$501,A46)=0),"",IFERROR(LOOKUP(2,1/(('Injection Sales'!$B$2:$B$501=A46)*('Injection Sales'!$A$2:$A$501=_xlfn.MAXIFS('Injection Sales'!$A$2:$A$501,'Injection Sales'!$B$2:$B$501,A46))),'Injection Sales'!$E$2:$E$501),""))</f>
        <v/>
      </c>
      <c r="H46" s="21" t="str">
        <f aca="false">IF(OR(A46="",COUNTIF('Injection Sales'!$B$2:$B$501,A46)=0),"",IFERROR(LOOKUP(2,1/(('Injection Sales'!$B$2:$B$501=A46)*('Injection Sales'!$A$2:$A$501=_xlfn.MAXIFS('Injection Sales'!$A$2:$A$501,'Injection Sales'!$B$2:$B$501,A46))),'Injection Sales'!$H$2:$H$501),""))</f>
        <v/>
      </c>
      <c r="I46" s="21" t="str">
        <f aca="true">IF(OR(A46="",D46=""),"",IF(TODAY()-D46&lt;=Settings!$B$7,"Active","Inactive"))</f>
        <v/>
      </c>
    </row>
    <row r="47" customFormat="false" ht="15" hidden="false" customHeight="false" outlineLevel="0" collapsed="false">
      <c r="A47" s="1"/>
      <c r="B47" s="22"/>
      <c r="C47" s="18" t="str">
        <f aca="false">IF(OR(A47="",COUNTIF('Injection Sales'!$B$2:$B$501,A47)+COUNTIF('Protein Sales'!$B$2:$B$501,A47)+COUNTIF('Diet Support'!$B$2:$B$501,A47)=0),"",MIN(IF(COUNTIF('Injection Sales'!$B$2:$B$501,A47),_xlfn.MINIFS('Injection Sales'!$A$2:$A$501,'Injection Sales'!$B$2:$B$501,A47),99999),IF(COUNTIF('Protein Sales'!$B$2:$B$501,A47),_xlfn.MINIFS('Protein Sales'!$A$2:$A$501,'Protein Sales'!$B$2:$B$501,A47),99999),IF(COUNTIF('Diet Support'!$B$2:$B$501,A47),_xlfn.MINIFS('Diet Support'!$A$2:$A$501,'Diet Support'!$B$2:$B$501,A47),99999)))</f>
        <v/>
      </c>
      <c r="D47" s="18" t="str">
        <f aca="false">IF(OR(A47="",COUNTIF('Injection Sales'!$B$2:$B$501,A47)+COUNTIF('Protein Sales'!$B$2:$B$501,A47)+COUNTIF('Diet Support'!$B$2:$B$501,A47)=0),"",MAX(_xlfn.MAXIFS('Injection Sales'!$A$2:$A$501,'Injection Sales'!$B$2:$B$501,A47),_xlfn.MAXIFS('Protein Sales'!$A$2:$A$501,'Protein Sales'!$B$2:$B$501,A47),_xlfn.MAXIFS('Diet Support'!$A$2:$A$501,'Diet Support'!$B$2:$B$501,A47)))</f>
        <v/>
      </c>
      <c r="E47" s="19" t="str">
        <f aca="false">IF(A47="","",COUNTIF('Injection Sales'!$B$2:$B$501,A47)+COUNTIF('Protein Sales'!$B$2:$B$501,A47)+COUNTIF('Diet Support'!$B$2:$B$501,A47))</f>
        <v/>
      </c>
      <c r="F47" s="20" t="str">
        <f aca="false">IF(A47="","",SUMIF('Injection Sales'!$B$2:$B$501,A47,'Injection Sales'!$G$2:$G$501)+SUMIF('Protein Sales'!$B$2:$B$501,A47,'Protein Sales'!$F$2:$F$501)+SUMIF('Diet Support'!$B$2:$B$501,A47,'Diet Support'!$E$2:$E$501))</f>
        <v/>
      </c>
      <c r="G47" s="21" t="str">
        <f aca="false">IF(OR(A47="",COUNTIF('Injection Sales'!$B$2:$B$501,A47)=0),"",IFERROR(LOOKUP(2,1/(('Injection Sales'!$B$2:$B$501=A47)*('Injection Sales'!$A$2:$A$501=_xlfn.MAXIFS('Injection Sales'!$A$2:$A$501,'Injection Sales'!$B$2:$B$501,A47))),'Injection Sales'!$E$2:$E$501),""))</f>
        <v/>
      </c>
      <c r="H47" s="21" t="str">
        <f aca="false">IF(OR(A47="",COUNTIF('Injection Sales'!$B$2:$B$501,A47)=0),"",IFERROR(LOOKUP(2,1/(('Injection Sales'!$B$2:$B$501=A47)*('Injection Sales'!$A$2:$A$501=_xlfn.MAXIFS('Injection Sales'!$A$2:$A$501,'Injection Sales'!$B$2:$B$501,A47))),'Injection Sales'!$H$2:$H$501),""))</f>
        <v/>
      </c>
      <c r="I47" s="21" t="str">
        <f aca="true">IF(OR(A47="",D47=""),"",IF(TODAY()-D47&lt;=Settings!$B$7,"Active","Inactive"))</f>
        <v/>
      </c>
    </row>
    <row r="48" customFormat="false" ht="15" hidden="false" customHeight="false" outlineLevel="0" collapsed="false">
      <c r="A48" s="1"/>
      <c r="B48" s="22"/>
      <c r="C48" s="18" t="str">
        <f aca="false">IF(OR(A48="",COUNTIF('Injection Sales'!$B$2:$B$501,A48)+COUNTIF('Protein Sales'!$B$2:$B$501,A48)+COUNTIF('Diet Support'!$B$2:$B$501,A48)=0),"",MIN(IF(COUNTIF('Injection Sales'!$B$2:$B$501,A48),_xlfn.MINIFS('Injection Sales'!$A$2:$A$501,'Injection Sales'!$B$2:$B$501,A48),99999),IF(COUNTIF('Protein Sales'!$B$2:$B$501,A48),_xlfn.MINIFS('Protein Sales'!$A$2:$A$501,'Protein Sales'!$B$2:$B$501,A48),99999),IF(COUNTIF('Diet Support'!$B$2:$B$501,A48),_xlfn.MINIFS('Diet Support'!$A$2:$A$501,'Diet Support'!$B$2:$B$501,A48),99999)))</f>
        <v/>
      </c>
      <c r="D48" s="18" t="str">
        <f aca="false">IF(OR(A48="",COUNTIF('Injection Sales'!$B$2:$B$501,A48)+COUNTIF('Protein Sales'!$B$2:$B$501,A48)+COUNTIF('Diet Support'!$B$2:$B$501,A48)=0),"",MAX(_xlfn.MAXIFS('Injection Sales'!$A$2:$A$501,'Injection Sales'!$B$2:$B$501,A48),_xlfn.MAXIFS('Protein Sales'!$A$2:$A$501,'Protein Sales'!$B$2:$B$501,A48),_xlfn.MAXIFS('Diet Support'!$A$2:$A$501,'Diet Support'!$B$2:$B$501,A48)))</f>
        <v/>
      </c>
      <c r="E48" s="19" t="str">
        <f aca="false">IF(A48="","",COUNTIF('Injection Sales'!$B$2:$B$501,A48)+COUNTIF('Protein Sales'!$B$2:$B$501,A48)+COUNTIF('Diet Support'!$B$2:$B$501,A48))</f>
        <v/>
      </c>
      <c r="F48" s="20" t="str">
        <f aca="false">IF(A48="","",SUMIF('Injection Sales'!$B$2:$B$501,A48,'Injection Sales'!$G$2:$G$501)+SUMIF('Protein Sales'!$B$2:$B$501,A48,'Protein Sales'!$F$2:$F$501)+SUMIF('Diet Support'!$B$2:$B$501,A48,'Diet Support'!$E$2:$E$501))</f>
        <v/>
      </c>
      <c r="G48" s="21" t="str">
        <f aca="false">IF(OR(A48="",COUNTIF('Injection Sales'!$B$2:$B$501,A48)=0),"",IFERROR(LOOKUP(2,1/(('Injection Sales'!$B$2:$B$501=A48)*('Injection Sales'!$A$2:$A$501=_xlfn.MAXIFS('Injection Sales'!$A$2:$A$501,'Injection Sales'!$B$2:$B$501,A48))),'Injection Sales'!$E$2:$E$501),""))</f>
        <v/>
      </c>
      <c r="H48" s="21" t="str">
        <f aca="false">IF(OR(A48="",COUNTIF('Injection Sales'!$B$2:$B$501,A48)=0),"",IFERROR(LOOKUP(2,1/(('Injection Sales'!$B$2:$B$501=A48)*('Injection Sales'!$A$2:$A$501=_xlfn.MAXIFS('Injection Sales'!$A$2:$A$501,'Injection Sales'!$B$2:$B$501,A48))),'Injection Sales'!$H$2:$H$501),""))</f>
        <v/>
      </c>
      <c r="I48" s="21" t="str">
        <f aca="true">IF(OR(A48="",D48=""),"",IF(TODAY()-D48&lt;=Settings!$B$7,"Active","Inactive"))</f>
        <v/>
      </c>
    </row>
    <row r="49" customFormat="false" ht="15" hidden="false" customHeight="false" outlineLevel="0" collapsed="false">
      <c r="A49" s="1"/>
      <c r="B49" s="22"/>
      <c r="C49" s="18" t="str">
        <f aca="false">IF(OR(A49="",COUNTIF('Injection Sales'!$B$2:$B$501,A49)+COUNTIF('Protein Sales'!$B$2:$B$501,A49)+COUNTIF('Diet Support'!$B$2:$B$501,A49)=0),"",MIN(IF(COUNTIF('Injection Sales'!$B$2:$B$501,A49),_xlfn.MINIFS('Injection Sales'!$A$2:$A$501,'Injection Sales'!$B$2:$B$501,A49),99999),IF(COUNTIF('Protein Sales'!$B$2:$B$501,A49),_xlfn.MINIFS('Protein Sales'!$A$2:$A$501,'Protein Sales'!$B$2:$B$501,A49),99999),IF(COUNTIF('Diet Support'!$B$2:$B$501,A49),_xlfn.MINIFS('Diet Support'!$A$2:$A$501,'Diet Support'!$B$2:$B$501,A49),99999)))</f>
        <v/>
      </c>
      <c r="D49" s="18" t="str">
        <f aca="false">IF(OR(A49="",COUNTIF('Injection Sales'!$B$2:$B$501,A49)+COUNTIF('Protein Sales'!$B$2:$B$501,A49)+COUNTIF('Diet Support'!$B$2:$B$501,A49)=0),"",MAX(_xlfn.MAXIFS('Injection Sales'!$A$2:$A$501,'Injection Sales'!$B$2:$B$501,A49),_xlfn.MAXIFS('Protein Sales'!$A$2:$A$501,'Protein Sales'!$B$2:$B$501,A49),_xlfn.MAXIFS('Diet Support'!$A$2:$A$501,'Diet Support'!$B$2:$B$501,A49)))</f>
        <v/>
      </c>
      <c r="E49" s="19" t="str">
        <f aca="false">IF(A49="","",COUNTIF('Injection Sales'!$B$2:$B$501,A49)+COUNTIF('Protein Sales'!$B$2:$B$501,A49)+COUNTIF('Diet Support'!$B$2:$B$501,A49))</f>
        <v/>
      </c>
      <c r="F49" s="20" t="str">
        <f aca="false">IF(A49="","",SUMIF('Injection Sales'!$B$2:$B$501,A49,'Injection Sales'!$G$2:$G$501)+SUMIF('Protein Sales'!$B$2:$B$501,A49,'Protein Sales'!$F$2:$F$501)+SUMIF('Diet Support'!$B$2:$B$501,A49,'Diet Support'!$E$2:$E$501))</f>
        <v/>
      </c>
      <c r="G49" s="21" t="str">
        <f aca="false">IF(OR(A49="",COUNTIF('Injection Sales'!$B$2:$B$501,A49)=0),"",IFERROR(LOOKUP(2,1/(('Injection Sales'!$B$2:$B$501=A49)*('Injection Sales'!$A$2:$A$501=_xlfn.MAXIFS('Injection Sales'!$A$2:$A$501,'Injection Sales'!$B$2:$B$501,A49))),'Injection Sales'!$E$2:$E$501),""))</f>
        <v/>
      </c>
      <c r="H49" s="21" t="str">
        <f aca="false">IF(OR(A49="",COUNTIF('Injection Sales'!$B$2:$B$501,A49)=0),"",IFERROR(LOOKUP(2,1/(('Injection Sales'!$B$2:$B$501=A49)*('Injection Sales'!$A$2:$A$501=_xlfn.MAXIFS('Injection Sales'!$A$2:$A$501,'Injection Sales'!$B$2:$B$501,A49))),'Injection Sales'!$H$2:$H$501),""))</f>
        <v/>
      </c>
      <c r="I49" s="21" t="str">
        <f aca="true">IF(OR(A49="",D49=""),"",IF(TODAY()-D49&lt;=Settings!$B$7,"Active","Inactive"))</f>
        <v/>
      </c>
    </row>
    <row r="50" customFormat="false" ht="15" hidden="false" customHeight="false" outlineLevel="0" collapsed="false">
      <c r="A50" s="1"/>
      <c r="B50" s="22"/>
      <c r="C50" s="18" t="str">
        <f aca="false">IF(OR(A50="",COUNTIF('Injection Sales'!$B$2:$B$501,A50)+COUNTIF('Protein Sales'!$B$2:$B$501,A50)+COUNTIF('Diet Support'!$B$2:$B$501,A50)=0),"",MIN(IF(COUNTIF('Injection Sales'!$B$2:$B$501,A50),_xlfn.MINIFS('Injection Sales'!$A$2:$A$501,'Injection Sales'!$B$2:$B$501,A50),99999),IF(COUNTIF('Protein Sales'!$B$2:$B$501,A50),_xlfn.MINIFS('Protein Sales'!$A$2:$A$501,'Protein Sales'!$B$2:$B$501,A50),99999),IF(COUNTIF('Diet Support'!$B$2:$B$501,A50),_xlfn.MINIFS('Diet Support'!$A$2:$A$501,'Diet Support'!$B$2:$B$501,A50),99999)))</f>
        <v/>
      </c>
      <c r="D50" s="18" t="str">
        <f aca="false">IF(OR(A50="",COUNTIF('Injection Sales'!$B$2:$B$501,A50)+COUNTIF('Protein Sales'!$B$2:$B$501,A50)+COUNTIF('Diet Support'!$B$2:$B$501,A50)=0),"",MAX(_xlfn.MAXIFS('Injection Sales'!$A$2:$A$501,'Injection Sales'!$B$2:$B$501,A50),_xlfn.MAXIFS('Protein Sales'!$A$2:$A$501,'Protein Sales'!$B$2:$B$501,A50),_xlfn.MAXIFS('Diet Support'!$A$2:$A$501,'Diet Support'!$B$2:$B$501,A50)))</f>
        <v/>
      </c>
      <c r="E50" s="19" t="str">
        <f aca="false">IF(A50="","",COUNTIF('Injection Sales'!$B$2:$B$501,A50)+COUNTIF('Protein Sales'!$B$2:$B$501,A50)+COUNTIF('Diet Support'!$B$2:$B$501,A50))</f>
        <v/>
      </c>
      <c r="F50" s="20" t="str">
        <f aca="false">IF(A50="","",SUMIF('Injection Sales'!$B$2:$B$501,A50,'Injection Sales'!$G$2:$G$501)+SUMIF('Protein Sales'!$B$2:$B$501,A50,'Protein Sales'!$F$2:$F$501)+SUMIF('Diet Support'!$B$2:$B$501,A50,'Diet Support'!$E$2:$E$501))</f>
        <v/>
      </c>
      <c r="G50" s="21" t="str">
        <f aca="false">IF(OR(A50="",COUNTIF('Injection Sales'!$B$2:$B$501,A50)=0),"",IFERROR(LOOKUP(2,1/(('Injection Sales'!$B$2:$B$501=A50)*('Injection Sales'!$A$2:$A$501=_xlfn.MAXIFS('Injection Sales'!$A$2:$A$501,'Injection Sales'!$B$2:$B$501,A50))),'Injection Sales'!$E$2:$E$501),""))</f>
        <v/>
      </c>
      <c r="H50" s="21" t="str">
        <f aca="false">IF(OR(A50="",COUNTIF('Injection Sales'!$B$2:$B$501,A50)=0),"",IFERROR(LOOKUP(2,1/(('Injection Sales'!$B$2:$B$501=A50)*('Injection Sales'!$A$2:$A$501=_xlfn.MAXIFS('Injection Sales'!$A$2:$A$501,'Injection Sales'!$B$2:$B$501,A50))),'Injection Sales'!$H$2:$H$501),""))</f>
        <v/>
      </c>
      <c r="I50" s="21" t="str">
        <f aca="true">IF(OR(A50="",D50=""),"",IF(TODAY()-D50&lt;=Settings!$B$7,"Active","Inactive"))</f>
        <v/>
      </c>
    </row>
    <row r="51" customFormat="false" ht="15" hidden="false" customHeight="false" outlineLevel="0" collapsed="false">
      <c r="A51" s="1"/>
      <c r="B51" s="22"/>
      <c r="C51" s="18" t="str">
        <f aca="false">IF(OR(A51="",COUNTIF('Injection Sales'!$B$2:$B$501,A51)+COUNTIF('Protein Sales'!$B$2:$B$501,A51)+COUNTIF('Diet Support'!$B$2:$B$501,A51)=0),"",MIN(IF(COUNTIF('Injection Sales'!$B$2:$B$501,A51),_xlfn.MINIFS('Injection Sales'!$A$2:$A$501,'Injection Sales'!$B$2:$B$501,A51),99999),IF(COUNTIF('Protein Sales'!$B$2:$B$501,A51),_xlfn.MINIFS('Protein Sales'!$A$2:$A$501,'Protein Sales'!$B$2:$B$501,A51),99999),IF(COUNTIF('Diet Support'!$B$2:$B$501,A51),_xlfn.MINIFS('Diet Support'!$A$2:$A$501,'Diet Support'!$B$2:$B$501,A51),99999)))</f>
        <v/>
      </c>
      <c r="D51" s="18" t="str">
        <f aca="false">IF(OR(A51="",COUNTIF('Injection Sales'!$B$2:$B$501,A51)+COUNTIF('Protein Sales'!$B$2:$B$501,A51)+COUNTIF('Diet Support'!$B$2:$B$501,A51)=0),"",MAX(_xlfn.MAXIFS('Injection Sales'!$A$2:$A$501,'Injection Sales'!$B$2:$B$501,A51),_xlfn.MAXIFS('Protein Sales'!$A$2:$A$501,'Protein Sales'!$B$2:$B$501,A51),_xlfn.MAXIFS('Diet Support'!$A$2:$A$501,'Diet Support'!$B$2:$B$501,A51)))</f>
        <v/>
      </c>
      <c r="E51" s="19" t="str">
        <f aca="false">IF(A51="","",COUNTIF('Injection Sales'!$B$2:$B$501,A51)+COUNTIF('Protein Sales'!$B$2:$B$501,A51)+COUNTIF('Diet Support'!$B$2:$B$501,A51))</f>
        <v/>
      </c>
      <c r="F51" s="20" t="str">
        <f aca="false">IF(A51="","",SUMIF('Injection Sales'!$B$2:$B$501,A51,'Injection Sales'!$G$2:$G$501)+SUMIF('Protein Sales'!$B$2:$B$501,A51,'Protein Sales'!$F$2:$F$501)+SUMIF('Diet Support'!$B$2:$B$501,A51,'Diet Support'!$E$2:$E$501))</f>
        <v/>
      </c>
      <c r="G51" s="21" t="str">
        <f aca="false">IF(OR(A51="",COUNTIF('Injection Sales'!$B$2:$B$501,A51)=0),"",IFERROR(LOOKUP(2,1/(('Injection Sales'!$B$2:$B$501=A51)*('Injection Sales'!$A$2:$A$501=_xlfn.MAXIFS('Injection Sales'!$A$2:$A$501,'Injection Sales'!$B$2:$B$501,A51))),'Injection Sales'!$E$2:$E$501),""))</f>
        <v/>
      </c>
      <c r="H51" s="21" t="str">
        <f aca="false">IF(OR(A51="",COUNTIF('Injection Sales'!$B$2:$B$501,A51)=0),"",IFERROR(LOOKUP(2,1/(('Injection Sales'!$B$2:$B$501=A51)*('Injection Sales'!$A$2:$A$501=_xlfn.MAXIFS('Injection Sales'!$A$2:$A$501,'Injection Sales'!$B$2:$B$501,A51))),'Injection Sales'!$H$2:$H$501),""))</f>
        <v/>
      </c>
      <c r="I51" s="21" t="str">
        <f aca="true">IF(OR(A51="",D51=""),"",IF(TODAY()-D51&lt;=Settings!$B$7,"Active","Inactive"))</f>
        <v/>
      </c>
    </row>
    <row r="52" customFormat="false" ht="15" hidden="false" customHeight="false" outlineLevel="0" collapsed="false">
      <c r="A52" s="1"/>
      <c r="B52" s="22"/>
      <c r="C52" s="18" t="str">
        <f aca="false">IF(OR(A52="",COUNTIF('Injection Sales'!$B$2:$B$501,A52)+COUNTIF('Protein Sales'!$B$2:$B$501,A52)+COUNTIF('Diet Support'!$B$2:$B$501,A52)=0),"",MIN(IF(COUNTIF('Injection Sales'!$B$2:$B$501,A52),_xlfn.MINIFS('Injection Sales'!$A$2:$A$501,'Injection Sales'!$B$2:$B$501,A52),99999),IF(COUNTIF('Protein Sales'!$B$2:$B$501,A52),_xlfn.MINIFS('Protein Sales'!$A$2:$A$501,'Protein Sales'!$B$2:$B$501,A52),99999),IF(COUNTIF('Diet Support'!$B$2:$B$501,A52),_xlfn.MINIFS('Diet Support'!$A$2:$A$501,'Diet Support'!$B$2:$B$501,A52),99999)))</f>
        <v/>
      </c>
      <c r="D52" s="18" t="str">
        <f aca="false">IF(OR(A52="",COUNTIF('Injection Sales'!$B$2:$B$501,A52)+COUNTIF('Protein Sales'!$B$2:$B$501,A52)+COUNTIF('Diet Support'!$B$2:$B$501,A52)=0),"",MAX(_xlfn.MAXIFS('Injection Sales'!$A$2:$A$501,'Injection Sales'!$B$2:$B$501,A52),_xlfn.MAXIFS('Protein Sales'!$A$2:$A$501,'Protein Sales'!$B$2:$B$501,A52),_xlfn.MAXIFS('Diet Support'!$A$2:$A$501,'Diet Support'!$B$2:$B$501,A52)))</f>
        <v/>
      </c>
      <c r="E52" s="19" t="str">
        <f aca="false">IF(A52="","",COUNTIF('Injection Sales'!$B$2:$B$501,A52)+COUNTIF('Protein Sales'!$B$2:$B$501,A52)+COUNTIF('Diet Support'!$B$2:$B$501,A52))</f>
        <v/>
      </c>
      <c r="F52" s="20" t="str">
        <f aca="false">IF(A52="","",SUMIF('Injection Sales'!$B$2:$B$501,A52,'Injection Sales'!$G$2:$G$501)+SUMIF('Protein Sales'!$B$2:$B$501,A52,'Protein Sales'!$F$2:$F$501)+SUMIF('Diet Support'!$B$2:$B$501,A52,'Diet Support'!$E$2:$E$501))</f>
        <v/>
      </c>
      <c r="G52" s="21" t="str">
        <f aca="false">IF(OR(A52="",COUNTIF('Injection Sales'!$B$2:$B$501,A52)=0),"",IFERROR(LOOKUP(2,1/(('Injection Sales'!$B$2:$B$501=A52)*('Injection Sales'!$A$2:$A$501=_xlfn.MAXIFS('Injection Sales'!$A$2:$A$501,'Injection Sales'!$B$2:$B$501,A52))),'Injection Sales'!$E$2:$E$501),""))</f>
        <v/>
      </c>
      <c r="H52" s="21" t="str">
        <f aca="false">IF(OR(A52="",COUNTIF('Injection Sales'!$B$2:$B$501,A52)=0),"",IFERROR(LOOKUP(2,1/(('Injection Sales'!$B$2:$B$501=A52)*('Injection Sales'!$A$2:$A$501=_xlfn.MAXIFS('Injection Sales'!$A$2:$A$501,'Injection Sales'!$B$2:$B$501,A52))),'Injection Sales'!$H$2:$H$501),""))</f>
        <v/>
      </c>
      <c r="I52" s="21" t="str">
        <f aca="true">IF(OR(A52="",D52=""),"",IF(TODAY()-D52&lt;=Settings!$B$7,"Active","Inactive"))</f>
        <v/>
      </c>
    </row>
    <row r="53" customFormat="false" ht="15" hidden="false" customHeight="false" outlineLevel="0" collapsed="false">
      <c r="A53" s="1"/>
      <c r="B53" s="22"/>
      <c r="C53" s="18" t="str">
        <f aca="false">IF(OR(A53="",COUNTIF('Injection Sales'!$B$2:$B$501,A53)+COUNTIF('Protein Sales'!$B$2:$B$501,A53)+COUNTIF('Diet Support'!$B$2:$B$501,A53)=0),"",MIN(IF(COUNTIF('Injection Sales'!$B$2:$B$501,A53),_xlfn.MINIFS('Injection Sales'!$A$2:$A$501,'Injection Sales'!$B$2:$B$501,A53),99999),IF(COUNTIF('Protein Sales'!$B$2:$B$501,A53),_xlfn.MINIFS('Protein Sales'!$A$2:$A$501,'Protein Sales'!$B$2:$B$501,A53),99999),IF(COUNTIF('Diet Support'!$B$2:$B$501,A53),_xlfn.MINIFS('Diet Support'!$A$2:$A$501,'Diet Support'!$B$2:$B$501,A53),99999)))</f>
        <v/>
      </c>
      <c r="D53" s="18" t="str">
        <f aca="false">IF(OR(A53="",COUNTIF('Injection Sales'!$B$2:$B$501,A53)+COUNTIF('Protein Sales'!$B$2:$B$501,A53)+COUNTIF('Diet Support'!$B$2:$B$501,A53)=0),"",MAX(_xlfn.MAXIFS('Injection Sales'!$A$2:$A$501,'Injection Sales'!$B$2:$B$501,A53),_xlfn.MAXIFS('Protein Sales'!$A$2:$A$501,'Protein Sales'!$B$2:$B$501,A53),_xlfn.MAXIFS('Diet Support'!$A$2:$A$501,'Diet Support'!$B$2:$B$501,A53)))</f>
        <v/>
      </c>
      <c r="E53" s="19" t="str">
        <f aca="false">IF(A53="","",COUNTIF('Injection Sales'!$B$2:$B$501,A53)+COUNTIF('Protein Sales'!$B$2:$B$501,A53)+COUNTIF('Diet Support'!$B$2:$B$501,A53))</f>
        <v/>
      </c>
      <c r="F53" s="20" t="str">
        <f aca="false">IF(A53="","",SUMIF('Injection Sales'!$B$2:$B$501,A53,'Injection Sales'!$G$2:$G$501)+SUMIF('Protein Sales'!$B$2:$B$501,A53,'Protein Sales'!$F$2:$F$501)+SUMIF('Diet Support'!$B$2:$B$501,A53,'Diet Support'!$E$2:$E$501))</f>
        <v/>
      </c>
      <c r="G53" s="21" t="str">
        <f aca="false">IF(OR(A53="",COUNTIF('Injection Sales'!$B$2:$B$501,A53)=0),"",IFERROR(LOOKUP(2,1/(('Injection Sales'!$B$2:$B$501=A53)*('Injection Sales'!$A$2:$A$501=_xlfn.MAXIFS('Injection Sales'!$A$2:$A$501,'Injection Sales'!$B$2:$B$501,A53))),'Injection Sales'!$E$2:$E$501),""))</f>
        <v/>
      </c>
      <c r="H53" s="21" t="str">
        <f aca="false">IF(OR(A53="",COUNTIF('Injection Sales'!$B$2:$B$501,A53)=0),"",IFERROR(LOOKUP(2,1/(('Injection Sales'!$B$2:$B$501=A53)*('Injection Sales'!$A$2:$A$501=_xlfn.MAXIFS('Injection Sales'!$A$2:$A$501,'Injection Sales'!$B$2:$B$501,A53))),'Injection Sales'!$H$2:$H$501),""))</f>
        <v/>
      </c>
      <c r="I53" s="21" t="str">
        <f aca="true">IF(OR(A53="",D53=""),"",IF(TODAY()-D53&lt;=Settings!$B$7,"Active","Inactive"))</f>
        <v/>
      </c>
    </row>
    <row r="54" customFormat="false" ht="15" hidden="false" customHeight="false" outlineLevel="0" collapsed="false">
      <c r="A54" s="1"/>
      <c r="B54" s="22"/>
      <c r="C54" s="18" t="str">
        <f aca="false">IF(OR(A54="",COUNTIF('Injection Sales'!$B$2:$B$501,A54)+COUNTIF('Protein Sales'!$B$2:$B$501,A54)+COUNTIF('Diet Support'!$B$2:$B$501,A54)=0),"",MIN(IF(COUNTIF('Injection Sales'!$B$2:$B$501,A54),_xlfn.MINIFS('Injection Sales'!$A$2:$A$501,'Injection Sales'!$B$2:$B$501,A54),99999),IF(COUNTIF('Protein Sales'!$B$2:$B$501,A54),_xlfn.MINIFS('Protein Sales'!$A$2:$A$501,'Protein Sales'!$B$2:$B$501,A54),99999),IF(COUNTIF('Diet Support'!$B$2:$B$501,A54),_xlfn.MINIFS('Diet Support'!$A$2:$A$501,'Diet Support'!$B$2:$B$501,A54),99999)))</f>
        <v/>
      </c>
      <c r="D54" s="18" t="str">
        <f aca="false">IF(OR(A54="",COUNTIF('Injection Sales'!$B$2:$B$501,A54)+COUNTIF('Protein Sales'!$B$2:$B$501,A54)+COUNTIF('Diet Support'!$B$2:$B$501,A54)=0),"",MAX(_xlfn.MAXIFS('Injection Sales'!$A$2:$A$501,'Injection Sales'!$B$2:$B$501,A54),_xlfn.MAXIFS('Protein Sales'!$A$2:$A$501,'Protein Sales'!$B$2:$B$501,A54),_xlfn.MAXIFS('Diet Support'!$A$2:$A$501,'Diet Support'!$B$2:$B$501,A54)))</f>
        <v/>
      </c>
      <c r="E54" s="19" t="str">
        <f aca="false">IF(A54="","",COUNTIF('Injection Sales'!$B$2:$B$501,A54)+COUNTIF('Protein Sales'!$B$2:$B$501,A54)+COUNTIF('Diet Support'!$B$2:$B$501,A54))</f>
        <v/>
      </c>
      <c r="F54" s="20" t="str">
        <f aca="false">IF(A54="","",SUMIF('Injection Sales'!$B$2:$B$501,A54,'Injection Sales'!$G$2:$G$501)+SUMIF('Protein Sales'!$B$2:$B$501,A54,'Protein Sales'!$F$2:$F$501)+SUMIF('Diet Support'!$B$2:$B$501,A54,'Diet Support'!$E$2:$E$501))</f>
        <v/>
      </c>
      <c r="G54" s="21" t="str">
        <f aca="false">IF(OR(A54="",COUNTIF('Injection Sales'!$B$2:$B$501,A54)=0),"",IFERROR(LOOKUP(2,1/(('Injection Sales'!$B$2:$B$501=A54)*('Injection Sales'!$A$2:$A$501=_xlfn.MAXIFS('Injection Sales'!$A$2:$A$501,'Injection Sales'!$B$2:$B$501,A54))),'Injection Sales'!$E$2:$E$501),""))</f>
        <v/>
      </c>
      <c r="H54" s="21" t="str">
        <f aca="false">IF(OR(A54="",COUNTIF('Injection Sales'!$B$2:$B$501,A54)=0),"",IFERROR(LOOKUP(2,1/(('Injection Sales'!$B$2:$B$501=A54)*('Injection Sales'!$A$2:$A$501=_xlfn.MAXIFS('Injection Sales'!$A$2:$A$501,'Injection Sales'!$B$2:$B$501,A54))),'Injection Sales'!$H$2:$H$501),""))</f>
        <v/>
      </c>
      <c r="I54" s="21" t="str">
        <f aca="true">IF(OR(A54="",D54=""),"",IF(TODAY()-D54&lt;=Settings!$B$7,"Active","Inactive"))</f>
        <v/>
      </c>
    </row>
    <row r="55" customFormat="false" ht="15" hidden="false" customHeight="false" outlineLevel="0" collapsed="false">
      <c r="A55" s="1"/>
      <c r="B55" s="22"/>
      <c r="C55" s="18" t="str">
        <f aca="false">IF(OR(A55="",COUNTIF('Injection Sales'!$B$2:$B$501,A55)+COUNTIF('Protein Sales'!$B$2:$B$501,A55)+COUNTIF('Diet Support'!$B$2:$B$501,A55)=0),"",MIN(IF(COUNTIF('Injection Sales'!$B$2:$B$501,A55),_xlfn.MINIFS('Injection Sales'!$A$2:$A$501,'Injection Sales'!$B$2:$B$501,A55),99999),IF(COUNTIF('Protein Sales'!$B$2:$B$501,A55),_xlfn.MINIFS('Protein Sales'!$A$2:$A$501,'Protein Sales'!$B$2:$B$501,A55),99999),IF(COUNTIF('Diet Support'!$B$2:$B$501,A55),_xlfn.MINIFS('Diet Support'!$A$2:$A$501,'Diet Support'!$B$2:$B$501,A55),99999)))</f>
        <v/>
      </c>
      <c r="D55" s="18" t="str">
        <f aca="false">IF(OR(A55="",COUNTIF('Injection Sales'!$B$2:$B$501,A55)+COUNTIF('Protein Sales'!$B$2:$B$501,A55)+COUNTIF('Diet Support'!$B$2:$B$501,A55)=0),"",MAX(_xlfn.MAXIFS('Injection Sales'!$A$2:$A$501,'Injection Sales'!$B$2:$B$501,A55),_xlfn.MAXIFS('Protein Sales'!$A$2:$A$501,'Protein Sales'!$B$2:$B$501,A55),_xlfn.MAXIFS('Diet Support'!$A$2:$A$501,'Diet Support'!$B$2:$B$501,A55)))</f>
        <v/>
      </c>
      <c r="E55" s="19" t="str">
        <f aca="false">IF(A55="","",COUNTIF('Injection Sales'!$B$2:$B$501,A55)+COUNTIF('Protein Sales'!$B$2:$B$501,A55)+COUNTIF('Diet Support'!$B$2:$B$501,A55))</f>
        <v/>
      </c>
      <c r="F55" s="20" t="str">
        <f aca="false">IF(A55="","",SUMIF('Injection Sales'!$B$2:$B$501,A55,'Injection Sales'!$G$2:$G$501)+SUMIF('Protein Sales'!$B$2:$B$501,A55,'Protein Sales'!$F$2:$F$501)+SUMIF('Diet Support'!$B$2:$B$501,A55,'Diet Support'!$E$2:$E$501))</f>
        <v/>
      </c>
      <c r="G55" s="21" t="str">
        <f aca="false">IF(OR(A55="",COUNTIF('Injection Sales'!$B$2:$B$501,A55)=0),"",IFERROR(LOOKUP(2,1/(('Injection Sales'!$B$2:$B$501=A55)*('Injection Sales'!$A$2:$A$501=_xlfn.MAXIFS('Injection Sales'!$A$2:$A$501,'Injection Sales'!$B$2:$B$501,A55))),'Injection Sales'!$E$2:$E$501),""))</f>
        <v/>
      </c>
      <c r="H55" s="21" t="str">
        <f aca="false">IF(OR(A55="",COUNTIF('Injection Sales'!$B$2:$B$501,A55)=0),"",IFERROR(LOOKUP(2,1/(('Injection Sales'!$B$2:$B$501=A55)*('Injection Sales'!$A$2:$A$501=_xlfn.MAXIFS('Injection Sales'!$A$2:$A$501,'Injection Sales'!$B$2:$B$501,A55))),'Injection Sales'!$H$2:$H$501),""))</f>
        <v/>
      </c>
      <c r="I55" s="21" t="str">
        <f aca="true">IF(OR(A55="",D55=""),"",IF(TODAY()-D55&lt;=Settings!$B$7,"Active","Inactive"))</f>
        <v/>
      </c>
    </row>
    <row r="56" customFormat="false" ht="15" hidden="false" customHeight="false" outlineLevel="0" collapsed="false">
      <c r="A56" s="1"/>
      <c r="B56" s="22"/>
      <c r="C56" s="18" t="str">
        <f aca="false">IF(OR(A56="",COUNTIF('Injection Sales'!$B$2:$B$501,A56)+COUNTIF('Protein Sales'!$B$2:$B$501,A56)+COUNTIF('Diet Support'!$B$2:$B$501,A56)=0),"",MIN(IF(COUNTIF('Injection Sales'!$B$2:$B$501,A56),_xlfn.MINIFS('Injection Sales'!$A$2:$A$501,'Injection Sales'!$B$2:$B$501,A56),99999),IF(COUNTIF('Protein Sales'!$B$2:$B$501,A56),_xlfn.MINIFS('Protein Sales'!$A$2:$A$501,'Protein Sales'!$B$2:$B$501,A56),99999),IF(COUNTIF('Diet Support'!$B$2:$B$501,A56),_xlfn.MINIFS('Diet Support'!$A$2:$A$501,'Diet Support'!$B$2:$B$501,A56),99999)))</f>
        <v/>
      </c>
      <c r="D56" s="18" t="str">
        <f aca="false">IF(OR(A56="",COUNTIF('Injection Sales'!$B$2:$B$501,A56)+COUNTIF('Protein Sales'!$B$2:$B$501,A56)+COUNTIF('Diet Support'!$B$2:$B$501,A56)=0),"",MAX(_xlfn.MAXIFS('Injection Sales'!$A$2:$A$501,'Injection Sales'!$B$2:$B$501,A56),_xlfn.MAXIFS('Protein Sales'!$A$2:$A$501,'Protein Sales'!$B$2:$B$501,A56),_xlfn.MAXIFS('Diet Support'!$A$2:$A$501,'Diet Support'!$B$2:$B$501,A56)))</f>
        <v/>
      </c>
      <c r="E56" s="19" t="str">
        <f aca="false">IF(A56="","",COUNTIF('Injection Sales'!$B$2:$B$501,A56)+COUNTIF('Protein Sales'!$B$2:$B$501,A56)+COUNTIF('Diet Support'!$B$2:$B$501,A56))</f>
        <v/>
      </c>
      <c r="F56" s="20" t="str">
        <f aca="false">IF(A56="","",SUMIF('Injection Sales'!$B$2:$B$501,A56,'Injection Sales'!$G$2:$G$501)+SUMIF('Protein Sales'!$B$2:$B$501,A56,'Protein Sales'!$F$2:$F$501)+SUMIF('Diet Support'!$B$2:$B$501,A56,'Diet Support'!$E$2:$E$501))</f>
        <v/>
      </c>
      <c r="G56" s="21" t="str">
        <f aca="false">IF(OR(A56="",COUNTIF('Injection Sales'!$B$2:$B$501,A56)=0),"",IFERROR(LOOKUP(2,1/(('Injection Sales'!$B$2:$B$501=A56)*('Injection Sales'!$A$2:$A$501=_xlfn.MAXIFS('Injection Sales'!$A$2:$A$501,'Injection Sales'!$B$2:$B$501,A56))),'Injection Sales'!$E$2:$E$501),""))</f>
        <v/>
      </c>
      <c r="H56" s="21" t="str">
        <f aca="false">IF(OR(A56="",COUNTIF('Injection Sales'!$B$2:$B$501,A56)=0),"",IFERROR(LOOKUP(2,1/(('Injection Sales'!$B$2:$B$501=A56)*('Injection Sales'!$A$2:$A$501=_xlfn.MAXIFS('Injection Sales'!$A$2:$A$501,'Injection Sales'!$B$2:$B$501,A56))),'Injection Sales'!$H$2:$H$501),""))</f>
        <v/>
      </c>
      <c r="I56" s="21" t="str">
        <f aca="true">IF(OR(A56="",D56=""),"",IF(TODAY()-D56&lt;=Settings!$B$7,"Active","Inactive"))</f>
        <v/>
      </c>
    </row>
    <row r="57" customFormat="false" ht="15" hidden="false" customHeight="false" outlineLevel="0" collapsed="false">
      <c r="A57" s="1"/>
      <c r="B57" s="22"/>
      <c r="C57" s="18" t="str">
        <f aca="false">IF(OR(A57="",COUNTIF('Injection Sales'!$B$2:$B$501,A57)+COUNTIF('Protein Sales'!$B$2:$B$501,A57)+COUNTIF('Diet Support'!$B$2:$B$501,A57)=0),"",MIN(IF(COUNTIF('Injection Sales'!$B$2:$B$501,A57),_xlfn.MINIFS('Injection Sales'!$A$2:$A$501,'Injection Sales'!$B$2:$B$501,A57),99999),IF(COUNTIF('Protein Sales'!$B$2:$B$501,A57),_xlfn.MINIFS('Protein Sales'!$A$2:$A$501,'Protein Sales'!$B$2:$B$501,A57),99999),IF(COUNTIF('Diet Support'!$B$2:$B$501,A57),_xlfn.MINIFS('Diet Support'!$A$2:$A$501,'Diet Support'!$B$2:$B$501,A57),99999)))</f>
        <v/>
      </c>
      <c r="D57" s="18" t="str">
        <f aca="false">IF(OR(A57="",COUNTIF('Injection Sales'!$B$2:$B$501,A57)+COUNTIF('Protein Sales'!$B$2:$B$501,A57)+COUNTIF('Diet Support'!$B$2:$B$501,A57)=0),"",MAX(_xlfn.MAXIFS('Injection Sales'!$A$2:$A$501,'Injection Sales'!$B$2:$B$501,A57),_xlfn.MAXIFS('Protein Sales'!$A$2:$A$501,'Protein Sales'!$B$2:$B$501,A57),_xlfn.MAXIFS('Diet Support'!$A$2:$A$501,'Diet Support'!$B$2:$B$501,A57)))</f>
        <v/>
      </c>
      <c r="E57" s="19" t="str">
        <f aca="false">IF(A57="","",COUNTIF('Injection Sales'!$B$2:$B$501,A57)+COUNTIF('Protein Sales'!$B$2:$B$501,A57)+COUNTIF('Diet Support'!$B$2:$B$501,A57))</f>
        <v/>
      </c>
      <c r="F57" s="20" t="str">
        <f aca="false">IF(A57="","",SUMIF('Injection Sales'!$B$2:$B$501,A57,'Injection Sales'!$G$2:$G$501)+SUMIF('Protein Sales'!$B$2:$B$501,A57,'Protein Sales'!$F$2:$F$501)+SUMIF('Diet Support'!$B$2:$B$501,A57,'Diet Support'!$E$2:$E$501))</f>
        <v/>
      </c>
      <c r="G57" s="21" t="str">
        <f aca="false">IF(OR(A57="",COUNTIF('Injection Sales'!$B$2:$B$501,A57)=0),"",IFERROR(LOOKUP(2,1/(('Injection Sales'!$B$2:$B$501=A57)*('Injection Sales'!$A$2:$A$501=_xlfn.MAXIFS('Injection Sales'!$A$2:$A$501,'Injection Sales'!$B$2:$B$501,A57))),'Injection Sales'!$E$2:$E$501),""))</f>
        <v/>
      </c>
      <c r="H57" s="21" t="str">
        <f aca="false">IF(OR(A57="",COUNTIF('Injection Sales'!$B$2:$B$501,A57)=0),"",IFERROR(LOOKUP(2,1/(('Injection Sales'!$B$2:$B$501=A57)*('Injection Sales'!$A$2:$A$501=_xlfn.MAXIFS('Injection Sales'!$A$2:$A$501,'Injection Sales'!$B$2:$B$501,A57))),'Injection Sales'!$H$2:$H$501),""))</f>
        <v/>
      </c>
      <c r="I57" s="21" t="str">
        <f aca="true">IF(OR(A57="",D57=""),"",IF(TODAY()-D57&lt;=Settings!$B$7,"Active","Inactive"))</f>
        <v/>
      </c>
    </row>
    <row r="58" customFormat="false" ht="15" hidden="false" customHeight="false" outlineLevel="0" collapsed="false">
      <c r="A58" s="1"/>
      <c r="B58" s="22"/>
      <c r="C58" s="18" t="str">
        <f aca="false">IF(OR(A58="",COUNTIF('Injection Sales'!$B$2:$B$501,A58)+COUNTIF('Protein Sales'!$B$2:$B$501,A58)+COUNTIF('Diet Support'!$B$2:$B$501,A58)=0),"",MIN(IF(COUNTIF('Injection Sales'!$B$2:$B$501,A58),_xlfn.MINIFS('Injection Sales'!$A$2:$A$501,'Injection Sales'!$B$2:$B$501,A58),99999),IF(COUNTIF('Protein Sales'!$B$2:$B$501,A58),_xlfn.MINIFS('Protein Sales'!$A$2:$A$501,'Protein Sales'!$B$2:$B$501,A58),99999),IF(COUNTIF('Diet Support'!$B$2:$B$501,A58),_xlfn.MINIFS('Diet Support'!$A$2:$A$501,'Diet Support'!$B$2:$B$501,A58),99999)))</f>
        <v/>
      </c>
      <c r="D58" s="18" t="str">
        <f aca="false">IF(OR(A58="",COUNTIF('Injection Sales'!$B$2:$B$501,A58)+COUNTIF('Protein Sales'!$B$2:$B$501,A58)+COUNTIF('Diet Support'!$B$2:$B$501,A58)=0),"",MAX(_xlfn.MAXIFS('Injection Sales'!$A$2:$A$501,'Injection Sales'!$B$2:$B$501,A58),_xlfn.MAXIFS('Protein Sales'!$A$2:$A$501,'Protein Sales'!$B$2:$B$501,A58),_xlfn.MAXIFS('Diet Support'!$A$2:$A$501,'Diet Support'!$B$2:$B$501,A58)))</f>
        <v/>
      </c>
      <c r="E58" s="19" t="str">
        <f aca="false">IF(A58="","",COUNTIF('Injection Sales'!$B$2:$B$501,A58)+COUNTIF('Protein Sales'!$B$2:$B$501,A58)+COUNTIF('Diet Support'!$B$2:$B$501,A58))</f>
        <v/>
      </c>
      <c r="F58" s="20" t="str">
        <f aca="false">IF(A58="","",SUMIF('Injection Sales'!$B$2:$B$501,A58,'Injection Sales'!$G$2:$G$501)+SUMIF('Protein Sales'!$B$2:$B$501,A58,'Protein Sales'!$F$2:$F$501)+SUMIF('Diet Support'!$B$2:$B$501,A58,'Diet Support'!$E$2:$E$501))</f>
        <v/>
      </c>
      <c r="G58" s="21" t="str">
        <f aca="false">IF(OR(A58="",COUNTIF('Injection Sales'!$B$2:$B$501,A58)=0),"",IFERROR(LOOKUP(2,1/(('Injection Sales'!$B$2:$B$501=A58)*('Injection Sales'!$A$2:$A$501=_xlfn.MAXIFS('Injection Sales'!$A$2:$A$501,'Injection Sales'!$B$2:$B$501,A58))),'Injection Sales'!$E$2:$E$501),""))</f>
        <v/>
      </c>
      <c r="H58" s="21" t="str">
        <f aca="false">IF(OR(A58="",COUNTIF('Injection Sales'!$B$2:$B$501,A58)=0),"",IFERROR(LOOKUP(2,1/(('Injection Sales'!$B$2:$B$501=A58)*('Injection Sales'!$A$2:$A$501=_xlfn.MAXIFS('Injection Sales'!$A$2:$A$501,'Injection Sales'!$B$2:$B$501,A58))),'Injection Sales'!$H$2:$H$501),""))</f>
        <v/>
      </c>
      <c r="I58" s="21" t="str">
        <f aca="true">IF(OR(A58="",D58=""),"",IF(TODAY()-D58&lt;=Settings!$B$7,"Active","Inactive"))</f>
        <v/>
      </c>
    </row>
    <row r="59" customFormat="false" ht="15" hidden="false" customHeight="false" outlineLevel="0" collapsed="false">
      <c r="A59" s="1"/>
      <c r="B59" s="22"/>
      <c r="C59" s="18" t="str">
        <f aca="false">IF(OR(A59="",COUNTIF('Injection Sales'!$B$2:$B$501,A59)+COUNTIF('Protein Sales'!$B$2:$B$501,A59)+COUNTIF('Diet Support'!$B$2:$B$501,A59)=0),"",MIN(IF(COUNTIF('Injection Sales'!$B$2:$B$501,A59),_xlfn.MINIFS('Injection Sales'!$A$2:$A$501,'Injection Sales'!$B$2:$B$501,A59),99999),IF(COUNTIF('Protein Sales'!$B$2:$B$501,A59),_xlfn.MINIFS('Protein Sales'!$A$2:$A$501,'Protein Sales'!$B$2:$B$501,A59),99999),IF(COUNTIF('Diet Support'!$B$2:$B$501,A59),_xlfn.MINIFS('Diet Support'!$A$2:$A$501,'Diet Support'!$B$2:$B$501,A59),99999)))</f>
        <v/>
      </c>
      <c r="D59" s="18" t="str">
        <f aca="false">IF(OR(A59="",COUNTIF('Injection Sales'!$B$2:$B$501,A59)+COUNTIF('Protein Sales'!$B$2:$B$501,A59)+COUNTIF('Diet Support'!$B$2:$B$501,A59)=0),"",MAX(_xlfn.MAXIFS('Injection Sales'!$A$2:$A$501,'Injection Sales'!$B$2:$B$501,A59),_xlfn.MAXIFS('Protein Sales'!$A$2:$A$501,'Protein Sales'!$B$2:$B$501,A59),_xlfn.MAXIFS('Diet Support'!$A$2:$A$501,'Diet Support'!$B$2:$B$501,A59)))</f>
        <v/>
      </c>
      <c r="E59" s="19" t="str">
        <f aca="false">IF(A59="","",COUNTIF('Injection Sales'!$B$2:$B$501,A59)+COUNTIF('Protein Sales'!$B$2:$B$501,A59)+COUNTIF('Diet Support'!$B$2:$B$501,A59))</f>
        <v/>
      </c>
      <c r="F59" s="20" t="str">
        <f aca="false">IF(A59="","",SUMIF('Injection Sales'!$B$2:$B$501,A59,'Injection Sales'!$G$2:$G$501)+SUMIF('Protein Sales'!$B$2:$B$501,A59,'Protein Sales'!$F$2:$F$501)+SUMIF('Diet Support'!$B$2:$B$501,A59,'Diet Support'!$E$2:$E$501))</f>
        <v/>
      </c>
      <c r="G59" s="21" t="str">
        <f aca="false">IF(OR(A59="",COUNTIF('Injection Sales'!$B$2:$B$501,A59)=0),"",IFERROR(LOOKUP(2,1/(('Injection Sales'!$B$2:$B$501=A59)*('Injection Sales'!$A$2:$A$501=_xlfn.MAXIFS('Injection Sales'!$A$2:$A$501,'Injection Sales'!$B$2:$B$501,A59))),'Injection Sales'!$E$2:$E$501),""))</f>
        <v/>
      </c>
      <c r="H59" s="21" t="str">
        <f aca="false">IF(OR(A59="",COUNTIF('Injection Sales'!$B$2:$B$501,A59)=0),"",IFERROR(LOOKUP(2,1/(('Injection Sales'!$B$2:$B$501=A59)*('Injection Sales'!$A$2:$A$501=_xlfn.MAXIFS('Injection Sales'!$A$2:$A$501,'Injection Sales'!$B$2:$B$501,A59))),'Injection Sales'!$H$2:$H$501),""))</f>
        <v/>
      </c>
      <c r="I59" s="21" t="str">
        <f aca="true">IF(OR(A59="",D59=""),"",IF(TODAY()-D59&lt;=Settings!$B$7,"Active","Inactive"))</f>
        <v/>
      </c>
    </row>
    <row r="60" customFormat="false" ht="15" hidden="false" customHeight="false" outlineLevel="0" collapsed="false">
      <c r="A60" s="1"/>
      <c r="B60" s="22"/>
      <c r="C60" s="18" t="str">
        <f aca="false">IF(OR(A60="",COUNTIF('Injection Sales'!$B$2:$B$501,A60)+COUNTIF('Protein Sales'!$B$2:$B$501,A60)+COUNTIF('Diet Support'!$B$2:$B$501,A60)=0),"",MIN(IF(COUNTIF('Injection Sales'!$B$2:$B$501,A60),_xlfn.MINIFS('Injection Sales'!$A$2:$A$501,'Injection Sales'!$B$2:$B$501,A60),99999),IF(COUNTIF('Protein Sales'!$B$2:$B$501,A60),_xlfn.MINIFS('Protein Sales'!$A$2:$A$501,'Protein Sales'!$B$2:$B$501,A60),99999),IF(COUNTIF('Diet Support'!$B$2:$B$501,A60),_xlfn.MINIFS('Diet Support'!$A$2:$A$501,'Diet Support'!$B$2:$B$501,A60),99999)))</f>
        <v/>
      </c>
      <c r="D60" s="18" t="str">
        <f aca="false">IF(OR(A60="",COUNTIF('Injection Sales'!$B$2:$B$501,A60)+COUNTIF('Protein Sales'!$B$2:$B$501,A60)+COUNTIF('Diet Support'!$B$2:$B$501,A60)=0),"",MAX(_xlfn.MAXIFS('Injection Sales'!$A$2:$A$501,'Injection Sales'!$B$2:$B$501,A60),_xlfn.MAXIFS('Protein Sales'!$A$2:$A$501,'Protein Sales'!$B$2:$B$501,A60),_xlfn.MAXIFS('Diet Support'!$A$2:$A$501,'Diet Support'!$B$2:$B$501,A60)))</f>
        <v/>
      </c>
      <c r="E60" s="19" t="str">
        <f aca="false">IF(A60="","",COUNTIF('Injection Sales'!$B$2:$B$501,A60)+COUNTIF('Protein Sales'!$B$2:$B$501,A60)+COUNTIF('Diet Support'!$B$2:$B$501,A60))</f>
        <v/>
      </c>
      <c r="F60" s="20" t="str">
        <f aca="false">IF(A60="","",SUMIF('Injection Sales'!$B$2:$B$501,A60,'Injection Sales'!$G$2:$G$501)+SUMIF('Protein Sales'!$B$2:$B$501,A60,'Protein Sales'!$F$2:$F$501)+SUMIF('Diet Support'!$B$2:$B$501,A60,'Diet Support'!$E$2:$E$501))</f>
        <v/>
      </c>
      <c r="G60" s="21" t="str">
        <f aca="false">IF(OR(A60="",COUNTIF('Injection Sales'!$B$2:$B$501,A60)=0),"",IFERROR(LOOKUP(2,1/(('Injection Sales'!$B$2:$B$501=A60)*('Injection Sales'!$A$2:$A$501=_xlfn.MAXIFS('Injection Sales'!$A$2:$A$501,'Injection Sales'!$B$2:$B$501,A60))),'Injection Sales'!$E$2:$E$501),""))</f>
        <v/>
      </c>
      <c r="H60" s="21" t="str">
        <f aca="false">IF(OR(A60="",COUNTIF('Injection Sales'!$B$2:$B$501,A60)=0),"",IFERROR(LOOKUP(2,1/(('Injection Sales'!$B$2:$B$501=A60)*('Injection Sales'!$A$2:$A$501=_xlfn.MAXIFS('Injection Sales'!$A$2:$A$501,'Injection Sales'!$B$2:$B$501,A60))),'Injection Sales'!$H$2:$H$501),""))</f>
        <v/>
      </c>
      <c r="I60" s="21" t="str">
        <f aca="true">IF(OR(A60="",D60=""),"",IF(TODAY()-D60&lt;=Settings!$B$7,"Active","Inactive"))</f>
        <v/>
      </c>
    </row>
    <row r="61" customFormat="false" ht="15" hidden="false" customHeight="false" outlineLevel="0" collapsed="false">
      <c r="A61" s="1"/>
      <c r="B61" s="22"/>
      <c r="C61" s="18" t="str">
        <f aca="false">IF(OR(A61="",COUNTIF('Injection Sales'!$B$2:$B$501,A61)+COUNTIF('Protein Sales'!$B$2:$B$501,A61)+COUNTIF('Diet Support'!$B$2:$B$501,A61)=0),"",MIN(IF(COUNTIF('Injection Sales'!$B$2:$B$501,A61),_xlfn.MINIFS('Injection Sales'!$A$2:$A$501,'Injection Sales'!$B$2:$B$501,A61),99999),IF(COUNTIF('Protein Sales'!$B$2:$B$501,A61),_xlfn.MINIFS('Protein Sales'!$A$2:$A$501,'Protein Sales'!$B$2:$B$501,A61),99999),IF(COUNTIF('Diet Support'!$B$2:$B$501,A61),_xlfn.MINIFS('Diet Support'!$A$2:$A$501,'Diet Support'!$B$2:$B$501,A61),99999)))</f>
        <v/>
      </c>
      <c r="D61" s="18" t="str">
        <f aca="false">IF(OR(A61="",COUNTIF('Injection Sales'!$B$2:$B$501,A61)+COUNTIF('Protein Sales'!$B$2:$B$501,A61)+COUNTIF('Diet Support'!$B$2:$B$501,A61)=0),"",MAX(_xlfn.MAXIFS('Injection Sales'!$A$2:$A$501,'Injection Sales'!$B$2:$B$501,A61),_xlfn.MAXIFS('Protein Sales'!$A$2:$A$501,'Protein Sales'!$B$2:$B$501,A61),_xlfn.MAXIFS('Diet Support'!$A$2:$A$501,'Diet Support'!$B$2:$B$501,A61)))</f>
        <v/>
      </c>
      <c r="E61" s="19" t="str">
        <f aca="false">IF(A61="","",COUNTIF('Injection Sales'!$B$2:$B$501,A61)+COUNTIF('Protein Sales'!$B$2:$B$501,A61)+COUNTIF('Diet Support'!$B$2:$B$501,A61))</f>
        <v/>
      </c>
      <c r="F61" s="20" t="str">
        <f aca="false">IF(A61="","",SUMIF('Injection Sales'!$B$2:$B$501,A61,'Injection Sales'!$G$2:$G$501)+SUMIF('Protein Sales'!$B$2:$B$501,A61,'Protein Sales'!$F$2:$F$501)+SUMIF('Diet Support'!$B$2:$B$501,A61,'Diet Support'!$E$2:$E$501))</f>
        <v/>
      </c>
      <c r="G61" s="21" t="str">
        <f aca="false">IF(OR(A61="",COUNTIF('Injection Sales'!$B$2:$B$501,A61)=0),"",IFERROR(LOOKUP(2,1/(('Injection Sales'!$B$2:$B$501=A61)*('Injection Sales'!$A$2:$A$501=_xlfn.MAXIFS('Injection Sales'!$A$2:$A$501,'Injection Sales'!$B$2:$B$501,A61))),'Injection Sales'!$E$2:$E$501),""))</f>
        <v/>
      </c>
      <c r="H61" s="21" t="str">
        <f aca="false">IF(OR(A61="",COUNTIF('Injection Sales'!$B$2:$B$501,A61)=0),"",IFERROR(LOOKUP(2,1/(('Injection Sales'!$B$2:$B$501=A61)*('Injection Sales'!$A$2:$A$501=_xlfn.MAXIFS('Injection Sales'!$A$2:$A$501,'Injection Sales'!$B$2:$B$501,A61))),'Injection Sales'!$H$2:$H$501),""))</f>
        <v/>
      </c>
      <c r="I61" s="21" t="str">
        <f aca="true">IF(OR(A61="",D61=""),"",IF(TODAY()-D61&lt;=Settings!$B$7,"Active","Inactive"))</f>
        <v/>
      </c>
    </row>
    <row r="62" customFormat="false" ht="15" hidden="false" customHeight="false" outlineLevel="0" collapsed="false">
      <c r="A62" s="1"/>
      <c r="B62" s="22"/>
      <c r="C62" s="18" t="str">
        <f aca="false">IF(OR(A62="",COUNTIF('Injection Sales'!$B$2:$B$501,A62)+COUNTIF('Protein Sales'!$B$2:$B$501,A62)+COUNTIF('Diet Support'!$B$2:$B$501,A62)=0),"",MIN(IF(COUNTIF('Injection Sales'!$B$2:$B$501,A62),_xlfn.MINIFS('Injection Sales'!$A$2:$A$501,'Injection Sales'!$B$2:$B$501,A62),99999),IF(COUNTIF('Protein Sales'!$B$2:$B$501,A62),_xlfn.MINIFS('Protein Sales'!$A$2:$A$501,'Protein Sales'!$B$2:$B$501,A62),99999),IF(COUNTIF('Diet Support'!$B$2:$B$501,A62),_xlfn.MINIFS('Diet Support'!$A$2:$A$501,'Diet Support'!$B$2:$B$501,A62),99999)))</f>
        <v/>
      </c>
      <c r="D62" s="18" t="str">
        <f aca="false">IF(OR(A62="",COUNTIF('Injection Sales'!$B$2:$B$501,A62)+COUNTIF('Protein Sales'!$B$2:$B$501,A62)+COUNTIF('Diet Support'!$B$2:$B$501,A62)=0),"",MAX(_xlfn.MAXIFS('Injection Sales'!$A$2:$A$501,'Injection Sales'!$B$2:$B$501,A62),_xlfn.MAXIFS('Protein Sales'!$A$2:$A$501,'Protein Sales'!$B$2:$B$501,A62),_xlfn.MAXIFS('Diet Support'!$A$2:$A$501,'Diet Support'!$B$2:$B$501,A62)))</f>
        <v/>
      </c>
      <c r="E62" s="19" t="str">
        <f aca="false">IF(A62="","",COUNTIF('Injection Sales'!$B$2:$B$501,A62)+COUNTIF('Protein Sales'!$B$2:$B$501,A62)+COUNTIF('Diet Support'!$B$2:$B$501,A62))</f>
        <v/>
      </c>
      <c r="F62" s="20" t="str">
        <f aca="false">IF(A62="","",SUMIF('Injection Sales'!$B$2:$B$501,A62,'Injection Sales'!$G$2:$G$501)+SUMIF('Protein Sales'!$B$2:$B$501,A62,'Protein Sales'!$F$2:$F$501)+SUMIF('Diet Support'!$B$2:$B$501,A62,'Diet Support'!$E$2:$E$501))</f>
        <v/>
      </c>
      <c r="G62" s="21" t="str">
        <f aca="false">IF(OR(A62="",COUNTIF('Injection Sales'!$B$2:$B$501,A62)=0),"",IFERROR(LOOKUP(2,1/(('Injection Sales'!$B$2:$B$501=A62)*('Injection Sales'!$A$2:$A$501=_xlfn.MAXIFS('Injection Sales'!$A$2:$A$501,'Injection Sales'!$B$2:$B$501,A62))),'Injection Sales'!$E$2:$E$501),""))</f>
        <v/>
      </c>
      <c r="H62" s="21" t="str">
        <f aca="false">IF(OR(A62="",COUNTIF('Injection Sales'!$B$2:$B$501,A62)=0),"",IFERROR(LOOKUP(2,1/(('Injection Sales'!$B$2:$B$501=A62)*('Injection Sales'!$A$2:$A$501=_xlfn.MAXIFS('Injection Sales'!$A$2:$A$501,'Injection Sales'!$B$2:$B$501,A62))),'Injection Sales'!$H$2:$H$501),""))</f>
        <v/>
      </c>
      <c r="I62" s="21" t="str">
        <f aca="true">IF(OR(A62="",D62=""),"",IF(TODAY()-D62&lt;=Settings!$B$7,"Active","Inactive"))</f>
        <v/>
      </c>
    </row>
    <row r="63" customFormat="false" ht="15" hidden="false" customHeight="false" outlineLevel="0" collapsed="false">
      <c r="A63" s="1"/>
      <c r="B63" s="22"/>
      <c r="C63" s="18" t="str">
        <f aca="false">IF(OR(A63="",COUNTIF('Injection Sales'!$B$2:$B$501,A63)+COUNTIF('Protein Sales'!$B$2:$B$501,A63)+COUNTIF('Diet Support'!$B$2:$B$501,A63)=0),"",MIN(IF(COUNTIF('Injection Sales'!$B$2:$B$501,A63),_xlfn.MINIFS('Injection Sales'!$A$2:$A$501,'Injection Sales'!$B$2:$B$501,A63),99999),IF(COUNTIF('Protein Sales'!$B$2:$B$501,A63),_xlfn.MINIFS('Protein Sales'!$A$2:$A$501,'Protein Sales'!$B$2:$B$501,A63),99999),IF(COUNTIF('Diet Support'!$B$2:$B$501,A63),_xlfn.MINIFS('Diet Support'!$A$2:$A$501,'Diet Support'!$B$2:$B$501,A63),99999)))</f>
        <v/>
      </c>
      <c r="D63" s="18" t="str">
        <f aca="false">IF(OR(A63="",COUNTIF('Injection Sales'!$B$2:$B$501,A63)+COUNTIF('Protein Sales'!$B$2:$B$501,A63)+COUNTIF('Diet Support'!$B$2:$B$501,A63)=0),"",MAX(_xlfn.MAXIFS('Injection Sales'!$A$2:$A$501,'Injection Sales'!$B$2:$B$501,A63),_xlfn.MAXIFS('Protein Sales'!$A$2:$A$501,'Protein Sales'!$B$2:$B$501,A63),_xlfn.MAXIFS('Diet Support'!$A$2:$A$501,'Diet Support'!$B$2:$B$501,A63)))</f>
        <v/>
      </c>
      <c r="E63" s="19" t="str">
        <f aca="false">IF(A63="","",COUNTIF('Injection Sales'!$B$2:$B$501,A63)+COUNTIF('Protein Sales'!$B$2:$B$501,A63)+COUNTIF('Diet Support'!$B$2:$B$501,A63))</f>
        <v/>
      </c>
      <c r="F63" s="20" t="str">
        <f aca="false">IF(A63="","",SUMIF('Injection Sales'!$B$2:$B$501,A63,'Injection Sales'!$G$2:$G$501)+SUMIF('Protein Sales'!$B$2:$B$501,A63,'Protein Sales'!$F$2:$F$501)+SUMIF('Diet Support'!$B$2:$B$501,A63,'Diet Support'!$E$2:$E$501))</f>
        <v/>
      </c>
      <c r="G63" s="21" t="str">
        <f aca="false">IF(OR(A63="",COUNTIF('Injection Sales'!$B$2:$B$501,A63)=0),"",IFERROR(LOOKUP(2,1/(('Injection Sales'!$B$2:$B$501=A63)*('Injection Sales'!$A$2:$A$501=_xlfn.MAXIFS('Injection Sales'!$A$2:$A$501,'Injection Sales'!$B$2:$B$501,A63))),'Injection Sales'!$E$2:$E$501),""))</f>
        <v/>
      </c>
      <c r="H63" s="21" t="str">
        <f aca="false">IF(OR(A63="",COUNTIF('Injection Sales'!$B$2:$B$501,A63)=0),"",IFERROR(LOOKUP(2,1/(('Injection Sales'!$B$2:$B$501=A63)*('Injection Sales'!$A$2:$A$501=_xlfn.MAXIFS('Injection Sales'!$A$2:$A$501,'Injection Sales'!$B$2:$B$501,A63))),'Injection Sales'!$H$2:$H$501),""))</f>
        <v/>
      </c>
      <c r="I63" s="21" t="str">
        <f aca="true">IF(OR(A63="",D63=""),"",IF(TODAY()-D63&lt;=Settings!$B$7,"Active","Inactive"))</f>
        <v/>
      </c>
    </row>
    <row r="64" customFormat="false" ht="15" hidden="false" customHeight="false" outlineLevel="0" collapsed="false">
      <c r="A64" s="1"/>
      <c r="B64" s="22"/>
      <c r="C64" s="18" t="str">
        <f aca="false">IF(OR(A64="",COUNTIF('Injection Sales'!$B$2:$B$501,A64)+COUNTIF('Protein Sales'!$B$2:$B$501,A64)+COUNTIF('Diet Support'!$B$2:$B$501,A64)=0),"",MIN(IF(COUNTIF('Injection Sales'!$B$2:$B$501,A64),_xlfn.MINIFS('Injection Sales'!$A$2:$A$501,'Injection Sales'!$B$2:$B$501,A64),99999),IF(COUNTIF('Protein Sales'!$B$2:$B$501,A64),_xlfn.MINIFS('Protein Sales'!$A$2:$A$501,'Protein Sales'!$B$2:$B$501,A64),99999),IF(COUNTIF('Diet Support'!$B$2:$B$501,A64),_xlfn.MINIFS('Diet Support'!$A$2:$A$501,'Diet Support'!$B$2:$B$501,A64),99999)))</f>
        <v/>
      </c>
      <c r="D64" s="18" t="str">
        <f aca="false">IF(OR(A64="",COUNTIF('Injection Sales'!$B$2:$B$501,A64)+COUNTIF('Protein Sales'!$B$2:$B$501,A64)+COUNTIF('Diet Support'!$B$2:$B$501,A64)=0),"",MAX(_xlfn.MAXIFS('Injection Sales'!$A$2:$A$501,'Injection Sales'!$B$2:$B$501,A64),_xlfn.MAXIFS('Protein Sales'!$A$2:$A$501,'Protein Sales'!$B$2:$B$501,A64),_xlfn.MAXIFS('Diet Support'!$A$2:$A$501,'Diet Support'!$B$2:$B$501,A64)))</f>
        <v/>
      </c>
      <c r="E64" s="19" t="str">
        <f aca="false">IF(A64="","",COUNTIF('Injection Sales'!$B$2:$B$501,A64)+COUNTIF('Protein Sales'!$B$2:$B$501,A64)+COUNTIF('Diet Support'!$B$2:$B$501,A64))</f>
        <v/>
      </c>
      <c r="F64" s="20" t="str">
        <f aca="false">IF(A64="","",SUMIF('Injection Sales'!$B$2:$B$501,A64,'Injection Sales'!$G$2:$G$501)+SUMIF('Protein Sales'!$B$2:$B$501,A64,'Protein Sales'!$F$2:$F$501)+SUMIF('Diet Support'!$B$2:$B$501,A64,'Diet Support'!$E$2:$E$501))</f>
        <v/>
      </c>
      <c r="G64" s="21" t="str">
        <f aca="false">IF(OR(A64="",COUNTIF('Injection Sales'!$B$2:$B$501,A64)=0),"",IFERROR(LOOKUP(2,1/(('Injection Sales'!$B$2:$B$501=A64)*('Injection Sales'!$A$2:$A$501=_xlfn.MAXIFS('Injection Sales'!$A$2:$A$501,'Injection Sales'!$B$2:$B$501,A64))),'Injection Sales'!$E$2:$E$501),""))</f>
        <v/>
      </c>
      <c r="H64" s="21" t="str">
        <f aca="false">IF(OR(A64="",COUNTIF('Injection Sales'!$B$2:$B$501,A64)=0),"",IFERROR(LOOKUP(2,1/(('Injection Sales'!$B$2:$B$501=A64)*('Injection Sales'!$A$2:$A$501=_xlfn.MAXIFS('Injection Sales'!$A$2:$A$501,'Injection Sales'!$B$2:$B$501,A64))),'Injection Sales'!$H$2:$H$501),""))</f>
        <v/>
      </c>
      <c r="I64" s="21" t="str">
        <f aca="true">IF(OR(A64="",D64=""),"",IF(TODAY()-D64&lt;=Settings!$B$7,"Active","Inactive"))</f>
        <v/>
      </c>
    </row>
    <row r="65" customFormat="false" ht="15" hidden="false" customHeight="false" outlineLevel="0" collapsed="false">
      <c r="A65" s="1"/>
      <c r="B65" s="22"/>
      <c r="C65" s="18" t="str">
        <f aca="false">IF(OR(A65="",COUNTIF('Injection Sales'!$B$2:$B$501,A65)+COUNTIF('Protein Sales'!$B$2:$B$501,A65)+COUNTIF('Diet Support'!$B$2:$B$501,A65)=0),"",MIN(IF(COUNTIF('Injection Sales'!$B$2:$B$501,A65),_xlfn.MINIFS('Injection Sales'!$A$2:$A$501,'Injection Sales'!$B$2:$B$501,A65),99999),IF(COUNTIF('Protein Sales'!$B$2:$B$501,A65),_xlfn.MINIFS('Protein Sales'!$A$2:$A$501,'Protein Sales'!$B$2:$B$501,A65),99999),IF(COUNTIF('Diet Support'!$B$2:$B$501,A65),_xlfn.MINIFS('Diet Support'!$A$2:$A$501,'Diet Support'!$B$2:$B$501,A65),99999)))</f>
        <v/>
      </c>
      <c r="D65" s="18" t="str">
        <f aca="false">IF(OR(A65="",COUNTIF('Injection Sales'!$B$2:$B$501,A65)+COUNTIF('Protein Sales'!$B$2:$B$501,A65)+COUNTIF('Diet Support'!$B$2:$B$501,A65)=0),"",MAX(_xlfn.MAXIFS('Injection Sales'!$A$2:$A$501,'Injection Sales'!$B$2:$B$501,A65),_xlfn.MAXIFS('Protein Sales'!$A$2:$A$501,'Protein Sales'!$B$2:$B$501,A65),_xlfn.MAXIFS('Diet Support'!$A$2:$A$501,'Diet Support'!$B$2:$B$501,A65)))</f>
        <v/>
      </c>
      <c r="E65" s="19" t="str">
        <f aca="false">IF(A65="","",COUNTIF('Injection Sales'!$B$2:$B$501,A65)+COUNTIF('Protein Sales'!$B$2:$B$501,A65)+COUNTIF('Diet Support'!$B$2:$B$501,A65))</f>
        <v/>
      </c>
      <c r="F65" s="20" t="str">
        <f aca="false">IF(A65="","",SUMIF('Injection Sales'!$B$2:$B$501,A65,'Injection Sales'!$G$2:$G$501)+SUMIF('Protein Sales'!$B$2:$B$501,A65,'Protein Sales'!$F$2:$F$501)+SUMIF('Diet Support'!$B$2:$B$501,A65,'Diet Support'!$E$2:$E$501))</f>
        <v/>
      </c>
      <c r="G65" s="21" t="str">
        <f aca="false">IF(OR(A65="",COUNTIF('Injection Sales'!$B$2:$B$501,A65)=0),"",IFERROR(LOOKUP(2,1/(('Injection Sales'!$B$2:$B$501=A65)*('Injection Sales'!$A$2:$A$501=_xlfn.MAXIFS('Injection Sales'!$A$2:$A$501,'Injection Sales'!$B$2:$B$501,A65))),'Injection Sales'!$E$2:$E$501),""))</f>
        <v/>
      </c>
      <c r="H65" s="21" t="str">
        <f aca="false">IF(OR(A65="",COUNTIF('Injection Sales'!$B$2:$B$501,A65)=0),"",IFERROR(LOOKUP(2,1/(('Injection Sales'!$B$2:$B$501=A65)*('Injection Sales'!$A$2:$A$501=_xlfn.MAXIFS('Injection Sales'!$A$2:$A$501,'Injection Sales'!$B$2:$B$501,A65))),'Injection Sales'!$H$2:$H$501),""))</f>
        <v/>
      </c>
      <c r="I65" s="21" t="str">
        <f aca="true">IF(OR(A65="",D65=""),"",IF(TODAY()-D65&lt;=Settings!$B$7,"Active","Inactive"))</f>
        <v/>
      </c>
    </row>
    <row r="66" customFormat="false" ht="15" hidden="false" customHeight="false" outlineLevel="0" collapsed="false">
      <c r="A66" s="1"/>
      <c r="B66" s="22"/>
      <c r="C66" s="18" t="str">
        <f aca="false">IF(OR(A66="",COUNTIF('Injection Sales'!$B$2:$B$501,A66)+COUNTIF('Protein Sales'!$B$2:$B$501,A66)+COUNTIF('Diet Support'!$B$2:$B$501,A66)=0),"",MIN(IF(COUNTIF('Injection Sales'!$B$2:$B$501,A66),_xlfn.MINIFS('Injection Sales'!$A$2:$A$501,'Injection Sales'!$B$2:$B$501,A66),99999),IF(COUNTIF('Protein Sales'!$B$2:$B$501,A66),_xlfn.MINIFS('Protein Sales'!$A$2:$A$501,'Protein Sales'!$B$2:$B$501,A66),99999),IF(COUNTIF('Diet Support'!$B$2:$B$501,A66),_xlfn.MINIFS('Diet Support'!$A$2:$A$501,'Diet Support'!$B$2:$B$501,A66),99999)))</f>
        <v/>
      </c>
      <c r="D66" s="18" t="str">
        <f aca="false">IF(OR(A66="",COUNTIF('Injection Sales'!$B$2:$B$501,A66)+COUNTIF('Protein Sales'!$B$2:$B$501,A66)+COUNTIF('Diet Support'!$B$2:$B$501,A66)=0),"",MAX(_xlfn.MAXIFS('Injection Sales'!$A$2:$A$501,'Injection Sales'!$B$2:$B$501,A66),_xlfn.MAXIFS('Protein Sales'!$A$2:$A$501,'Protein Sales'!$B$2:$B$501,A66),_xlfn.MAXIFS('Diet Support'!$A$2:$A$501,'Diet Support'!$B$2:$B$501,A66)))</f>
        <v/>
      </c>
      <c r="E66" s="19" t="str">
        <f aca="false">IF(A66="","",COUNTIF('Injection Sales'!$B$2:$B$501,A66)+COUNTIF('Protein Sales'!$B$2:$B$501,A66)+COUNTIF('Diet Support'!$B$2:$B$501,A66))</f>
        <v/>
      </c>
      <c r="F66" s="20" t="str">
        <f aca="false">IF(A66="","",SUMIF('Injection Sales'!$B$2:$B$501,A66,'Injection Sales'!$G$2:$G$501)+SUMIF('Protein Sales'!$B$2:$B$501,A66,'Protein Sales'!$F$2:$F$501)+SUMIF('Diet Support'!$B$2:$B$501,A66,'Diet Support'!$E$2:$E$501))</f>
        <v/>
      </c>
      <c r="G66" s="21" t="str">
        <f aca="false">IF(OR(A66="",COUNTIF('Injection Sales'!$B$2:$B$501,A66)=0),"",IFERROR(LOOKUP(2,1/(('Injection Sales'!$B$2:$B$501=A66)*('Injection Sales'!$A$2:$A$501=_xlfn.MAXIFS('Injection Sales'!$A$2:$A$501,'Injection Sales'!$B$2:$B$501,A66))),'Injection Sales'!$E$2:$E$501),""))</f>
        <v/>
      </c>
      <c r="H66" s="21" t="str">
        <f aca="false">IF(OR(A66="",COUNTIF('Injection Sales'!$B$2:$B$501,A66)=0),"",IFERROR(LOOKUP(2,1/(('Injection Sales'!$B$2:$B$501=A66)*('Injection Sales'!$A$2:$A$501=_xlfn.MAXIFS('Injection Sales'!$A$2:$A$501,'Injection Sales'!$B$2:$B$501,A66))),'Injection Sales'!$H$2:$H$501),""))</f>
        <v/>
      </c>
      <c r="I66" s="21" t="str">
        <f aca="true">IF(OR(A66="",D66=""),"",IF(TODAY()-D66&lt;=Settings!$B$7,"Active","Inactive"))</f>
        <v/>
      </c>
    </row>
    <row r="67" customFormat="false" ht="15" hidden="false" customHeight="false" outlineLevel="0" collapsed="false">
      <c r="A67" s="1"/>
      <c r="B67" s="22"/>
      <c r="C67" s="18" t="str">
        <f aca="false">IF(OR(A67="",COUNTIF('Injection Sales'!$B$2:$B$501,A67)+COUNTIF('Protein Sales'!$B$2:$B$501,A67)+COUNTIF('Diet Support'!$B$2:$B$501,A67)=0),"",MIN(IF(COUNTIF('Injection Sales'!$B$2:$B$501,A67),_xlfn.MINIFS('Injection Sales'!$A$2:$A$501,'Injection Sales'!$B$2:$B$501,A67),99999),IF(COUNTIF('Protein Sales'!$B$2:$B$501,A67),_xlfn.MINIFS('Protein Sales'!$A$2:$A$501,'Protein Sales'!$B$2:$B$501,A67),99999),IF(COUNTIF('Diet Support'!$B$2:$B$501,A67),_xlfn.MINIFS('Diet Support'!$A$2:$A$501,'Diet Support'!$B$2:$B$501,A67),99999)))</f>
        <v/>
      </c>
      <c r="D67" s="18" t="str">
        <f aca="false">IF(OR(A67="",COUNTIF('Injection Sales'!$B$2:$B$501,A67)+COUNTIF('Protein Sales'!$B$2:$B$501,A67)+COUNTIF('Diet Support'!$B$2:$B$501,A67)=0),"",MAX(_xlfn.MAXIFS('Injection Sales'!$A$2:$A$501,'Injection Sales'!$B$2:$B$501,A67),_xlfn.MAXIFS('Protein Sales'!$A$2:$A$501,'Protein Sales'!$B$2:$B$501,A67),_xlfn.MAXIFS('Diet Support'!$A$2:$A$501,'Diet Support'!$B$2:$B$501,A67)))</f>
        <v/>
      </c>
      <c r="E67" s="19" t="str">
        <f aca="false">IF(A67="","",COUNTIF('Injection Sales'!$B$2:$B$501,A67)+COUNTIF('Protein Sales'!$B$2:$B$501,A67)+COUNTIF('Diet Support'!$B$2:$B$501,A67))</f>
        <v/>
      </c>
      <c r="F67" s="20" t="str">
        <f aca="false">IF(A67="","",SUMIF('Injection Sales'!$B$2:$B$501,A67,'Injection Sales'!$G$2:$G$501)+SUMIF('Protein Sales'!$B$2:$B$501,A67,'Protein Sales'!$F$2:$F$501)+SUMIF('Diet Support'!$B$2:$B$501,A67,'Diet Support'!$E$2:$E$501))</f>
        <v/>
      </c>
      <c r="G67" s="21" t="str">
        <f aca="false">IF(OR(A67="",COUNTIF('Injection Sales'!$B$2:$B$501,A67)=0),"",IFERROR(LOOKUP(2,1/(('Injection Sales'!$B$2:$B$501=A67)*('Injection Sales'!$A$2:$A$501=_xlfn.MAXIFS('Injection Sales'!$A$2:$A$501,'Injection Sales'!$B$2:$B$501,A67))),'Injection Sales'!$E$2:$E$501),""))</f>
        <v/>
      </c>
      <c r="H67" s="21" t="str">
        <f aca="false">IF(OR(A67="",COUNTIF('Injection Sales'!$B$2:$B$501,A67)=0),"",IFERROR(LOOKUP(2,1/(('Injection Sales'!$B$2:$B$501=A67)*('Injection Sales'!$A$2:$A$501=_xlfn.MAXIFS('Injection Sales'!$A$2:$A$501,'Injection Sales'!$B$2:$B$501,A67))),'Injection Sales'!$H$2:$H$501),""))</f>
        <v/>
      </c>
      <c r="I67" s="21" t="str">
        <f aca="true">IF(OR(A67="",D67=""),"",IF(TODAY()-D67&lt;=Settings!$B$7,"Active","Inactive"))</f>
        <v/>
      </c>
    </row>
    <row r="68" customFormat="false" ht="15" hidden="false" customHeight="false" outlineLevel="0" collapsed="false">
      <c r="A68" s="1"/>
      <c r="B68" s="22"/>
      <c r="C68" s="18" t="str">
        <f aca="false">IF(OR(A68="",COUNTIF('Injection Sales'!$B$2:$B$501,A68)+COUNTIF('Protein Sales'!$B$2:$B$501,A68)+COUNTIF('Diet Support'!$B$2:$B$501,A68)=0),"",MIN(IF(COUNTIF('Injection Sales'!$B$2:$B$501,A68),_xlfn.MINIFS('Injection Sales'!$A$2:$A$501,'Injection Sales'!$B$2:$B$501,A68),99999),IF(COUNTIF('Protein Sales'!$B$2:$B$501,A68),_xlfn.MINIFS('Protein Sales'!$A$2:$A$501,'Protein Sales'!$B$2:$B$501,A68),99999),IF(COUNTIF('Diet Support'!$B$2:$B$501,A68),_xlfn.MINIFS('Diet Support'!$A$2:$A$501,'Diet Support'!$B$2:$B$501,A68),99999)))</f>
        <v/>
      </c>
      <c r="D68" s="18" t="str">
        <f aca="false">IF(OR(A68="",COUNTIF('Injection Sales'!$B$2:$B$501,A68)+COUNTIF('Protein Sales'!$B$2:$B$501,A68)+COUNTIF('Diet Support'!$B$2:$B$501,A68)=0),"",MAX(_xlfn.MAXIFS('Injection Sales'!$A$2:$A$501,'Injection Sales'!$B$2:$B$501,A68),_xlfn.MAXIFS('Protein Sales'!$A$2:$A$501,'Protein Sales'!$B$2:$B$501,A68),_xlfn.MAXIFS('Diet Support'!$A$2:$A$501,'Diet Support'!$B$2:$B$501,A68)))</f>
        <v/>
      </c>
      <c r="E68" s="19" t="str">
        <f aca="false">IF(A68="","",COUNTIF('Injection Sales'!$B$2:$B$501,A68)+COUNTIF('Protein Sales'!$B$2:$B$501,A68)+COUNTIF('Diet Support'!$B$2:$B$501,A68))</f>
        <v/>
      </c>
      <c r="F68" s="20" t="str">
        <f aca="false">IF(A68="","",SUMIF('Injection Sales'!$B$2:$B$501,A68,'Injection Sales'!$G$2:$G$501)+SUMIF('Protein Sales'!$B$2:$B$501,A68,'Protein Sales'!$F$2:$F$501)+SUMIF('Diet Support'!$B$2:$B$501,A68,'Diet Support'!$E$2:$E$501))</f>
        <v/>
      </c>
      <c r="G68" s="21" t="str">
        <f aca="false">IF(OR(A68="",COUNTIF('Injection Sales'!$B$2:$B$501,A68)=0),"",IFERROR(LOOKUP(2,1/(('Injection Sales'!$B$2:$B$501=A68)*('Injection Sales'!$A$2:$A$501=_xlfn.MAXIFS('Injection Sales'!$A$2:$A$501,'Injection Sales'!$B$2:$B$501,A68))),'Injection Sales'!$E$2:$E$501),""))</f>
        <v/>
      </c>
      <c r="H68" s="21" t="str">
        <f aca="false">IF(OR(A68="",COUNTIF('Injection Sales'!$B$2:$B$501,A68)=0),"",IFERROR(LOOKUP(2,1/(('Injection Sales'!$B$2:$B$501=A68)*('Injection Sales'!$A$2:$A$501=_xlfn.MAXIFS('Injection Sales'!$A$2:$A$501,'Injection Sales'!$B$2:$B$501,A68))),'Injection Sales'!$H$2:$H$501),""))</f>
        <v/>
      </c>
      <c r="I68" s="21" t="str">
        <f aca="true">IF(OR(A68="",D68=""),"",IF(TODAY()-D68&lt;=Settings!$B$7,"Active","Inactive"))</f>
        <v/>
      </c>
    </row>
    <row r="69" customFormat="false" ht="15" hidden="false" customHeight="false" outlineLevel="0" collapsed="false">
      <c r="A69" s="1"/>
      <c r="B69" s="22"/>
      <c r="C69" s="18" t="str">
        <f aca="false">IF(OR(A69="",COUNTIF('Injection Sales'!$B$2:$B$501,A69)+COUNTIF('Protein Sales'!$B$2:$B$501,A69)+COUNTIF('Diet Support'!$B$2:$B$501,A69)=0),"",MIN(IF(COUNTIF('Injection Sales'!$B$2:$B$501,A69),_xlfn.MINIFS('Injection Sales'!$A$2:$A$501,'Injection Sales'!$B$2:$B$501,A69),99999),IF(COUNTIF('Protein Sales'!$B$2:$B$501,A69),_xlfn.MINIFS('Protein Sales'!$A$2:$A$501,'Protein Sales'!$B$2:$B$501,A69),99999),IF(COUNTIF('Diet Support'!$B$2:$B$501,A69),_xlfn.MINIFS('Diet Support'!$A$2:$A$501,'Diet Support'!$B$2:$B$501,A69),99999)))</f>
        <v/>
      </c>
      <c r="D69" s="18" t="str">
        <f aca="false">IF(OR(A69="",COUNTIF('Injection Sales'!$B$2:$B$501,A69)+COUNTIF('Protein Sales'!$B$2:$B$501,A69)+COUNTIF('Diet Support'!$B$2:$B$501,A69)=0),"",MAX(_xlfn.MAXIFS('Injection Sales'!$A$2:$A$501,'Injection Sales'!$B$2:$B$501,A69),_xlfn.MAXIFS('Protein Sales'!$A$2:$A$501,'Protein Sales'!$B$2:$B$501,A69),_xlfn.MAXIFS('Diet Support'!$A$2:$A$501,'Diet Support'!$B$2:$B$501,A69)))</f>
        <v/>
      </c>
      <c r="E69" s="19" t="str">
        <f aca="false">IF(A69="","",COUNTIF('Injection Sales'!$B$2:$B$501,A69)+COUNTIF('Protein Sales'!$B$2:$B$501,A69)+COUNTIF('Diet Support'!$B$2:$B$501,A69))</f>
        <v/>
      </c>
      <c r="F69" s="20" t="str">
        <f aca="false">IF(A69="","",SUMIF('Injection Sales'!$B$2:$B$501,A69,'Injection Sales'!$G$2:$G$501)+SUMIF('Protein Sales'!$B$2:$B$501,A69,'Protein Sales'!$F$2:$F$501)+SUMIF('Diet Support'!$B$2:$B$501,A69,'Diet Support'!$E$2:$E$501))</f>
        <v/>
      </c>
      <c r="G69" s="21" t="str">
        <f aca="false">IF(OR(A69="",COUNTIF('Injection Sales'!$B$2:$B$501,A69)=0),"",IFERROR(LOOKUP(2,1/(('Injection Sales'!$B$2:$B$501=A69)*('Injection Sales'!$A$2:$A$501=_xlfn.MAXIFS('Injection Sales'!$A$2:$A$501,'Injection Sales'!$B$2:$B$501,A69))),'Injection Sales'!$E$2:$E$501),""))</f>
        <v/>
      </c>
      <c r="H69" s="21" t="str">
        <f aca="false">IF(OR(A69="",COUNTIF('Injection Sales'!$B$2:$B$501,A69)=0),"",IFERROR(LOOKUP(2,1/(('Injection Sales'!$B$2:$B$501=A69)*('Injection Sales'!$A$2:$A$501=_xlfn.MAXIFS('Injection Sales'!$A$2:$A$501,'Injection Sales'!$B$2:$B$501,A69))),'Injection Sales'!$H$2:$H$501),""))</f>
        <v/>
      </c>
      <c r="I69" s="21" t="str">
        <f aca="true">IF(OR(A69="",D69=""),"",IF(TODAY()-D69&lt;=Settings!$B$7,"Active","Inactive"))</f>
        <v/>
      </c>
    </row>
    <row r="70" customFormat="false" ht="15" hidden="false" customHeight="false" outlineLevel="0" collapsed="false">
      <c r="A70" s="1"/>
      <c r="B70" s="22"/>
      <c r="C70" s="18" t="str">
        <f aca="false">IF(OR(A70="",COUNTIF('Injection Sales'!$B$2:$B$501,A70)+COUNTIF('Protein Sales'!$B$2:$B$501,A70)+COUNTIF('Diet Support'!$B$2:$B$501,A70)=0),"",MIN(IF(COUNTIF('Injection Sales'!$B$2:$B$501,A70),_xlfn.MINIFS('Injection Sales'!$A$2:$A$501,'Injection Sales'!$B$2:$B$501,A70),99999),IF(COUNTIF('Protein Sales'!$B$2:$B$501,A70),_xlfn.MINIFS('Protein Sales'!$A$2:$A$501,'Protein Sales'!$B$2:$B$501,A70),99999),IF(COUNTIF('Diet Support'!$B$2:$B$501,A70),_xlfn.MINIFS('Diet Support'!$A$2:$A$501,'Diet Support'!$B$2:$B$501,A70),99999)))</f>
        <v/>
      </c>
      <c r="D70" s="18" t="str">
        <f aca="false">IF(OR(A70="",COUNTIF('Injection Sales'!$B$2:$B$501,A70)+COUNTIF('Protein Sales'!$B$2:$B$501,A70)+COUNTIF('Diet Support'!$B$2:$B$501,A70)=0),"",MAX(_xlfn.MAXIFS('Injection Sales'!$A$2:$A$501,'Injection Sales'!$B$2:$B$501,A70),_xlfn.MAXIFS('Protein Sales'!$A$2:$A$501,'Protein Sales'!$B$2:$B$501,A70),_xlfn.MAXIFS('Diet Support'!$A$2:$A$501,'Diet Support'!$B$2:$B$501,A70)))</f>
        <v/>
      </c>
      <c r="E70" s="19" t="str">
        <f aca="false">IF(A70="","",COUNTIF('Injection Sales'!$B$2:$B$501,A70)+COUNTIF('Protein Sales'!$B$2:$B$501,A70)+COUNTIF('Diet Support'!$B$2:$B$501,A70))</f>
        <v/>
      </c>
      <c r="F70" s="20" t="str">
        <f aca="false">IF(A70="","",SUMIF('Injection Sales'!$B$2:$B$501,A70,'Injection Sales'!$G$2:$G$501)+SUMIF('Protein Sales'!$B$2:$B$501,A70,'Protein Sales'!$F$2:$F$501)+SUMIF('Diet Support'!$B$2:$B$501,A70,'Diet Support'!$E$2:$E$501))</f>
        <v/>
      </c>
      <c r="G70" s="21" t="str">
        <f aca="false">IF(OR(A70="",COUNTIF('Injection Sales'!$B$2:$B$501,A70)=0),"",IFERROR(LOOKUP(2,1/(('Injection Sales'!$B$2:$B$501=A70)*('Injection Sales'!$A$2:$A$501=_xlfn.MAXIFS('Injection Sales'!$A$2:$A$501,'Injection Sales'!$B$2:$B$501,A70))),'Injection Sales'!$E$2:$E$501),""))</f>
        <v/>
      </c>
      <c r="H70" s="21" t="str">
        <f aca="false">IF(OR(A70="",COUNTIF('Injection Sales'!$B$2:$B$501,A70)=0),"",IFERROR(LOOKUP(2,1/(('Injection Sales'!$B$2:$B$501=A70)*('Injection Sales'!$A$2:$A$501=_xlfn.MAXIFS('Injection Sales'!$A$2:$A$501,'Injection Sales'!$B$2:$B$501,A70))),'Injection Sales'!$H$2:$H$501),""))</f>
        <v/>
      </c>
      <c r="I70" s="21" t="str">
        <f aca="true">IF(OR(A70="",D70=""),"",IF(TODAY()-D70&lt;=Settings!$B$7,"Active","Inactive"))</f>
        <v/>
      </c>
    </row>
    <row r="71" customFormat="false" ht="15" hidden="false" customHeight="false" outlineLevel="0" collapsed="false">
      <c r="A71" s="1"/>
      <c r="B71" s="22"/>
      <c r="C71" s="18" t="str">
        <f aca="false">IF(OR(A71="",COUNTIF('Injection Sales'!$B$2:$B$501,A71)+COUNTIF('Protein Sales'!$B$2:$B$501,A71)+COUNTIF('Diet Support'!$B$2:$B$501,A71)=0),"",MIN(IF(COUNTIF('Injection Sales'!$B$2:$B$501,A71),_xlfn.MINIFS('Injection Sales'!$A$2:$A$501,'Injection Sales'!$B$2:$B$501,A71),99999),IF(COUNTIF('Protein Sales'!$B$2:$B$501,A71),_xlfn.MINIFS('Protein Sales'!$A$2:$A$501,'Protein Sales'!$B$2:$B$501,A71),99999),IF(COUNTIF('Diet Support'!$B$2:$B$501,A71),_xlfn.MINIFS('Diet Support'!$A$2:$A$501,'Diet Support'!$B$2:$B$501,A71),99999)))</f>
        <v/>
      </c>
      <c r="D71" s="18" t="str">
        <f aca="false">IF(OR(A71="",COUNTIF('Injection Sales'!$B$2:$B$501,A71)+COUNTIF('Protein Sales'!$B$2:$B$501,A71)+COUNTIF('Diet Support'!$B$2:$B$501,A71)=0),"",MAX(_xlfn.MAXIFS('Injection Sales'!$A$2:$A$501,'Injection Sales'!$B$2:$B$501,A71),_xlfn.MAXIFS('Protein Sales'!$A$2:$A$501,'Protein Sales'!$B$2:$B$501,A71),_xlfn.MAXIFS('Diet Support'!$A$2:$A$501,'Diet Support'!$B$2:$B$501,A71)))</f>
        <v/>
      </c>
      <c r="E71" s="19" t="str">
        <f aca="false">IF(A71="","",COUNTIF('Injection Sales'!$B$2:$B$501,A71)+COUNTIF('Protein Sales'!$B$2:$B$501,A71)+COUNTIF('Diet Support'!$B$2:$B$501,A71))</f>
        <v/>
      </c>
      <c r="F71" s="20" t="str">
        <f aca="false">IF(A71="","",SUMIF('Injection Sales'!$B$2:$B$501,A71,'Injection Sales'!$G$2:$G$501)+SUMIF('Protein Sales'!$B$2:$B$501,A71,'Protein Sales'!$F$2:$F$501)+SUMIF('Diet Support'!$B$2:$B$501,A71,'Diet Support'!$E$2:$E$501))</f>
        <v/>
      </c>
      <c r="G71" s="21" t="str">
        <f aca="false">IF(OR(A71="",COUNTIF('Injection Sales'!$B$2:$B$501,A71)=0),"",IFERROR(LOOKUP(2,1/(('Injection Sales'!$B$2:$B$501=A71)*('Injection Sales'!$A$2:$A$501=_xlfn.MAXIFS('Injection Sales'!$A$2:$A$501,'Injection Sales'!$B$2:$B$501,A71))),'Injection Sales'!$E$2:$E$501),""))</f>
        <v/>
      </c>
      <c r="H71" s="21" t="str">
        <f aca="false">IF(OR(A71="",COUNTIF('Injection Sales'!$B$2:$B$501,A71)=0),"",IFERROR(LOOKUP(2,1/(('Injection Sales'!$B$2:$B$501=A71)*('Injection Sales'!$A$2:$A$501=_xlfn.MAXIFS('Injection Sales'!$A$2:$A$501,'Injection Sales'!$B$2:$B$501,A71))),'Injection Sales'!$H$2:$H$501),""))</f>
        <v/>
      </c>
      <c r="I71" s="21" t="str">
        <f aca="true">IF(OR(A71="",D71=""),"",IF(TODAY()-D71&lt;=Settings!$B$7,"Active","Inactive"))</f>
        <v/>
      </c>
    </row>
    <row r="72" customFormat="false" ht="15" hidden="false" customHeight="false" outlineLevel="0" collapsed="false">
      <c r="A72" s="1"/>
      <c r="B72" s="22"/>
      <c r="C72" s="18" t="str">
        <f aca="false">IF(OR(A72="",COUNTIF('Injection Sales'!$B$2:$B$501,A72)+COUNTIF('Protein Sales'!$B$2:$B$501,A72)+COUNTIF('Diet Support'!$B$2:$B$501,A72)=0),"",MIN(IF(COUNTIF('Injection Sales'!$B$2:$B$501,A72),_xlfn.MINIFS('Injection Sales'!$A$2:$A$501,'Injection Sales'!$B$2:$B$501,A72),99999),IF(COUNTIF('Protein Sales'!$B$2:$B$501,A72),_xlfn.MINIFS('Protein Sales'!$A$2:$A$501,'Protein Sales'!$B$2:$B$501,A72),99999),IF(COUNTIF('Diet Support'!$B$2:$B$501,A72),_xlfn.MINIFS('Diet Support'!$A$2:$A$501,'Diet Support'!$B$2:$B$501,A72),99999)))</f>
        <v/>
      </c>
      <c r="D72" s="18" t="str">
        <f aca="false">IF(OR(A72="",COUNTIF('Injection Sales'!$B$2:$B$501,A72)+COUNTIF('Protein Sales'!$B$2:$B$501,A72)+COUNTIF('Diet Support'!$B$2:$B$501,A72)=0),"",MAX(_xlfn.MAXIFS('Injection Sales'!$A$2:$A$501,'Injection Sales'!$B$2:$B$501,A72),_xlfn.MAXIFS('Protein Sales'!$A$2:$A$501,'Protein Sales'!$B$2:$B$501,A72),_xlfn.MAXIFS('Diet Support'!$A$2:$A$501,'Diet Support'!$B$2:$B$501,A72)))</f>
        <v/>
      </c>
      <c r="E72" s="19" t="str">
        <f aca="false">IF(A72="","",COUNTIF('Injection Sales'!$B$2:$B$501,A72)+COUNTIF('Protein Sales'!$B$2:$B$501,A72)+COUNTIF('Diet Support'!$B$2:$B$501,A72))</f>
        <v/>
      </c>
      <c r="F72" s="20" t="str">
        <f aca="false">IF(A72="","",SUMIF('Injection Sales'!$B$2:$B$501,A72,'Injection Sales'!$G$2:$G$501)+SUMIF('Protein Sales'!$B$2:$B$501,A72,'Protein Sales'!$F$2:$F$501)+SUMIF('Diet Support'!$B$2:$B$501,A72,'Diet Support'!$E$2:$E$501))</f>
        <v/>
      </c>
      <c r="G72" s="21" t="str">
        <f aca="false">IF(OR(A72="",COUNTIF('Injection Sales'!$B$2:$B$501,A72)=0),"",IFERROR(LOOKUP(2,1/(('Injection Sales'!$B$2:$B$501=A72)*('Injection Sales'!$A$2:$A$501=_xlfn.MAXIFS('Injection Sales'!$A$2:$A$501,'Injection Sales'!$B$2:$B$501,A72))),'Injection Sales'!$E$2:$E$501),""))</f>
        <v/>
      </c>
      <c r="H72" s="21" t="str">
        <f aca="false">IF(OR(A72="",COUNTIF('Injection Sales'!$B$2:$B$501,A72)=0),"",IFERROR(LOOKUP(2,1/(('Injection Sales'!$B$2:$B$501=A72)*('Injection Sales'!$A$2:$A$501=_xlfn.MAXIFS('Injection Sales'!$A$2:$A$501,'Injection Sales'!$B$2:$B$501,A72))),'Injection Sales'!$H$2:$H$501),""))</f>
        <v/>
      </c>
      <c r="I72" s="21" t="str">
        <f aca="true">IF(OR(A72="",D72=""),"",IF(TODAY()-D72&lt;=Settings!$B$7,"Active","Inactive"))</f>
        <v/>
      </c>
    </row>
    <row r="73" customFormat="false" ht="15" hidden="false" customHeight="false" outlineLevel="0" collapsed="false">
      <c r="A73" s="1"/>
      <c r="B73" s="22"/>
      <c r="C73" s="18" t="str">
        <f aca="false">IF(OR(A73="",COUNTIF('Injection Sales'!$B$2:$B$501,A73)+COUNTIF('Protein Sales'!$B$2:$B$501,A73)+COUNTIF('Diet Support'!$B$2:$B$501,A73)=0),"",MIN(IF(COUNTIF('Injection Sales'!$B$2:$B$501,A73),_xlfn.MINIFS('Injection Sales'!$A$2:$A$501,'Injection Sales'!$B$2:$B$501,A73),99999),IF(COUNTIF('Protein Sales'!$B$2:$B$501,A73),_xlfn.MINIFS('Protein Sales'!$A$2:$A$501,'Protein Sales'!$B$2:$B$501,A73),99999),IF(COUNTIF('Diet Support'!$B$2:$B$501,A73),_xlfn.MINIFS('Diet Support'!$A$2:$A$501,'Diet Support'!$B$2:$B$501,A73),99999)))</f>
        <v/>
      </c>
      <c r="D73" s="18" t="str">
        <f aca="false">IF(OR(A73="",COUNTIF('Injection Sales'!$B$2:$B$501,A73)+COUNTIF('Protein Sales'!$B$2:$B$501,A73)+COUNTIF('Diet Support'!$B$2:$B$501,A73)=0),"",MAX(_xlfn.MAXIFS('Injection Sales'!$A$2:$A$501,'Injection Sales'!$B$2:$B$501,A73),_xlfn.MAXIFS('Protein Sales'!$A$2:$A$501,'Protein Sales'!$B$2:$B$501,A73),_xlfn.MAXIFS('Diet Support'!$A$2:$A$501,'Diet Support'!$B$2:$B$501,A73)))</f>
        <v/>
      </c>
      <c r="E73" s="19" t="str">
        <f aca="false">IF(A73="","",COUNTIF('Injection Sales'!$B$2:$B$501,A73)+COUNTIF('Protein Sales'!$B$2:$B$501,A73)+COUNTIF('Diet Support'!$B$2:$B$501,A73))</f>
        <v/>
      </c>
      <c r="F73" s="20" t="str">
        <f aca="false">IF(A73="","",SUMIF('Injection Sales'!$B$2:$B$501,A73,'Injection Sales'!$G$2:$G$501)+SUMIF('Protein Sales'!$B$2:$B$501,A73,'Protein Sales'!$F$2:$F$501)+SUMIF('Diet Support'!$B$2:$B$501,A73,'Diet Support'!$E$2:$E$501))</f>
        <v/>
      </c>
      <c r="G73" s="21" t="str">
        <f aca="false">IF(OR(A73="",COUNTIF('Injection Sales'!$B$2:$B$501,A73)=0),"",IFERROR(LOOKUP(2,1/(('Injection Sales'!$B$2:$B$501=A73)*('Injection Sales'!$A$2:$A$501=_xlfn.MAXIFS('Injection Sales'!$A$2:$A$501,'Injection Sales'!$B$2:$B$501,A73))),'Injection Sales'!$E$2:$E$501),""))</f>
        <v/>
      </c>
      <c r="H73" s="21" t="str">
        <f aca="false">IF(OR(A73="",COUNTIF('Injection Sales'!$B$2:$B$501,A73)=0),"",IFERROR(LOOKUP(2,1/(('Injection Sales'!$B$2:$B$501=A73)*('Injection Sales'!$A$2:$A$501=_xlfn.MAXIFS('Injection Sales'!$A$2:$A$501,'Injection Sales'!$B$2:$B$501,A73))),'Injection Sales'!$H$2:$H$501),""))</f>
        <v/>
      </c>
      <c r="I73" s="21" t="str">
        <f aca="true">IF(OR(A73="",D73=""),"",IF(TODAY()-D73&lt;=Settings!$B$7,"Active","Inactive"))</f>
        <v/>
      </c>
    </row>
    <row r="74" customFormat="false" ht="15" hidden="false" customHeight="false" outlineLevel="0" collapsed="false">
      <c r="A74" s="1"/>
      <c r="B74" s="22"/>
      <c r="C74" s="18" t="str">
        <f aca="false">IF(OR(A74="",COUNTIF('Injection Sales'!$B$2:$B$501,A74)+COUNTIF('Protein Sales'!$B$2:$B$501,A74)+COUNTIF('Diet Support'!$B$2:$B$501,A74)=0),"",MIN(IF(COUNTIF('Injection Sales'!$B$2:$B$501,A74),_xlfn.MINIFS('Injection Sales'!$A$2:$A$501,'Injection Sales'!$B$2:$B$501,A74),99999),IF(COUNTIF('Protein Sales'!$B$2:$B$501,A74),_xlfn.MINIFS('Protein Sales'!$A$2:$A$501,'Protein Sales'!$B$2:$B$501,A74),99999),IF(COUNTIF('Diet Support'!$B$2:$B$501,A74),_xlfn.MINIFS('Diet Support'!$A$2:$A$501,'Diet Support'!$B$2:$B$501,A74),99999)))</f>
        <v/>
      </c>
      <c r="D74" s="18" t="str">
        <f aca="false">IF(OR(A74="",COUNTIF('Injection Sales'!$B$2:$B$501,A74)+COUNTIF('Protein Sales'!$B$2:$B$501,A74)+COUNTIF('Diet Support'!$B$2:$B$501,A74)=0),"",MAX(_xlfn.MAXIFS('Injection Sales'!$A$2:$A$501,'Injection Sales'!$B$2:$B$501,A74),_xlfn.MAXIFS('Protein Sales'!$A$2:$A$501,'Protein Sales'!$B$2:$B$501,A74),_xlfn.MAXIFS('Diet Support'!$A$2:$A$501,'Diet Support'!$B$2:$B$501,A74)))</f>
        <v/>
      </c>
      <c r="E74" s="19" t="str">
        <f aca="false">IF(A74="","",COUNTIF('Injection Sales'!$B$2:$B$501,A74)+COUNTIF('Protein Sales'!$B$2:$B$501,A74)+COUNTIF('Diet Support'!$B$2:$B$501,A74))</f>
        <v/>
      </c>
      <c r="F74" s="20" t="str">
        <f aca="false">IF(A74="","",SUMIF('Injection Sales'!$B$2:$B$501,A74,'Injection Sales'!$G$2:$G$501)+SUMIF('Protein Sales'!$B$2:$B$501,A74,'Protein Sales'!$F$2:$F$501)+SUMIF('Diet Support'!$B$2:$B$501,A74,'Diet Support'!$E$2:$E$501))</f>
        <v/>
      </c>
      <c r="G74" s="21" t="str">
        <f aca="false">IF(OR(A74="",COUNTIF('Injection Sales'!$B$2:$B$501,A74)=0),"",IFERROR(LOOKUP(2,1/(('Injection Sales'!$B$2:$B$501=A74)*('Injection Sales'!$A$2:$A$501=_xlfn.MAXIFS('Injection Sales'!$A$2:$A$501,'Injection Sales'!$B$2:$B$501,A74))),'Injection Sales'!$E$2:$E$501),""))</f>
        <v/>
      </c>
      <c r="H74" s="21" t="str">
        <f aca="false">IF(OR(A74="",COUNTIF('Injection Sales'!$B$2:$B$501,A74)=0),"",IFERROR(LOOKUP(2,1/(('Injection Sales'!$B$2:$B$501=A74)*('Injection Sales'!$A$2:$A$501=_xlfn.MAXIFS('Injection Sales'!$A$2:$A$501,'Injection Sales'!$B$2:$B$501,A74))),'Injection Sales'!$H$2:$H$501),""))</f>
        <v/>
      </c>
      <c r="I74" s="21" t="str">
        <f aca="true">IF(OR(A74="",D74=""),"",IF(TODAY()-D74&lt;=Settings!$B$7,"Active","Inactive"))</f>
        <v/>
      </c>
    </row>
    <row r="75" customFormat="false" ht="15" hidden="false" customHeight="false" outlineLevel="0" collapsed="false">
      <c r="A75" s="1"/>
      <c r="B75" s="22"/>
      <c r="C75" s="18" t="str">
        <f aca="false">IF(OR(A75="",COUNTIF('Injection Sales'!$B$2:$B$501,A75)+COUNTIF('Protein Sales'!$B$2:$B$501,A75)+COUNTIF('Diet Support'!$B$2:$B$501,A75)=0),"",MIN(IF(COUNTIF('Injection Sales'!$B$2:$B$501,A75),_xlfn.MINIFS('Injection Sales'!$A$2:$A$501,'Injection Sales'!$B$2:$B$501,A75),99999),IF(COUNTIF('Protein Sales'!$B$2:$B$501,A75),_xlfn.MINIFS('Protein Sales'!$A$2:$A$501,'Protein Sales'!$B$2:$B$501,A75),99999),IF(COUNTIF('Diet Support'!$B$2:$B$501,A75),_xlfn.MINIFS('Diet Support'!$A$2:$A$501,'Diet Support'!$B$2:$B$501,A75),99999)))</f>
        <v/>
      </c>
      <c r="D75" s="18" t="str">
        <f aca="false">IF(OR(A75="",COUNTIF('Injection Sales'!$B$2:$B$501,A75)+COUNTIF('Protein Sales'!$B$2:$B$501,A75)+COUNTIF('Diet Support'!$B$2:$B$501,A75)=0),"",MAX(_xlfn.MAXIFS('Injection Sales'!$A$2:$A$501,'Injection Sales'!$B$2:$B$501,A75),_xlfn.MAXIFS('Protein Sales'!$A$2:$A$501,'Protein Sales'!$B$2:$B$501,A75),_xlfn.MAXIFS('Diet Support'!$A$2:$A$501,'Diet Support'!$B$2:$B$501,A75)))</f>
        <v/>
      </c>
      <c r="E75" s="19" t="str">
        <f aca="false">IF(A75="","",COUNTIF('Injection Sales'!$B$2:$B$501,A75)+COUNTIF('Protein Sales'!$B$2:$B$501,A75)+COUNTIF('Diet Support'!$B$2:$B$501,A75))</f>
        <v/>
      </c>
      <c r="F75" s="20" t="str">
        <f aca="false">IF(A75="","",SUMIF('Injection Sales'!$B$2:$B$501,A75,'Injection Sales'!$G$2:$G$501)+SUMIF('Protein Sales'!$B$2:$B$501,A75,'Protein Sales'!$F$2:$F$501)+SUMIF('Diet Support'!$B$2:$B$501,A75,'Diet Support'!$E$2:$E$501))</f>
        <v/>
      </c>
      <c r="G75" s="21" t="str">
        <f aca="false">IF(OR(A75="",COUNTIF('Injection Sales'!$B$2:$B$501,A75)=0),"",IFERROR(LOOKUP(2,1/(('Injection Sales'!$B$2:$B$501=A75)*('Injection Sales'!$A$2:$A$501=_xlfn.MAXIFS('Injection Sales'!$A$2:$A$501,'Injection Sales'!$B$2:$B$501,A75))),'Injection Sales'!$E$2:$E$501),""))</f>
        <v/>
      </c>
      <c r="H75" s="21" t="str">
        <f aca="false">IF(OR(A75="",COUNTIF('Injection Sales'!$B$2:$B$501,A75)=0),"",IFERROR(LOOKUP(2,1/(('Injection Sales'!$B$2:$B$501=A75)*('Injection Sales'!$A$2:$A$501=_xlfn.MAXIFS('Injection Sales'!$A$2:$A$501,'Injection Sales'!$B$2:$B$501,A75))),'Injection Sales'!$H$2:$H$501),""))</f>
        <v/>
      </c>
      <c r="I75" s="21" t="str">
        <f aca="true">IF(OR(A75="",D75=""),"",IF(TODAY()-D75&lt;=Settings!$B$7,"Active","Inactive"))</f>
        <v/>
      </c>
    </row>
    <row r="76" customFormat="false" ht="15" hidden="false" customHeight="false" outlineLevel="0" collapsed="false">
      <c r="A76" s="1"/>
      <c r="B76" s="22"/>
      <c r="C76" s="18" t="str">
        <f aca="false">IF(OR(A76="",COUNTIF('Injection Sales'!$B$2:$B$501,A76)+COUNTIF('Protein Sales'!$B$2:$B$501,A76)+COUNTIF('Diet Support'!$B$2:$B$501,A76)=0),"",MIN(IF(COUNTIF('Injection Sales'!$B$2:$B$501,A76),_xlfn.MINIFS('Injection Sales'!$A$2:$A$501,'Injection Sales'!$B$2:$B$501,A76),99999),IF(COUNTIF('Protein Sales'!$B$2:$B$501,A76),_xlfn.MINIFS('Protein Sales'!$A$2:$A$501,'Protein Sales'!$B$2:$B$501,A76),99999),IF(COUNTIF('Diet Support'!$B$2:$B$501,A76),_xlfn.MINIFS('Diet Support'!$A$2:$A$501,'Diet Support'!$B$2:$B$501,A76),99999)))</f>
        <v/>
      </c>
      <c r="D76" s="18" t="str">
        <f aca="false">IF(OR(A76="",COUNTIF('Injection Sales'!$B$2:$B$501,A76)+COUNTIF('Protein Sales'!$B$2:$B$501,A76)+COUNTIF('Diet Support'!$B$2:$B$501,A76)=0),"",MAX(_xlfn.MAXIFS('Injection Sales'!$A$2:$A$501,'Injection Sales'!$B$2:$B$501,A76),_xlfn.MAXIFS('Protein Sales'!$A$2:$A$501,'Protein Sales'!$B$2:$B$501,A76),_xlfn.MAXIFS('Diet Support'!$A$2:$A$501,'Diet Support'!$B$2:$B$501,A76)))</f>
        <v/>
      </c>
      <c r="E76" s="19" t="str">
        <f aca="false">IF(A76="","",COUNTIF('Injection Sales'!$B$2:$B$501,A76)+COUNTIF('Protein Sales'!$B$2:$B$501,A76)+COUNTIF('Diet Support'!$B$2:$B$501,A76))</f>
        <v/>
      </c>
      <c r="F76" s="20" t="str">
        <f aca="false">IF(A76="","",SUMIF('Injection Sales'!$B$2:$B$501,A76,'Injection Sales'!$G$2:$G$501)+SUMIF('Protein Sales'!$B$2:$B$501,A76,'Protein Sales'!$F$2:$F$501)+SUMIF('Diet Support'!$B$2:$B$501,A76,'Diet Support'!$E$2:$E$501))</f>
        <v/>
      </c>
      <c r="G76" s="21" t="str">
        <f aca="false">IF(OR(A76="",COUNTIF('Injection Sales'!$B$2:$B$501,A76)=0),"",IFERROR(LOOKUP(2,1/(('Injection Sales'!$B$2:$B$501=A76)*('Injection Sales'!$A$2:$A$501=_xlfn.MAXIFS('Injection Sales'!$A$2:$A$501,'Injection Sales'!$B$2:$B$501,A76))),'Injection Sales'!$E$2:$E$501),""))</f>
        <v/>
      </c>
      <c r="H76" s="21" t="str">
        <f aca="false">IF(OR(A76="",COUNTIF('Injection Sales'!$B$2:$B$501,A76)=0),"",IFERROR(LOOKUP(2,1/(('Injection Sales'!$B$2:$B$501=A76)*('Injection Sales'!$A$2:$A$501=_xlfn.MAXIFS('Injection Sales'!$A$2:$A$501,'Injection Sales'!$B$2:$B$501,A76))),'Injection Sales'!$H$2:$H$501),""))</f>
        <v/>
      </c>
      <c r="I76" s="21" t="str">
        <f aca="true">IF(OR(A76="",D76=""),"",IF(TODAY()-D76&lt;=Settings!$B$7,"Active","Inactive"))</f>
        <v/>
      </c>
    </row>
    <row r="77" customFormat="false" ht="15" hidden="false" customHeight="false" outlineLevel="0" collapsed="false">
      <c r="A77" s="1"/>
      <c r="B77" s="22"/>
      <c r="C77" s="18" t="str">
        <f aca="false">IF(OR(A77="",COUNTIF('Injection Sales'!$B$2:$B$501,A77)+COUNTIF('Protein Sales'!$B$2:$B$501,A77)+COUNTIF('Diet Support'!$B$2:$B$501,A77)=0),"",MIN(IF(COUNTIF('Injection Sales'!$B$2:$B$501,A77),_xlfn.MINIFS('Injection Sales'!$A$2:$A$501,'Injection Sales'!$B$2:$B$501,A77),99999),IF(COUNTIF('Protein Sales'!$B$2:$B$501,A77),_xlfn.MINIFS('Protein Sales'!$A$2:$A$501,'Protein Sales'!$B$2:$B$501,A77),99999),IF(COUNTIF('Diet Support'!$B$2:$B$501,A77),_xlfn.MINIFS('Diet Support'!$A$2:$A$501,'Diet Support'!$B$2:$B$501,A77),99999)))</f>
        <v/>
      </c>
      <c r="D77" s="18" t="str">
        <f aca="false">IF(OR(A77="",COUNTIF('Injection Sales'!$B$2:$B$501,A77)+COUNTIF('Protein Sales'!$B$2:$B$501,A77)+COUNTIF('Diet Support'!$B$2:$B$501,A77)=0),"",MAX(_xlfn.MAXIFS('Injection Sales'!$A$2:$A$501,'Injection Sales'!$B$2:$B$501,A77),_xlfn.MAXIFS('Protein Sales'!$A$2:$A$501,'Protein Sales'!$B$2:$B$501,A77),_xlfn.MAXIFS('Diet Support'!$A$2:$A$501,'Diet Support'!$B$2:$B$501,A77)))</f>
        <v/>
      </c>
      <c r="E77" s="19" t="str">
        <f aca="false">IF(A77="","",COUNTIF('Injection Sales'!$B$2:$B$501,A77)+COUNTIF('Protein Sales'!$B$2:$B$501,A77)+COUNTIF('Diet Support'!$B$2:$B$501,A77))</f>
        <v/>
      </c>
      <c r="F77" s="20" t="str">
        <f aca="false">IF(A77="","",SUMIF('Injection Sales'!$B$2:$B$501,A77,'Injection Sales'!$G$2:$G$501)+SUMIF('Protein Sales'!$B$2:$B$501,A77,'Protein Sales'!$F$2:$F$501)+SUMIF('Diet Support'!$B$2:$B$501,A77,'Diet Support'!$E$2:$E$501))</f>
        <v/>
      </c>
      <c r="G77" s="21" t="str">
        <f aca="false">IF(OR(A77="",COUNTIF('Injection Sales'!$B$2:$B$501,A77)=0),"",IFERROR(LOOKUP(2,1/(('Injection Sales'!$B$2:$B$501=A77)*('Injection Sales'!$A$2:$A$501=_xlfn.MAXIFS('Injection Sales'!$A$2:$A$501,'Injection Sales'!$B$2:$B$501,A77))),'Injection Sales'!$E$2:$E$501),""))</f>
        <v/>
      </c>
      <c r="H77" s="21" t="str">
        <f aca="false">IF(OR(A77="",COUNTIF('Injection Sales'!$B$2:$B$501,A77)=0),"",IFERROR(LOOKUP(2,1/(('Injection Sales'!$B$2:$B$501=A77)*('Injection Sales'!$A$2:$A$501=_xlfn.MAXIFS('Injection Sales'!$A$2:$A$501,'Injection Sales'!$B$2:$B$501,A77))),'Injection Sales'!$H$2:$H$501),""))</f>
        <v/>
      </c>
      <c r="I77" s="21" t="str">
        <f aca="true">IF(OR(A77="",D77=""),"",IF(TODAY()-D77&lt;=Settings!$B$7,"Active","Inactive"))</f>
        <v/>
      </c>
    </row>
    <row r="78" customFormat="false" ht="15" hidden="false" customHeight="false" outlineLevel="0" collapsed="false">
      <c r="A78" s="1"/>
      <c r="B78" s="22"/>
      <c r="C78" s="18" t="str">
        <f aca="false">IF(OR(A78="",COUNTIF('Injection Sales'!$B$2:$B$501,A78)+COUNTIF('Protein Sales'!$B$2:$B$501,A78)+COUNTIF('Diet Support'!$B$2:$B$501,A78)=0),"",MIN(IF(COUNTIF('Injection Sales'!$B$2:$B$501,A78),_xlfn.MINIFS('Injection Sales'!$A$2:$A$501,'Injection Sales'!$B$2:$B$501,A78),99999),IF(COUNTIF('Protein Sales'!$B$2:$B$501,A78),_xlfn.MINIFS('Protein Sales'!$A$2:$A$501,'Protein Sales'!$B$2:$B$501,A78),99999),IF(COUNTIF('Diet Support'!$B$2:$B$501,A78),_xlfn.MINIFS('Diet Support'!$A$2:$A$501,'Diet Support'!$B$2:$B$501,A78),99999)))</f>
        <v/>
      </c>
      <c r="D78" s="18" t="str">
        <f aca="false">IF(OR(A78="",COUNTIF('Injection Sales'!$B$2:$B$501,A78)+COUNTIF('Protein Sales'!$B$2:$B$501,A78)+COUNTIF('Diet Support'!$B$2:$B$501,A78)=0),"",MAX(_xlfn.MAXIFS('Injection Sales'!$A$2:$A$501,'Injection Sales'!$B$2:$B$501,A78),_xlfn.MAXIFS('Protein Sales'!$A$2:$A$501,'Protein Sales'!$B$2:$B$501,A78),_xlfn.MAXIFS('Diet Support'!$A$2:$A$501,'Diet Support'!$B$2:$B$501,A78)))</f>
        <v/>
      </c>
      <c r="E78" s="19" t="str">
        <f aca="false">IF(A78="","",COUNTIF('Injection Sales'!$B$2:$B$501,A78)+COUNTIF('Protein Sales'!$B$2:$B$501,A78)+COUNTIF('Diet Support'!$B$2:$B$501,A78))</f>
        <v/>
      </c>
      <c r="F78" s="20" t="str">
        <f aca="false">IF(A78="","",SUMIF('Injection Sales'!$B$2:$B$501,A78,'Injection Sales'!$G$2:$G$501)+SUMIF('Protein Sales'!$B$2:$B$501,A78,'Protein Sales'!$F$2:$F$501)+SUMIF('Diet Support'!$B$2:$B$501,A78,'Diet Support'!$E$2:$E$501))</f>
        <v/>
      </c>
      <c r="G78" s="21" t="str">
        <f aca="false">IF(OR(A78="",COUNTIF('Injection Sales'!$B$2:$B$501,A78)=0),"",IFERROR(LOOKUP(2,1/(('Injection Sales'!$B$2:$B$501=A78)*('Injection Sales'!$A$2:$A$501=_xlfn.MAXIFS('Injection Sales'!$A$2:$A$501,'Injection Sales'!$B$2:$B$501,A78))),'Injection Sales'!$E$2:$E$501),""))</f>
        <v/>
      </c>
      <c r="H78" s="21" t="str">
        <f aca="false">IF(OR(A78="",COUNTIF('Injection Sales'!$B$2:$B$501,A78)=0),"",IFERROR(LOOKUP(2,1/(('Injection Sales'!$B$2:$B$501=A78)*('Injection Sales'!$A$2:$A$501=_xlfn.MAXIFS('Injection Sales'!$A$2:$A$501,'Injection Sales'!$B$2:$B$501,A78))),'Injection Sales'!$H$2:$H$501),""))</f>
        <v/>
      </c>
      <c r="I78" s="21" t="str">
        <f aca="true">IF(OR(A78="",D78=""),"",IF(TODAY()-D78&lt;=Settings!$B$7,"Active","Inactive"))</f>
        <v/>
      </c>
    </row>
    <row r="79" customFormat="false" ht="15" hidden="false" customHeight="false" outlineLevel="0" collapsed="false">
      <c r="A79" s="1"/>
      <c r="B79" s="22"/>
      <c r="C79" s="18" t="str">
        <f aca="false">IF(OR(A79="",COUNTIF('Injection Sales'!$B$2:$B$501,A79)+COUNTIF('Protein Sales'!$B$2:$B$501,A79)+COUNTIF('Diet Support'!$B$2:$B$501,A79)=0),"",MIN(IF(COUNTIF('Injection Sales'!$B$2:$B$501,A79),_xlfn.MINIFS('Injection Sales'!$A$2:$A$501,'Injection Sales'!$B$2:$B$501,A79),99999),IF(COUNTIF('Protein Sales'!$B$2:$B$501,A79),_xlfn.MINIFS('Protein Sales'!$A$2:$A$501,'Protein Sales'!$B$2:$B$501,A79),99999),IF(COUNTIF('Diet Support'!$B$2:$B$501,A79),_xlfn.MINIFS('Diet Support'!$A$2:$A$501,'Diet Support'!$B$2:$B$501,A79),99999)))</f>
        <v/>
      </c>
      <c r="D79" s="18" t="str">
        <f aca="false">IF(OR(A79="",COUNTIF('Injection Sales'!$B$2:$B$501,A79)+COUNTIF('Protein Sales'!$B$2:$B$501,A79)+COUNTIF('Diet Support'!$B$2:$B$501,A79)=0),"",MAX(_xlfn.MAXIFS('Injection Sales'!$A$2:$A$501,'Injection Sales'!$B$2:$B$501,A79),_xlfn.MAXIFS('Protein Sales'!$A$2:$A$501,'Protein Sales'!$B$2:$B$501,A79),_xlfn.MAXIFS('Diet Support'!$A$2:$A$501,'Diet Support'!$B$2:$B$501,A79)))</f>
        <v/>
      </c>
      <c r="E79" s="19" t="str">
        <f aca="false">IF(A79="","",COUNTIF('Injection Sales'!$B$2:$B$501,A79)+COUNTIF('Protein Sales'!$B$2:$B$501,A79)+COUNTIF('Diet Support'!$B$2:$B$501,A79))</f>
        <v/>
      </c>
      <c r="F79" s="20" t="str">
        <f aca="false">IF(A79="","",SUMIF('Injection Sales'!$B$2:$B$501,A79,'Injection Sales'!$G$2:$G$501)+SUMIF('Protein Sales'!$B$2:$B$501,A79,'Protein Sales'!$F$2:$F$501)+SUMIF('Diet Support'!$B$2:$B$501,A79,'Diet Support'!$E$2:$E$501))</f>
        <v/>
      </c>
      <c r="G79" s="21" t="str">
        <f aca="false">IF(OR(A79="",COUNTIF('Injection Sales'!$B$2:$B$501,A79)=0),"",IFERROR(LOOKUP(2,1/(('Injection Sales'!$B$2:$B$501=A79)*('Injection Sales'!$A$2:$A$501=_xlfn.MAXIFS('Injection Sales'!$A$2:$A$501,'Injection Sales'!$B$2:$B$501,A79))),'Injection Sales'!$E$2:$E$501),""))</f>
        <v/>
      </c>
      <c r="H79" s="21" t="str">
        <f aca="false">IF(OR(A79="",COUNTIF('Injection Sales'!$B$2:$B$501,A79)=0),"",IFERROR(LOOKUP(2,1/(('Injection Sales'!$B$2:$B$501=A79)*('Injection Sales'!$A$2:$A$501=_xlfn.MAXIFS('Injection Sales'!$A$2:$A$501,'Injection Sales'!$B$2:$B$501,A79))),'Injection Sales'!$H$2:$H$501),""))</f>
        <v/>
      </c>
      <c r="I79" s="21" t="str">
        <f aca="true">IF(OR(A79="",D79=""),"",IF(TODAY()-D79&lt;=Settings!$B$7,"Active","Inactive"))</f>
        <v/>
      </c>
    </row>
    <row r="80" customFormat="false" ht="15" hidden="false" customHeight="false" outlineLevel="0" collapsed="false">
      <c r="A80" s="1"/>
      <c r="B80" s="22"/>
      <c r="C80" s="18" t="str">
        <f aca="false">IF(OR(A80="",COUNTIF('Injection Sales'!$B$2:$B$501,A80)+COUNTIF('Protein Sales'!$B$2:$B$501,A80)+COUNTIF('Diet Support'!$B$2:$B$501,A80)=0),"",MIN(IF(COUNTIF('Injection Sales'!$B$2:$B$501,A80),_xlfn.MINIFS('Injection Sales'!$A$2:$A$501,'Injection Sales'!$B$2:$B$501,A80),99999),IF(COUNTIF('Protein Sales'!$B$2:$B$501,A80),_xlfn.MINIFS('Protein Sales'!$A$2:$A$501,'Protein Sales'!$B$2:$B$501,A80),99999),IF(COUNTIF('Diet Support'!$B$2:$B$501,A80),_xlfn.MINIFS('Diet Support'!$A$2:$A$501,'Diet Support'!$B$2:$B$501,A80),99999)))</f>
        <v/>
      </c>
      <c r="D80" s="18" t="str">
        <f aca="false">IF(OR(A80="",COUNTIF('Injection Sales'!$B$2:$B$501,A80)+COUNTIF('Protein Sales'!$B$2:$B$501,A80)+COUNTIF('Diet Support'!$B$2:$B$501,A80)=0),"",MAX(_xlfn.MAXIFS('Injection Sales'!$A$2:$A$501,'Injection Sales'!$B$2:$B$501,A80),_xlfn.MAXIFS('Protein Sales'!$A$2:$A$501,'Protein Sales'!$B$2:$B$501,A80),_xlfn.MAXIFS('Diet Support'!$A$2:$A$501,'Diet Support'!$B$2:$B$501,A80)))</f>
        <v/>
      </c>
      <c r="E80" s="19" t="str">
        <f aca="false">IF(A80="","",COUNTIF('Injection Sales'!$B$2:$B$501,A80)+COUNTIF('Protein Sales'!$B$2:$B$501,A80)+COUNTIF('Diet Support'!$B$2:$B$501,A80))</f>
        <v/>
      </c>
      <c r="F80" s="20" t="str">
        <f aca="false">IF(A80="","",SUMIF('Injection Sales'!$B$2:$B$501,A80,'Injection Sales'!$G$2:$G$501)+SUMIF('Protein Sales'!$B$2:$B$501,A80,'Protein Sales'!$F$2:$F$501)+SUMIF('Diet Support'!$B$2:$B$501,A80,'Diet Support'!$E$2:$E$501))</f>
        <v/>
      </c>
      <c r="G80" s="21" t="str">
        <f aca="false">IF(OR(A80="",COUNTIF('Injection Sales'!$B$2:$B$501,A80)=0),"",IFERROR(LOOKUP(2,1/(('Injection Sales'!$B$2:$B$501=A80)*('Injection Sales'!$A$2:$A$501=_xlfn.MAXIFS('Injection Sales'!$A$2:$A$501,'Injection Sales'!$B$2:$B$501,A80))),'Injection Sales'!$E$2:$E$501),""))</f>
        <v/>
      </c>
      <c r="H80" s="21" t="str">
        <f aca="false">IF(OR(A80="",COUNTIF('Injection Sales'!$B$2:$B$501,A80)=0),"",IFERROR(LOOKUP(2,1/(('Injection Sales'!$B$2:$B$501=A80)*('Injection Sales'!$A$2:$A$501=_xlfn.MAXIFS('Injection Sales'!$A$2:$A$501,'Injection Sales'!$B$2:$B$501,A80))),'Injection Sales'!$H$2:$H$501),""))</f>
        <v/>
      </c>
      <c r="I80" s="21" t="str">
        <f aca="true">IF(OR(A80="",D80=""),"",IF(TODAY()-D80&lt;=Settings!$B$7,"Active","Inactive"))</f>
        <v/>
      </c>
    </row>
    <row r="81" customFormat="false" ht="15" hidden="false" customHeight="false" outlineLevel="0" collapsed="false">
      <c r="A81" s="1"/>
      <c r="B81" s="22"/>
      <c r="C81" s="18" t="str">
        <f aca="false">IF(OR(A81="",COUNTIF('Injection Sales'!$B$2:$B$501,A81)+COUNTIF('Protein Sales'!$B$2:$B$501,A81)+COUNTIF('Diet Support'!$B$2:$B$501,A81)=0),"",MIN(IF(COUNTIF('Injection Sales'!$B$2:$B$501,A81),_xlfn.MINIFS('Injection Sales'!$A$2:$A$501,'Injection Sales'!$B$2:$B$501,A81),99999),IF(COUNTIF('Protein Sales'!$B$2:$B$501,A81),_xlfn.MINIFS('Protein Sales'!$A$2:$A$501,'Protein Sales'!$B$2:$B$501,A81),99999),IF(COUNTIF('Diet Support'!$B$2:$B$501,A81),_xlfn.MINIFS('Diet Support'!$A$2:$A$501,'Diet Support'!$B$2:$B$501,A81),99999)))</f>
        <v/>
      </c>
      <c r="D81" s="18" t="str">
        <f aca="false">IF(OR(A81="",COUNTIF('Injection Sales'!$B$2:$B$501,A81)+COUNTIF('Protein Sales'!$B$2:$B$501,A81)+COUNTIF('Diet Support'!$B$2:$B$501,A81)=0),"",MAX(_xlfn.MAXIFS('Injection Sales'!$A$2:$A$501,'Injection Sales'!$B$2:$B$501,A81),_xlfn.MAXIFS('Protein Sales'!$A$2:$A$501,'Protein Sales'!$B$2:$B$501,A81),_xlfn.MAXIFS('Diet Support'!$A$2:$A$501,'Diet Support'!$B$2:$B$501,A81)))</f>
        <v/>
      </c>
      <c r="E81" s="19" t="str">
        <f aca="false">IF(A81="","",COUNTIF('Injection Sales'!$B$2:$B$501,A81)+COUNTIF('Protein Sales'!$B$2:$B$501,A81)+COUNTIF('Diet Support'!$B$2:$B$501,A81))</f>
        <v/>
      </c>
      <c r="F81" s="20" t="str">
        <f aca="false">IF(A81="","",SUMIF('Injection Sales'!$B$2:$B$501,A81,'Injection Sales'!$G$2:$G$501)+SUMIF('Protein Sales'!$B$2:$B$501,A81,'Protein Sales'!$F$2:$F$501)+SUMIF('Diet Support'!$B$2:$B$501,A81,'Diet Support'!$E$2:$E$501))</f>
        <v/>
      </c>
      <c r="G81" s="21" t="str">
        <f aca="false">IF(OR(A81="",COUNTIF('Injection Sales'!$B$2:$B$501,A81)=0),"",IFERROR(LOOKUP(2,1/(('Injection Sales'!$B$2:$B$501=A81)*('Injection Sales'!$A$2:$A$501=_xlfn.MAXIFS('Injection Sales'!$A$2:$A$501,'Injection Sales'!$B$2:$B$501,A81))),'Injection Sales'!$E$2:$E$501),""))</f>
        <v/>
      </c>
      <c r="H81" s="21" t="str">
        <f aca="false">IF(OR(A81="",COUNTIF('Injection Sales'!$B$2:$B$501,A81)=0),"",IFERROR(LOOKUP(2,1/(('Injection Sales'!$B$2:$B$501=A81)*('Injection Sales'!$A$2:$A$501=_xlfn.MAXIFS('Injection Sales'!$A$2:$A$501,'Injection Sales'!$B$2:$B$501,A81))),'Injection Sales'!$H$2:$H$501),""))</f>
        <v/>
      </c>
      <c r="I81" s="21" t="str">
        <f aca="true">IF(OR(A81="",D81=""),"",IF(TODAY()-D81&lt;=Settings!$B$7,"Active","Inactive"))</f>
        <v/>
      </c>
    </row>
    <row r="82" customFormat="false" ht="15" hidden="false" customHeight="false" outlineLevel="0" collapsed="false">
      <c r="A82" s="1"/>
      <c r="B82" s="22"/>
      <c r="C82" s="18" t="str">
        <f aca="false">IF(OR(A82="",COUNTIF('Injection Sales'!$B$2:$B$501,A82)+COUNTIF('Protein Sales'!$B$2:$B$501,A82)+COUNTIF('Diet Support'!$B$2:$B$501,A82)=0),"",MIN(IF(COUNTIF('Injection Sales'!$B$2:$B$501,A82),_xlfn.MINIFS('Injection Sales'!$A$2:$A$501,'Injection Sales'!$B$2:$B$501,A82),99999),IF(COUNTIF('Protein Sales'!$B$2:$B$501,A82),_xlfn.MINIFS('Protein Sales'!$A$2:$A$501,'Protein Sales'!$B$2:$B$501,A82),99999),IF(COUNTIF('Diet Support'!$B$2:$B$501,A82),_xlfn.MINIFS('Diet Support'!$A$2:$A$501,'Diet Support'!$B$2:$B$501,A82),99999)))</f>
        <v/>
      </c>
      <c r="D82" s="18" t="str">
        <f aca="false">IF(OR(A82="",COUNTIF('Injection Sales'!$B$2:$B$501,A82)+COUNTIF('Protein Sales'!$B$2:$B$501,A82)+COUNTIF('Diet Support'!$B$2:$B$501,A82)=0),"",MAX(_xlfn.MAXIFS('Injection Sales'!$A$2:$A$501,'Injection Sales'!$B$2:$B$501,A82),_xlfn.MAXIFS('Protein Sales'!$A$2:$A$501,'Protein Sales'!$B$2:$B$501,A82),_xlfn.MAXIFS('Diet Support'!$A$2:$A$501,'Diet Support'!$B$2:$B$501,A82)))</f>
        <v/>
      </c>
      <c r="E82" s="19" t="str">
        <f aca="false">IF(A82="","",COUNTIF('Injection Sales'!$B$2:$B$501,A82)+COUNTIF('Protein Sales'!$B$2:$B$501,A82)+COUNTIF('Diet Support'!$B$2:$B$501,A82))</f>
        <v/>
      </c>
      <c r="F82" s="20" t="str">
        <f aca="false">IF(A82="","",SUMIF('Injection Sales'!$B$2:$B$501,A82,'Injection Sales'!$G$2:$G$501)+SUMIF('Protein Sales'!$B$2:$B$501,A82,'Protein Sales'!$F$2:$F$501)+SUMIF('Diet Support'!$B$2:$B$501,A82,'Diet Support'!$E$2:$E$501))</f>
        <v/>
      </c>
      <c r="G82" s="21" t="str">
        <f aca="false">IF(OR(A82="",COUNTIF('Injection Sales'!$B$2:$B$501,A82)=0),"",IFERROR(LOOKUP(2,1/(('Injection Sales'!$B$2:$B$501=A82)*('Injection Sales'!$A$2:$A$501=_xlfn.MAXIFS('Injection Sales'!$A$2:$A$501,'Injection Sales'!$B$2:$B$501,A82))),'Injection Sales'!$E$2:$E$501),""))</f>
        <v/>
      </c>
      <c r="H82" s="21" t="str">
        <f aca="false">IF(OR(A82="",COUNTIF('Injection Sales'!$B$2:$B$501,A82)=0),"",IFERROR(LOOKUP(2,1/(('Injection Sales'!$B$2:$B$501=A82)*('Injection Sales'!$A$2:$A$501=_xlfn.MAXIFS('Injection Sales'!$A$2:$A$501,'Injection Sales'!$B$2:$B$501,A82))),'Injection Sales'!$H$2:$H$501),""))</f>
        <v/>
      </c>
      <c r="I82" s="21" t="str">
        <f aca="true">IF(OR(A82="",D82=""),"",IF(TODAY()-D82&lt;=Settings!$B$7,"Active","Inactive"))</f>
        <v/>
      </c>
    </row>
    <row r="83" customFormat="false" ht="15" hidden="false" customHeight="false" outlineLevel="0" collapsed="false">
      <c r="A83" s="1"/>
      <c r="B83" s="22"/>
      <c r="C83" s="18" t="str">
        <f aca="false">IF(OR(A83="",COUNTIF('Injection Sales'!$B$2:$B$501,A83)+COUNTIF('Protein Sales'!$B$2:$B$501,A83)+COUNTIF('Diet Support'!$B$2:$B$501,A83)=0),"",MIN(IF(COUNTIF('Injection Sales'!$B$2:$B$501,A83),_xlfn.MINIFS('Injection Sales'!$A$2:$A$501,'Injection Sales'!$B$2:$B$501,A83),99999),IF(COUNTIF('Protein Sales'!$B$2:$B$501,A83),_xlfn.MINIFS('Protein Sales'!$A$2:$A$501,'Protein Sales'!$B$2:$B$501,A83),99999),IF(COUNTIF('Diet Support'!$B$2:$B$501,A83),_xlfn.MINIFS('Diet Support'!$A$2:$A$501,'Diet Support'!$B$2:$B$501,A83),99999)))</f>
        <v/>
      </c>
      <c r="D83" s="18" t="str">
        <f aca="false">IF(OR(A83="",COUNTIF('Injection Sales'!$B$2:$B$501,A83)+COUNTIF('Protein Sales'!$B$2:$B$501,A83)+COUNTIF('Diet Support'!$B$2:$B$501,A83)=0),"",MAX(_xlfn.MAXIFS('Injection Sales'!$A$2:$A$501,'Injection Sales'!$B$2:$B$501,A83),_xlfn.MAXIFS('Protein Sales'!$A$2:$A$501,'Protein Sales'!$B$2:$B$501,A83),_xlfn.MAXIFS('Diet Support'!$A$2:$A$501,'Diet Support'!$B$2:$B$501,A83)))</f>
        <v/>
      </c>
      <c r="E83" s="19" t="str">
        <f aca="false">IF(A83="","",COUNTIF('Injection Sales'!$B$2:$B$501,A83)+COUNTIF('Protein Sales'!$B$2:$B$501,A83)+COUNTIF('Diet Support'!$B$2:$B$501,A83))</f>
        <v/>
      </c>
      <c r="F83" s="20" t="str">
        <f aca="false">IF(A83="","",SUMIF('Injection Sales'!$B$2:$B$501,A83,'Injection Sales'!$G$2:$G$501)+SUMIF('Protein Sales'!$B$2:$B$501,A83,'Protein Sales'!$F$2:$F$501)+SUMIF('Diet Support'!$B$2:$B$501,A83,'Diet Support'!$E$2:$E$501))</f>
        <v/>
      </c>
      <c r="G83" s="21" t="str">
        <f aca="false">IF(OR(A83="",COUNTIF('Injection Sales'!$B$2:$B$501,A83)=0),"",IFERROR(LOOKUP(2,1/(('Injection Sales'!$B$2:$B$501=A83)*('Injection Sales'!$A$2:$A$501=_xlfn.MAXIFS('Injection Sales'!$A$2:$A$501,'Injection Sales'!$B$2:$B$501,A83))),'Injection Sales'!$E$2:$E$501),""))</f>
        <v/>
      </c>
      <c r="H83" s="21" t="str">
        <f aca="false">IF(OR(A83="",COUNTIF('Injection Sales'!$B$2:$B$501,A83)=0),"",IFERROR(LOOKUP(2,1/(('Injection Sales'!$B$2:$B$501=A83)*('Injection Sales'!$A$2:$A$501=_xlfn.MAXIFS('Injection Sales'!$A$2:$A$501,'Injection Sales'!$B$2:$B$501,A83))),'Injection Sales'!$H$2:$H$501),""))</f>
        <v/>
      </c>
      <c r="I83" s="21" t="str">
        <f aca="true">IF(OR(A83="",D83=""),"",IF(TODAY()-D83&lt;=Settings!$B$7,"Active","Inactive"))</f>
        <v/>
      </c>
    </row>
    <row r="84" customFormat="false" ht="15" hidden="false" customHeight="false" outlineLevel="0" collapsed="false">
      <c r="A84" s="1"/>
      <c r="B84" s="22"/>
      <c r="C84" s="18" t="str">
        <f aca="false">IF(OR(A84="",COUNTIF('Injection Sales'!$B$2:$B$501,A84)+COUNTIF('Protein Sales'!$B$2:$B$501,A84)+COUNTIF('Diet Support'!$B$2:$B$501,A84)=0),"",MIN(IF(COUNTIF('Injection Sales'!$B$2:$B$501,A84),_xlfn.MINIFS('Injection Sales'!$A$2:$A$501,'Injection Sales'!$B$2:$B$501,A84),99999),IF(COUNTIF('Protein Sales'!$B$2:$B$501,A84),_xlfn.MINIFS('Protein Sales'!$A$2:$A$501,'Protein Sales'!$B$2:$B$501,A84),99999),IF(COUNTIF('Diet Support'!$B$2:$B$501,A84),_xlfn.MINIFS('Diet Support'!$A$2:$A$501,'Diet Support'!$B$2:$B$501,A84),99999)))</f>
        <v/>
      </c>
      <c r="D84" s="18" t="str">
        <f aca="false">IF(OR(A84="",COUNTIF('Injection Sales'!$B$2:$B$501,A84)+COUNTIF('Protein Sales'!$B$2:$B$501,A84)+COUNTIF('Diet Support'!$B$2:$B$501,A84)=0),"",MAX(_xlfn.MAXIFS('Injection Sales'!$A$2:$A$501,'Injection Sales'!$B$2:$B$501,A84),_xlfn.MAXIFS('Protein Sales'!$A$2:$A$501,'Protein Sales'!$B$2:$B$501,A84),_xlfn.MAXIFS('Diet Support'!$A$2:$A$501,'Diet Support'!$B$2:$B$501,A84)))</f>
        <v/>
      </c>
      <c r="E84" s="19" t="str">
        <f aca="false">IF(A84="","",COUNTIF('Injection Sales'!$B$2:$B$501,A84)+COUNTIF('Protein Sales'!$B$2:$B$501,A84)+COUNTIF('Diet Support'!$B$2:$B$501,A84))</f>
        <v/>
      </c>
      <c r="F84" s="20" t="str">
        <f aca="false">IF(A84="","",SUMIF('Injection Sales'!$B$2:$B$501,A84,'Injection Sales'!$G$2:$G$501)+SUMIF('Protein Sales'!$B$2:$B$501,A84,'Protein Sales'!$F$2:$F$501)+SUMIF('Diet Support'!$B$2:$B$501,A84,'Diet Support'!$E$2:$E$501))</f>
        <v/>
      </c>
      <c r="G84" s="21" t="str">
        <f aca="false">IF(OR(A84="",COUNTIF('Injection Sales'!$B$2:$B$501,A84)=0),"",IFERROR(LOOKUP(2,1/(('Injection Sales'!$B$2:$B$501=A84)*('Injection Sales'!$A$2:$A$501=_xlfn.MAXIFS('Injection Sales'!$A$2:$A$501,'Injection Sales'!$B$2:$B$501,A84))),'Injection Sales'!$E$2:$E$501),""))</f>
        <v/>
      </c>
      <c r="H84" s="21" t="str">
        <f aca="false">IF(OR(A84="",COUNTIF('Injection Sales'!$B$2:$B$501,A84)=0),"",IFERROR(LOOKUP(2,1/(('Injection Sales'!$B$2:$B$501=A84)*('Injection Sales'!$A$2:$A$501=_xlfn.MAXIFS('Injection Sales'!$A$2:$A$501,'Injection Sales'!$B$2:$B$501,A84))),'Injection Sales'!$H$2:$H$501),""))</f>
        <v/>
      </c>
      <c r="I84" s="21" t="str">
        <f aca="true">IF(OR(A84="",D84=""),"",IF(TODAY()-D84&lt;=Settings!$B$7,"Active","Inactive"))</f>
        <v/>
      </c>
    </row>
    <row r="85" customFormat="false" ht="15" hidden="false" customHeight="false" outlineLevel="0" collapsed="false">
      <c r="A85" s="1"/>
      <c r="B85" s="22"/>
      <c r="C85" s="18" t="str">
        <f aca="false">IF(OR(A85="",COUNTIF('Injection Sales'!$B$2:$B$501,A85)+COUNTIF('Protein Sales'!$B$2:$B$501,A85)+COUNTIF('Diet Support'!$B$2:$B$501,A85)=0),"",MIN(IF(COUNTIF('Injection Sales'!$B$2:$B$501,A85),_xlfn.MINIFS('Injection Sales'!$A$2:$A$501,'Injection Sales'!$B$2:$B$501,A85),99999),IF(COUNTIF('Protein Sales'!$B$2:$B$501,A85),_xlfn.MINIFS('Protein Sales'!$A$2:$A$501,'Protein Sales'!$B$2:$B$501,A85),99999),IF(COUNTIF('Diet Support'!$B$2:$B$501,A85),_xlfn.MINIFS('Diet Support'!$A$2:$A$501,'Diet Support'!$B$2:$B$501,A85),99999)))</f>
        <v/>
      </c>
      <c r="D85" s="18" t="str">
        <f aca="false">IF(OR(A85="",COUNTIF('Injection Sales'!$B$2:$B$501,A85)+COUNTIF('Protein Sales'!$B$2:$B$501,A85)+COUNTIF('Diet Support'!$B$2:$B$501,A85)=0),"",MAX(_xlfn.MAXIFS('Injection Sales'!$A$2:$A$501,'Injection Sales'!$B$2:$B$501,A85),_xlfn.MAXIFS('Protein Sales'!$A$2:$A$501,'Protein Sales'!$B$2:$B$501,A85),_xlfn.MAXIFS('Diet Support'!$A$2:$A$501,'Diet Support'!$B$2:$B$501,A85)))</f>
        <v/>
      </c>
      <c r="E85" s="19" t="str">
        <f aca="false">IF(A85="","",COUNTIF('Injection Sales'!$B$2:$B$501,A85)+COUNTIF('Protein Sales'!$B$2:$B$501,A85)+COUNTIF('Diet Support'!$B$2:$B$501,A85))</f>
        <v/>
      </c>
      <c r="F85" s="20" t="str">
        <f aca="false">IF(A85="","",SUMIF('Injection Sales'!$B$2:$B$501,A85,'Injection Sales'!$G$2:$G$501)+SUMIF('Protein Sales'!$B$2:$B$501,A85,'Protein Sales'!$F$2:$F$501)+SUMIF('Diet Support'!$B$2:$B$501,A85,'Diet Support'!$E$2:$E$501))</f>
        <v/>
      </c>
      <c r="G85" s="21" t="str">
        <f aca="false">IF(OR(A85="",COUNTIF('Injection Sales'!$B$2:$B$501,A85)=0),"",IFERROR(LOOKUP(2,1/(('Injection Sales'!$B$2:$B$501=A85)*('Injection Sales'!$A$2:$A$501=_xlfn.MAXIFS('Injection Sales'!$A$2:$A$501,'Injection Sales'!$B$2:$B$501,A85))),'Injection Sales'!$E$2:$E$501),""))</f>
        <v/>
      </c>
      <c r="H85" s="21" t="str">
        <f aca="false">IF(OR(A85="",COUNTIF('Injection Sales'!$B$2:$B$501,A85)=0),"",IFERROR(LOOKUP(2,1/(('Injection Sales'!$B$2:$B$501=A85)*('Injection Sales'!$A$2:$A$501=_xlfn.MAXIFS('Injection Sales'!$A$2:$A$501,'Injection Sales'!$B$2:$B$501,A85))),'Injection Sales'!$H$2:$H$501),""))</f>
        <v/>
      </c>
      <c r="I85" s="21" t="str">
        <f aca="true">IF(OR(A85="",D85=""),"",IF(TODAY()-D85&lt;=Settings!$B$7,"Active","Inactive"))</f>
        <v/>
      </c>
    </row>
    <row r="86" customFormat="false" ht="15" hidden="false" customHeight="false" outlineLevel="0" collapsed="false">
      <c r="A86" s="1"/>
      <c r="B86" s="22"/>
      <c r="C86" s="18" t="str">
        <f aca="false">IF(OR(A86="",COUNTIF('Injection Sales'!$B$2:$B$501,A86)+COUNTIF('Protein Sales'!$B$2:$B$501,A86)+COUNTIF('Diet Support'!$B$2:$B$501,A86)=0),"",MIN(IF(COUNTIF('Injection Sales'!$B$2:$B$501,A86),_xlfn.MINIFS('Injection Sales'!$A$2:$A$501,'Injection Sales'!$B$2:$B$501,A86),99999),IF(COUNTIF('Protein Sales'!$B$2:$B$501,A86),_xlfn.MINIFS('Protein Sales'!$A$2:$A$501,'Protein Sales'!$B$2:$B$501,A86),99999),IF(COUNTIF('Diet Support'!$B$2:$B$501,A86),_xlfn.MINIFS('Diet Support'!$A$2:$A$501,'Diet Support'!$B$2:$B$501,A86),99999)))</f>
        <v/>
      </c>
      <c r="D86" s="18" t="str">
        <f aca="false">IF(OR(A86="",COUNTIF('Injection Sales'!$B$2:$B$501,A86)+COUNTIF('Protein Sales'!$B$2:$B$501,A86)+COUNTIF('Diet Support'!$B$2:$B$501,A86)=0),"",MAX(_xlfn.MAXIFS('Injection Sales'!$A$2:$A$501,'Injection Sales'!$B$2:$B$501,A86),_xlfn.MAXIFS('Protein Sales'!$A$2:$A$501,'Protein Sales'!$B$2:$B$501,A86),_xlfn.MAXIFS('Diet Support'!$A$2:$A$501,'Diet Support'!$B$2:$B$501,A86)))</f>
        <v/>
      </c>
      <c r="E86" s="19" t="str">
        <f aca="false">IF(A86="","",COUNTIF('Injection Sales'!$B$2:$B$501,A86)+COUNTIF('Protein Sales'!$B$2:$B$501,A86)+COUNTIF('Diet Support'!$B$2:$B$501,A86))</f>
        <v/>
      </c>
      <c r="F86" s="20" t="str">
        <f aca="false">IF(A86="","",SUMIF('Injection Sales'!$B$2:$B$501,A86,'Injection Sales'!$G$2:$G$501)+SUMIF('Protein Sales'!$B$2:$B$501,A86,'Protein Sales'!$F$2:$F$501)+SUMIF('Diet Support'!$B$2:$B$501,A86,'Diet Support'!$E$2:$E$501))</f>
        <v/>
      </c>
      <c r="G86" s="21" t="str">
        <f aca="false">IF(OR(A86="",COUNTIF('Injection Sales'!$B$2:$B$501,A86)=0),"",IFERROR(LOOKUP(2,1/(('Injection Sales'!$B$2:$B$501=A86)*('Injection Sales'!$A$2:$A$501=_xlfn.MAXIFS('Injection Sales'!$A$2:$A$501,'Injection Sales'!$B$2:$B$501,A86))),'Injection Sales'!$E$2:$E$501),""))</f>
        <v/>
      </c>
      <c r="H86" s="21" t="str">
        <f aca="false">IF(OR(A86="",COUNTIF('Injection Sales'!$B$2:$B$501,A86)=0),"",IFERROR(LOOKUP(2,1/(('Injection Sales'!$B$2:$B$501=A86)*('Injection Sales'!$A$2:$A$501=_xlfn.MAXIFS('Injection Sales'!$A$2:$A$501,'Injection Sales'!$B$2:$B$501,A86))),'Injection Sales'!$H$2:$H$501),""))</f>
        <v/>
      </c>
      <c r="I86" s="21" t="str">
        <f aca="true">IF(OR(A86="",D86=""),"",IF(TODAY()-D86&lt;=Settings!$B$7,"Active","Inactive"))</f>
        <v/>
      </c>
    </row>
    <row r="87" customFormat="false" ht="15" hidden="false" customHeight="false" outlineLevel="0" collapsed="false">
      <c r="A87" s="1"/>
      <c r="B87" s="22"/>
      <c r="C87" s="18" t="str">
        <f aca="false">IF(OR(A87="",COUNTIF('Injection Sales'!$B$2:$B$501,A87)+COUNTIF('Protein Sales'!$B$2:$B$501,A87)+COUNTIF('Diet Support'!$B$2:$B$501,A87)=0),"",MIN(IF(COUNTIF('Injection Sales'!$B$2:$B$501,A87),_xlfn.MINIFS('Injection Sales'!$A$2:$A$501,'Injection Sales'!$B$2:$B$501,A87),99999),IF(COUNTIF('Protein Sales'!$B$2:$B$501,A87),_xlfn.MINIFS('Protein Sales'!$A$2:$A$501,'Protein Sales'!$B$2:$B$501,A87),99999),IF(COUNTIF('Diet Support'!$B$2:$B$501,A87),_xlfn.MINIFS('Diet Support'!$A$2:$A$501,'Diet Support'!$B$2:$B$501,A87),99999)))</f>
        <v/>
      </c>
      <c r="D87" s="18" t="str">
        <f aca="false">IF(OR(A87="",COUNTIF('Injection Sales'!$B$2:$B$501,A87)+COUNTIF('Protein Sales'!$B$2:$B$501,A87)+COUNTIF('Diet Support'!$B$2:$B$501,A87)=0),"",MAX(_xlfn.MAXIFS('Injection Sales'!$A$2:$A$501,'Injection Sales'!$B$2:$B$501,A87),_xlfn.MAXIFS('Protein Sales'!$A$2:$A$501,'Protein Sales'!$B$2:$B$501,A87),_xlfn.MAXIFS('Diet Support'!$A$2:$A$501,'Diet Support'!$B$2:$B$501,A87)))</f>
        <v/>
      </c>
      <c r="E87" s="19" t="str">
        <f aca="false">IF(A87="","",COUNTIF('Injection Sales'!$B$2:$B$501,A87)+COUNTIF('Protein Sales'!$B$2:$B$501,A87)+COUNTIF('Diet Support'!$B$2:$B$501,A87))</f>
        <v/>
      </c>
      <c r="F87" s="20" t="str">
        <f aca="false">IF(A87="","",SUMIF('Injection Sales'!$B$2:$B$501,A87,'Injection Sales'!$G$2:$G$501)+SUMIF('Protein Sales'!$B$2:$B$501,A87,'Protein Sales'!$F$2:$F$501)+SUMIF('Diet Support'!$B$2:$B$501,A87,'Diet Support'!$E$2:$E$501))</f>
        <v/>
      </c>
      <c r="G87" s="21" t="str">
        <f aca="false">IF(OR(A87="",COUNTIF('Injection Sales'!$B$2:$B$501,A87)=0),"",IFERROR(LOOKUP(2,1/(('Injection Sales'!$B$2:$B$501=A87)*('Injection Sales'!$A$2:$A$501=_xlfn.MAXIFS('Injection Sales'!$A$2:$A$501,'Injection Sales'!$B$2:$B$501,A87))),'Injection Sales'!$E$2:$E$501),""))</f>
        <v/>
      </c>
      <c r="H87" s="21" t="str">
        <f aca="false">IF(OR(A87="",COUNTIF('Injection Sales'!$B$2:$B$501,A87)=0),"",IFERROR(LOOKUP(2,1/(('Injection Sales'!$B$2:$B$501=A87)*('Injection Sales'!$A$2:$A$501=_xlfn.MAXIFS('Injection Sales'!$A$2:$A$501,'Injection Sales'!$B$2:$B$501,A87))),'Injection Sales'!$H$2:$H$501),""))</f>
        <v/>
      </c>
      <c r="I87" s="21" t="str">
        <f aca="true">IF(OR(A87="",D87=""),"",IF(TODAY()-D87&lt;=Settings!$B$7,"Active","Inactive"))</f>
        <v/>
      </c>
    </row>
    <row r="88" customFormat="false" ht="15" hidden="false" customHeight="false" outlineLevel="0" collapsed="false">
      <c r="A88" s="1"/>
      <c r="B88" s="22"/>
      <c r="C88" s="18" t="str">
        <f aca="false">IF(OR(A88="",COUNTIF('Injection Sales'!$B$2:$B$501,A88)+COUNTIF('Protein Sales'!$B$2:$B$501,A88)+COUNTIF('Diet Support'!$B$2:$B$501,A88)=0),"",MIN(IF(COUNTIF('Injection Sales'!$B$2:$B$501,A88),_xlfn.MINIFS('Injection Sales'!$A$2:$A$501,'Injection Sales'!$B$2:$B$501,A88),99999),IF(COUNTIF('Protein Sales'!$B$2:$B$501,A88),_xlfn.MINIFS('Protein Sales'!$A$2:$A$501,'Protein Sales'!$B$2:$B$501,A88),99999),IF(COUNTIF('Diet Support'!$B$2:$B$501,A88),_xlfn.MINIFS('Diet Support'!$A$2:$A$501,'Diet Support'!$B$2:$B$501,A88),99999)))</f>
        <v/>
      </c>
      <c r="D88" s="18" t="str">
        <f aca="false">IF(OR(A88="",COUNTIF('Injection Sales'!$B$2:$B$501,A88)+COUNTIF('Protein Sales'!$B$2:$B$501,A88)+COUNTIF('Diet Support'!$B$2:$B$501,A88)=0),"",MAX(_xlfn.MAXIFS('Injection Sales'!$A$2:$A$501,'Injection Sales'!$B$2:$B$501,A88),_xlfn.MAXIFS('Protein Sales'!$A$2:$A$501,'Protein Sales'!$B$2:$B$501,A88),_xlfn.MAXIFS('Diet Support'!$A$2:$A$501,'Diet Support'!$B$2:$B$501,A88)))</f>
        <v/>
      </c>
      <c r="E88" s="19" t="str">
        <f aca="false">IF(A88="","",COUNTIF('Injection Sales'!$B$2:$B$501,A88)+COUNTIF('Protein Sales'!$B$2:$B$501,A88)+COUNTIF('Diet Support'!$B$2:$B$501,A88))</f>
        <v/>
      </c>
      <c r="F88" s="20" t="str">
        <f aca="false">IF(A88="","",SUMIF('Injection Sales'!$B$2:$B$501,A88,'Injection Sales'!$G$2:$G$501)+SUMIF('Protein Sales'!$B$2:$B$501,A88,'Protein Sales'!$F$2:$F$501)+SUMIF('Diet Support'!$B$2:$B$501,A88,'Diet Support'!$E$2:$E$501))</f>
        <v/>
      </c>
      <c r="G88" s="21" t="str">
        <f aca="false">IF(OR(A88="",COUNTIF('Injection Sales'!$B$2:$B$501,A88)=0),"",IFERROR(LOOKUP(2,1/(('Injection Sales'!$B$2:$B$501=A88)*('Injection Sales'!$A$2:$A$501=_xlfn.MAXIFS('Injection Sales'!$A$2:$A$501,'Injection Sales'!$B$2:$B$501,A88))),'Injection Sales'!$E$2:$E$501),""))</f>
        <v/>
      </c>
      <c r="H88" s="21" t="str">
        <f aca="false">IF(OR(A88="",COUNTIF('Injection Sales'!$B$2:$B$501,A88)=0),"",IFERROR(LOOKUP(2,1/(('Injection Sales'!$B$2:$B$501=A88)*('Injection Sales'!$A$2:$A$501=_xlfn.MAXIFS('Injection Sales'!$A$2:$A$501,'Injection Sales'!$B$2:$B$501,A88))),'Injection Sales'!$H$2:$H$501),""))</f>
        <v/>
      </c>
      <c r="I88" s="21" t="str">
        <f aca="true">IF(OR(A88="",D88=""),"",IF(TODAY()-D88&lt;=Settings!$B$7,"Active","Inactive"))</f>
        <v/>
      </c>
    </row>
    <row r="89" customFormat="false" ht="15" hidden="false" customHeight="false" outlineLevel="0" collapsed="false">
      <c r="A89" s="1"/>
      <c r="B89" s="22"/>
      <c r="C89" s="18" t="str">
        <f aca="false">IF(OR(A89="",COUNTIF('Injection Sales'!$B$2:$B$501,A89)+COUNTIF('Protein Sales'!$B$2:$B$501,A89)+COUNTIF('Diet Support'!$B$2:$B$501,A89)=0),"",MIN(IF(COUNTIF('Injection Sales'!$B$2:$B$501,A89),_xlfn.MINIFS('Injection Sales'!$A$2:$A$501,'Injection Sales'!$B$2:$B$501,A89),99999),IF(COUNTIF('Protein Sales'!$B$2:$B$501,A89),_xlfn.MINIFS('Protein Sales'!$A$2:$A$501,'Protein Sales'!$B$2:$B$501,A89),99999),IF(COUNTIF('Diet Support'!$B$2:$B$501,A89),_xlfn.MINIFS('Diet Support'!$A$2:$A$501,'Diet Support'!$B$2:$B$501,A89),99999)))</f>
        <v/>
      </c>
      <c r="D89" s="18" t="str">
        <f aca="false">IF(OR(A89="",COUNTIF('Injection Sales'!$B$2:$B$501,A89)+COUNTIF('Protein Sales'!$B$2:$B$501,A89)+COUNTIF('Diet Support'!$B$2:$B$501,A89)=0),"",MAX(_xlfn.MAXIFS('Injection Sales'!$A$2:$A$501,'Injection Sales'!$B$2:$B$501,A89),_xlfn.MAXIFS('Protein Sales'!$A$2:$A$501,'Protein Sales'!$B$2:$B$501,A89),_xlfn.MAXIFS('Diet Support'!$A$2:$A$501,'Diet Support'!$B$2:$B$501,A89)))</f>
        <v/>
      </c>
      <c r="E89" s="19" t="str">
        <f aca="false">IF(A89="","",COUNTIF('Injection Sales'!$B$2:$B$501,A89)+COUNTIF('Protein Sales'!$B$2:$B$501,A89)+COUNTIF('Diet Support'!$B$2:$B$501,A89))</f>
        <v/>
      </c>
      <c r="F89" s="20" t="str">
        <f aca="false">IF(A89="","",SUMIF('Injection Sales'!$B$2:$B$501,A89,'Injection Sales'!$G$2:$G$501)+SUMIF('Protein Sales'!$B$2:$B$501,A89,'Protein Sales'!$F$2:$F$501)+SUMIF('Diet Support'!$B$2:$B$501,A89,'Diet Support'!$E$2:$E$501))</f>
        <v/>
      </c>
      <c r="G89" s="21" t="str">
        <f aca="false">IF(OR(A89="",COUNTIF('Injection Sales'!$B$2:$B$501,A89)=0),"",IFERROR(LOOKUP(2,1/(('Injection Sales'!$B$2:$B$501=A89)*('Injection Sales'!$A$2:$A$501=_xlfn.MAXIFS('Injection Sales'!$A$2:$A$501,'Injection Sales'!$B$2:$B$501,A89))),'Injection Sales'!$E$2:$E$501),""))</f>
        <v/>
      </c>
      <c r="H89" s="21" t="str">
        <f aca="false">IF(OR(A89="",COUNTIF('Injection Sales'!$B$2:$B$501,A89)=0),"",IFERROR(LOOKUP(2,1/(('Injection Sales'!$B$2:$B$501=A89)*('Injection Sales'!$A$2:$A$501=_xlfn.MAXIFS('Injection Sales'!$A$2:$A$501,'Injection Sales'!$B$2:$B$501,A89))),'Injection Sales'!$H$2:$H$501),""))</f>
        <v/>
      </c>
      <c r="I89" s="21" t="str">
        <f aca="true">IF(OR(A89="",D89=""),"",IF(TODAY()-D89&lt;=Settings!$B$7,"Active","Inactive"))</f>
        <v/>
      </c>
    </row>
    <row r="90" customFormat="false" ht="15" hidden="false" customHeight="false" outlineLevel="0" collapsed="false">
      <c r="A90" s="1"/>
      <c r="B90" s="22"/>
      <c r="C90" s="18" t="str">
        <f aca="false">IF(OR(A90="",COUNTIF('Injection Sales'!$B$2:$B$501,A90)+COUNTIF('Protein Sales'!$B$2:$B$501,A90)+COUNTIF('Diet Support'!$B$2:$B$501,A90)=0),"",MIN(IF(COUNTIF('Injection Sales'!$B$2:$B$501,A90),_xlfn.MINIFS('Injection Sales'!$A$2:$A$501,'Injection Sales'!$B$2:$B$501,A90),99999),IF(COUNTIF('Protein Sales'!$B$2:$B$501,A90),_xlfn.MINIFS('Protein Sales'!$A$2:$A$501,'Protein Sales'!$B$2:$B$501,A90),99999),IF(COUNTIF('Diet Support'!$B$2:$B$501,A90),_xlfn.MINIFS('Diet Support'!$A$2:$A$501,'Diet Support'!$B$2:$B$501,A90),99999)))</f>
        <v/>
      </c>
      <c r="D90" s="18" t="str">
        <f aca="false">IF(OR(A90="",COUNTIF('Injection Sales'!$B$2:$B$501,A90)+COUNTIF('Protein Sales'!$B$2:$B$501,A90)+COUNTIF('Diet Support'!$B$2:$B$501,A90)=0),"",MAX(_xlfn.MAXIFS('Injection Sales'!$A$2:$A$501,'Injection Sales'!$B$2:$B$501,A90),_xlfn.MAXIFS('Protein Sales'!$A$2:$A$501,'Protein Sales'!$B$2:$B$501,A90),_xlfn.MAXIFS('Diet Support'!$A$2:$A$501,'Diet Support'!$B$2:$B$501,A90)))</f>
        <v/>
      </c>
      <c r="E90" s="19" t="str">
        <f aca="false">IF(A90="","",COUNTIF('Injection Sales'!$B$2:$B$501,A90)+COUNTIF('Protein Sales'!$B$2:$B$501,A90)+COUNTIF('Diet Support'!$B$2:$B$501,A90))</f>
        <v/>
      </c>
      <c r="F90" s="20" t="str">
        <f aca="false">IF(A90="","",SUMIF('Injection Sales'!$B$2:$B$501,A90,'Injection Sales'!$G$2:$G$501)+SUMIF('Protein Sales'!$B$2:$B$501,A90,'Protein Sales'!$F$2:$F$501)+SUMIF('Diet Support'!$B$2:$B$501,A90,'Diet Support'!$E$2:$E$501))</f>
        <v/>
      </c>
      <c r="G90" s="21" t="str">
        <f aca="false">IF(OR(A90="",COUNTIF('Injection Sales'!$B$2:$B$501,A90)=0),"",IFERROR(LOOKUP(2,1/(('Injection Sales'!$B$2:$B$501=A90)*('Injection Sales'!$A$2:$A$501=_xlfn.MAXIFS('Injection Sales'!$A$2:$A$501,'Injection Sales'!$B$2:$B$501,A90))),'Injection Sales'!$E$2:$E$501),""))</f>
        <v/>
      </c>
      <c r="H90" s="21" t="str">
        <f aca="false">IF(OR(A90="",COUNTIF('Injection Sales'!$B$2:$B$501,A90)=0),"",IFERROR(LOOKUP(2,1/(('Injection Sales'!$B$2:$B$501=A90)*('Injection Sales'!$A$2:$A$501=_xlfn.MAXIFS('Injection Sales'!$A$2:$A$501,'Injection Sales'!$B$2:$B$501,A90))),'Injection Sales'!$H$2:$H$501),""))</f>
        <v/>
      </c>
      <c r="I90" s="21" t="str">
        <f aca="true">IF(OR(A90="",D90=""),"",IF(TODAY()-D90&lt;=Settings!$B$7,"Active","Inactive"))</f>
        <v/>
      </c>
    </row>
    <row r="91" customFormat="false" ht="15" hidden="false" customHeight="false" outlineLevel="0" collapsed="false">
      <c r="A91" s="1"/>
      <c r="B91" s="22"/>
      <c r="C91" s="18" t="str">
        <f aca="false">IF(OR(A91="",COUNTIF('Injection Sales'!$B$2:$B$501,A91)+COUNTIF('Protein Sales'!$B$2:$B$501,A91)+COUNTIF('Diet Support'!$B$2:$B$501,A91)=0),"",MIN(IF(COUNTIF('Injection Sales'!$B$2:$B$501,A91),_xlfn.MINIFS('Injection Sales'!$A$2:$A$501,'Injection Sales'!$B$2:$B$501,A91),99999),IF(COUNTIF('Protein Sales'!$B$2:$B$501,A91),_xlfn.MINIFS('Protein Sales'!$A$2:$A$501,'Protein Sales'!$B$2:$B$501,A91),99999),IF(COUNTIF('Diet Support'!$B$2:$B$501,A91),_xlfn.MINIFS('Diet Support'!$A$2:$A$501,'Diet Support'!$B$2:$B$501,A91),99999)))</f>
        <v/>
      </c>
      <c r="D91" s="18" t="str">
        <f aca="false">IF(OR(A91="",COUNTIF('Injection Sales'!$B$2:$B$501,A91)+COUNTIF('Protein Sales'!$B$2:$B$501,A91)+COUNTIF('Diet Support'!$B$2:$B$501,A91)=0),"",MAX(_xlfn.MAXIFS('Injection Sales'!$A$2:$A$501,'Injection Sales'!$B$2:$B$501,A91),_xlfn.MAXIFS('Protein Sales'!$A$2:$A$501,'Protein Sales'!$B$2:$B$501,A91),_xlfn.MAXIFS('Diet Support'!$A$2:$A$501,'Diet Support'!$B$2:$B$501,A91)))</f>
        <v/>
      </c>
      <c r="E91" s="19" t="str">
        <f aca="false">IF(A91="","",COUNTIF('Injection Sales'!$B$2:$B$501,A91)+COUNTIF('Protein Sales'!$B$2:$B$501,A91)+COUNTIF('Diet Support'!$B$2:$B$501,A91))</f>
        <v/>
      </c>
      <c r="F91" s="20" t="str">
        <f aca="false">IF(A91="","",SUMIF('Injection Sales'!$B$2:$B$501,A91,'Injection Sales'!$G$2:$G$501)+SUMIF('Protein Sales'!$B$2:$B$501,A91,'Protein Sales'!$F$2:$F$501)+SUMIF('Diet Support'!$B$2:$B$501,A91,'Diet Support'!$E$2:$E$501))</f>
        <v/>
      </c>
      <c r="G91" s="21" t="str">
        <f aca="false">IF(OR(A91="",COUNTIF('Injection Sales'!$B$2:$B$501,A91)=0),"",IFERROR(LOOKUP(2,1/(('Injection Sales'!$B$2:$B$501=A91)*('Injection Sales'!$A$2:$A$501=_xlfn.MAXIFS('Injection Sales'!$A$2:$A$501,'Injection Sales'!$B$2:$B$501,A91))),'Injection Sales'!$E$2:$E$501),""))</f>
        <v/>
      </c>
      <c r="H91" s="21" t="str">
        <f aca="false">IF(OR(A91="",COUNTIF('Injection Sales'!$B$2:$B$501,A91)=0),"",IFERROR(LOOKUP(2,1/(('Injection Sales'!$B$2:$B$501=A91)*('Injection Sales'!$A$2:$A$501=_xlfn.MAXIFS('Injection Sales'!$A$2:$A$501,'Injection Sales'!$B$2:$B$501,A91))),'Injection Sales'!$H$2:$H$501),""))</f>
        <v/>
      </c>
      <c r="I91" s="21" t="str">
        <f aca="true">IF(OR(A91="",D91=""),"",IF(TODAY()-D91&lt;=Settings!$B$7,"Active","Inactive"))</f>
        <v/>
      </c>
    </row>
    <row r="92" customFormat="false" ht="15" hidden="false" customHeight="false" outlineLevel="0" collapsed="false">
      <c r="A92" s="1"/>
      <c r="B92" s="22"/>
      <c r="C92" s="18" t="str">
        <f aca="false">IF(OR(A92="",COUNTIF('Injection Sales'!$B$2:$B$501,A92)+COUNTIF('Protein Sales'!$B$2:$B$501,A92)+COUNTIF('Diet Support'!$B$2:$B$501,A92)=0),"",MIN(IF(COUNTIF('Injection Sales'!$B$2:$B$501,A92),_xlfn.MINIFS('Injection Sales'!$A$2:$A$501,'Injection Sales'!$B$2:$B$501,A92),99999),IF(COUNTIF('Protein Sales'!$B$2:$B$501,A92),_xlfn.MINIFS('Protein Sales'!$A$2:$A$501,'Protein Sales'!$B$2:$B$501,A92),99999),IF(COUNTIF('Diet Support'!$B$2:$B$501,A92),_xlfn.MINIFS('Diet Support'!$A$2:$A$501,'Diet Support'!$B$2:$B$501,A92),99999)))</f>
        <v/>
      </c>
      <c r="D92" s="18" t="str">
        <f aca="false">IF(OR(A92="",COUNTIF('Injection Sales'!$B$2:$B$501,A92)+COUNTIF('Protein Sales'!$B$2:$B$501,A92)+COUNTIF('Diet Support'!$B$2:$B$501,A92)=0),"",MAX(_xlfn.MAXIFS('Injection Sales'!$A$2:$A$501,'Injection Sales'!$B$2:$B$501,A92),_xlfn.MAXIFS('Protein Sales'!$A$2:$A$501,'Protein Sales'!$B$2:$B$501,A92),_xlfn.MAXIFS('Diet Support'!$A$2:$A$501,'Diet Support'!$B$2:$B$501,A92)))</f>
        <v/>
      </c>
      <c r="E92" s="19" t="str">
        <f aca="false">IF(A92="","",COUNTIF('Injection Sales'!$B$2:$B$501,A92)+COUNTIF('Protein Sales'!$B$2:$B$501,A92)+COUNTIF('Diet Support'!$B$2:$B$501,A92))</f>
        <v/>
      </c>
      <c r="F92" s="20" t="str">
        <f aca="false">IF(A92="","",SUMIF('Injection Sales'!$B$2:$B$501,A92,'Injection Sales'!$G$2:$G$501)+SUMIF('Protein Sales'!$B$2:$B$501,A92,'Protein Sales'!$F$2:$F$501)+SUMIF('Diet Support'!$B$2:$B$501,A92,'Diet Support'!$E$2:$E$501))</f>
        <v/>
      </c>
      <c r="G92" s="21" t="str">
        <f aca="false">IF(OR(A92="",COUNTIF('Injection Sales'!$B$2:$B$501,A92)=0),"",IFERROR(LOOKUP(2,1/(('Injection Sales'!$B$2:$B$501=A92)*('Injection Sales'!$A$2:$A$501=_xlfn.MAXIFS('Injection Sales'!$A$2:$A$501,'Injection Sales'!$B$2:$B$501,A92))),'Injection Sales'!$E$2:$E$501),""))</f>
        <v/>
      </c>
      <c r="H92" s="21" t="str">
        <f aca="false">IF(OR(A92="",COUNTIF('Injection Sales'!$B$2:$B$501,A92)=0),"",IFERROR(LOOKUP(2,1/(('Injection Sales'!$B$2:$B$501=A92)*('Injection Sales'!$A$2:$A$501=_xlfn.MAXIFS('Injection Sales'!$A$2:$A$501,'Injection Sales'!$B$2:$B$501,A92))),'Injection Sales'!$H$2:$H$501),""))</f>
        <v/>
      </c>
      <c r="I92" s="21" t="str">
        <f aca="true">IF(OR(A92="",D92=""),"",IF(TODAY()-D92&lt;=Settings!$B$7,"Active","Inactive"))</f>
        <v/>
      </c>
    </row>
    <row r="93" customFormat="false" ht="15" hidden="false" customHeight="false" outlineLevel="0" collapsed="false">
      <c r="A93" s="1"/>
      <c r="B93" s="22"/>
      <c r="C93" s="18" t="str">
        <f aca="false">IF(OR(A93="",COUNTIF('Injection Sales'!$B$2:$B$501,A93)+COUNTIF('Protein Sales'!$B$2:$B$501,A93)+COUNTIF('Diet Support'!$B$2:$B$501,A93)=0),"",MIN(IF(COUNTIF('Injection Sales'!$B$2:$B$501,A93),_xlfn.MINIFS('Injection Sales'!$A$2:$A$501,'Injection Sales'!$B$2:$B$501,A93),99999),IF(COUNTIF('Protein Sales'!$B$2:$B$501,A93),_xlfn.MINIFS('Protein Sales'!$A$2:$A$501,'Protein Sales'!$B$2:$B$501,A93),99999),IF(COUNTIF('Diet Support'!$B$2:$B$501,A93),_xlfn.MINIFS('Diet Support'!$A$2:$A$501,'Diet Support'!$B$2:$B$501,A93),99999)))</f>
        <v/>
      </c>
      <c r="D93" s="18" t="str">
        <f aca="false">IF(OR(A93="",COUNTIF('Injection Sales'!$B$2:$B$501,A93)+COUNTIF('Protein Sales'!$B$2:$B$501,A93)+COUNTIF('Diet Support'!$B$2:$B$501,A93)=0),"",MAX(_xlfn.MAXIFS('Injection Sales'!$A$2:$A$501,'Injection Sales'!$B$2:$B$501,A93),_xlfn.MAXIFS('Protein Sales'!$A$2:$A$501,'Protein Sales'!$B$2:$B$501,A93),_xlfn.MAXIFS('Diet Support'!$A$2:$A$501,'Diet Support'!$B$2:$B$501,A93)))</f>
        <v/>
      </c>
      <c r="E93" s="19" t="str">
        <f aca="false">IF(A93="","",COUNTIF('Injection Sales'!$B$2:$B$501,A93)+COUNTIF('Protein Sales'!$B$2:$B$501,A93)+COUNTIF('Diet Support'!$B$2:$B$501,A93))</f>
        <v/>
      </c>
      <c r="F93" s="20" t="str">
        <f aca="false">IF(A93="","",SUMIF('Injection Sales'!$B$2:$B$501,A93,'Injection Sales'!$G$2:$G$501)+SUMIF('Protein Sales'!$B$2:$B$501,A93,'Protein Sales'!$F$2:$F$501)+SUMIF('Diet Support'!$B$2:$B$501,A93,'Diet Support'!$E$2:$E$501))</f>
        <v/>
      </c>
      <c r="G93" s="21" t="str">
        <f aca="false">IF(OR(A93="",COUNTIF('Injection Sales'!$B$2:$B$501,A93)=0),"",IFERROR(LOOKUP(2,1/(('Injection Sales'!$B$2:$B$501=A93)*('Injection Sales'!$A$2:$A$501=_xlfn.MAXIFS('Injection Sales'!$A$2:$A$501,'Injection Sales'!$B$2:$B$501,A93))),'Injection Sales'!$E$2:$E$501),""))</f>
        <v/>
      </c>
      <c r="H93" s="21" t="str">
        <f aca="false">IF(OR(A93="",COUNTIF('Injection Sales'!$B$2:$B$501,A93)=0),"",IFERROR(LOOKUP(2,1/(('Injection Sales'!$B$2:$B$501=A93)*('Injection Sales'!$A$2:$A$501=_xlfn.MAXIFS('Injection Sales'!$A$2:$A$501,'Injection Sales'!$B$2:$B$501,A93))),'Injection Sales'!$H$2:$H$501),""))</f>
        <v/>
      </c>
      <c r="I93" s="21" t="str">
        <f aca="true">IF(OR(A93="",D93=""),"",IF(TODAY()-D93&lt;=Settings!$B$7,"Active","Inactive"))</f>
        <v/>
      </c>
    </row>
    <row r="94" customFormat="false" ht="15" hidden="false" customHeight="false" outlineLevel="0" collapsed="false">
      <c r="A94" s="1"/>
      <c r="B94" s="22"/>
      <c r="C94" s="18" t="str">
        <f aca="false">IF(OR(A94="",COUNTIF('Injection Sales'!$B$2:$B$501,A94)+COUNTIF('Protein Sales'!$B$2:$B$501,A94)+COUNTIF('Diet Support'!$B$2:$B$501,A94)=0),"",MIN(IF(COUNTIF('Injection Sales'!$B$2:$B$501,A94),_xlfn.MINIFS('Injection Sales'!$A$2:$A$501,'Injection Sales'!$B$2:$B$501,A94),99999),IF(COUNTIF('Protein Sales'!$B$2:$B$501,A94),_xlfn.MINIFS('Protein Sales'!$A$2:$A$501,'Protein Sales'!$B$2:$B$501,A94),99999),IF(COUNTIF('Diet Support'!$B$2:$B$501,A94),_xlfn.MINIFS('Diet Support'!$A$2:$A$501,'Diet Support'!$B$2:$B$501,A94),99999)))</f>
        <v/>
      </c>
      <c r="D94" s="18" t="str">
        <f aca="false">IF(OR(A94="",COUNTIF('Injection Sales'!$B$2:$B$501,A94)+COUNTIF('Protein Sales'!$B$2:$B$501,A94)+COUNTIF('Diet Support'!$B$2:$B$501,A94)=0),"",MAX(_xlfn.MAXIFS('Injection Sales'!$A$2:$A$501,'Injection Sales'!$B$2:$B$501,A94),_xlfn.MAXIFS('Protein Sales'!$A$2:$A$501,'Protein Sales'!$B$2:$B$501,A94),_xlfn.MAXIFS('Diet Support'!$A$2:$A$501,'Diet Support'!$B$2:$B$501,A94)))</f>
        <v/>
      </c>
      <c r="E94" s="19" t="str">
        <f aca="false">IF(A94="","",COUNTIF('Injection Sales'!$B$2:$B$501,A94)+COUNTIF('Protein Sales'!$B$2:$B$501,A94)+COUNTIF('Diet Support'!$B$2:$B$501,A94))</f>
        <v/>
      </c>
      <c r="F94" s="20" t="str">
        <f aca="false">IF(A94="","",SUMIF('Injection Sales'!$B$2:$B$501,A94,'Injection Sales'!$G$2:$G$501)+SUMIF('Protein Sales'!$B$2:$B$501,A94,'Protein Sales'!$F$2:$F$501)+SUMIF('Diet Support'!$B$2:$B$501,A94,'Diet Support'!$E$2:$E$501))</f>
        <v/>
      </c>
      <c r="G94" s="21" t="str">
        <f aca="false">IF(OR(A94="",COUNTIF('Injection Sales'!$B$2:$B$501,A94)=0),"",IFERROR(LOOKUP(2,1/(('Injection Sales'!$B$2:$B$501=A94)*('Injection Sales'!$A$2:$A$501=_xlfn.MAXIFS('Injection Sales'!$A$2:$A$501,'Injection Sales'!$B$2:$B$501,A94))),'Injection Sales'!$E$2:$E$501),""))</f>
        <v/>
      </c>
      <c r="H94" s="21" t="str">
        <f aca="false">IF(OR(A94="",COUNTIF('Injection Sales'!$B$2:$B$501,A94)=0),"",IFERROR(LOOKUP(2,1/(('Injection Sales'!$B$2:$B$501=A94)*('Injection Sales'!$A$2:$A$501=_xlfn.MAXIFS('Injection Sales'!$A$2:$A$501,'Injection Sales'!$B$2:$B$501,A94))),'Injection Sales'!$H$2:$H$501),""))</f>
        <v/>
      </c>
      <c r="I94" s="21" t="str">
        <f aca="true">IF(OR(A94="",D94=""),"",IF(TODAY()-D94&lt;=Settings!$B$7,"Active","Inactive"))</f>
        <v/>
      </c>
    </row>
    <row r="95" customFormat="false" ht="15" hidden="false" customHeight="false" outlineLevel="0" collapsed="false">
      <c r="A95" s="1"/>
      <c r="B95" s="22"/>
      <c r="C95" s="18" t="str">
        <f aca="false">IF(OR(A95="",COUNTIF('Injection Sales'!$B$2:$B$501,A95)+COUNTIF('Protein Sales'!$B$2:$B$501,A95)+COUNTIF('Diet Support'!$B$2:$B$501,A95)=0),"",MIN(IF(COUNTIF('Injection Sales'!$B$2:$B$501,A95),_xlfn.MINIFS('Injection Sales'!$A$2:$A$501,'Injection Sales'!$B$2:$B$501,A95),99999),IF(COUNTIF('Protein Sales'!$B$2:$B$501,A95),_xlfn.MINIFS('Protein Sales'!$A$2:$A$501,'Protein Sales'!$B$2:$B$501,A95),99999),IF(COUNTIF('Diet Support'!$B$2:$B$501,A95),_xlfn.MINIFS('Diet Support'!$A$2:$A$501,'Diet Support'!$B$2:$B$501,A95),99999)))</f>
        <v/>
      </c>
      <c r="D95" s="18" t="str">
        <f aca="false">IF(OR(A95="",COUNTIF('Injection Sales'!$B$2:$B$501,A95)+COUNTIF('Protein Sales'!$B$2:$B$501,A95)+COUNTIF('Diet Support'!$B$2:$B$501,A95)=0),"",MAX(_xlfn.MAXIFS('Injection Sales'!$A$2:$A$501,'Injection Sales'!$B$2:$B$501,A95),_xlfn.MAXIFS('Protein Sales'!$A$2:$A$501,'Protein Sales'!$B$2:$B$501,A95),_xlfn.MAXIFS('Diet Support'!$A$2:$A$501,'Diet Support'!$B$2:$B$501,A95)))</f>
        <v/>
      </c>
      <c r="E95" s="19" t="str">
        <f aca="false">IF(A95="","",COUNTIF('Injection Sales'!$B$2:$B$501,A95)+COUNTIF('Protein Sales'!$B$2:$B$501,A95)+COUNTIF('Diet Support'!$B$2:$B$501,A95))</f>
        <v/>
      </c>
      <c r="F95" s="20" t="str">
        <f aca="false">IF(A95="","",SUMIF('Injection Sales'!$B$2:$B$501,A95,'Injection Sales'!$G$2:$G$501)+SUMIF('Protein Sales'!$B$2:$B$501,A95,'Protein Sales'!$F$2:$F$501)+SUMIF('Diet Support'!$B$2:$B$501,A95,'Diet Support'!$E$2:$E$501))</f>
        <v/>
      </c>
      <c r="G95" s="21" t="str">
        <f aca="false">IF(OR(A95="",COUNTIF('Injection Sales'!$B$2:$B$501,A95)=0),"",IFERROR(LOOKUP(2,1/(('Injection Sales'!$B$2:$B$501=A95)*('Injection Sales'!$A$2:$A$501=_xlfn.MAXIFS('Injection Sales'!$A$2:$A$501,'Injection Sales'!$B$2:$B$501,A95))),'Injection Sales'!$E$2:$E$501),""))</f>
        <v/>
      </c>
      <c r="H95" s="21" t="str">
        <f aca="false">IF(OR(A95="",COUNTIF('Injection Sales'!$B$2:$B$501,A95)=0),"",IFERROR(LOOKUP(2,1/(('Injection Sales'!$B$2:$B$501=A95)*('Injection Sales'!$A$2:$A$501=_xlfn.MAXIFS('Injection Sales'!$A$2:$A$501,'Injection Sales'!$B$2:$B$501,A95))),'Injection Sales'!$H$2:$H$501),""))</f>
        <v/>
      </c>
      <c r="I95" s="21" t="str">
        <f aca="true">IF(OR(A95="",D95=""),"",IF(TODAY()-D95&lt;=Settings!$B$7,"Active","Inactive"))</f>
        <v/>
      </c>
    </row>
    <row r="96" customFormat="false" ht="15" hidden="false" customHeight="false" outlineLevel="0" collapsed="false">
      <c r="A96" s="1"/>
      <c r="B96" s="22"/>
      <c r="C96" s="18" t="str">
        <f aca="false">IF(OR(A96="",COUNTIF('Injection Sales'!$B$2:$B$501,A96)+COUNTIF('Protein Sales'!$B$2:$B$501,A96)+COUNTIF('Diet Support'!$B$2:$B$501,A96)=0),"",MIN(IF(COUNTIF('Injection Sales'!$B$2:$B$501,A96),_xlfn.MINIFS('Injection Sales'!$A$2:$A$501,'Injection Sales'!$B$2:$B$501,A96),99999),IF(COUNTIF('Protein Sales'!$B$2:$B$501,A96),_xlfn.MINIFS('Protein Sales'!$A$2:$A$501,'Protein Sales'!$B$2:$B$501,A96),99999),IF(COUNTIF('Diet Support'!$B$2:$B$501,A96),_xlfn.MINIFS('Diet Support'!$A$2:$A$501,'Diet Support'!$B$2:$B$501,A96),99999)))</f>
        <v/>
      </c>
      <c r="D96" s="18" t="str">
        <f aca="false">IF(OR(A96="",COUNTIF('Injection Sales'!$B$2:$B$501,A96)+COUNTIF('Protein Sales'!$B$2:$B$501,A96)+COUNTIF('Diet Support'!$B$2:$B$501,A96)=0),"",MAX(_xlfn.MAXIFS('Injection Sales'!$A$2:$A$501,'Injection Sales'!$B$2:$B$501,A96),_xlfn.MAXIFS('Protein Sales'!$A$2:$A$501,'Protein Sales'!$B$2:$B$501,A96),_xlfn.MAXIFS('Diet Support'!$A$2:$A$501,'Diet Support'!$B$2:$B$501,A96)))</f>
        <v/>
      </c>
      <c r="E96" s="19" t="str">
        <f aca="false">IF(A96="","",COUNTIF('Injection Sales'!$B$2:$B$501,A96)+COUNTIF('Protein Sales'!$B$2:$B$501,A96)+COUNTIF('Diet Support'!$B$2:$B$501,A96))</f>
        <v/>
      </c>
      <c r="F96" s="20" t="str">
        <f aca="false">IF(A96="","",SUMIF('Injection Sales'!$B$2:$B$501,A96,'Injection Sales'!$G$2:$G$501)+SUMIF('Protein Sales'!$B$2:$B$501,A96,'Protein Sales'!$F$2:$F$501)+SUMIF('Diet Support'!$B$2:$B$501,A96,'Diet Support'!$E$2:$E$501))</f>
        <v/>
      </c>
      <c r="G96" s="21" t="str">
        <f aca="false">IF(OR(A96="",COUNTIF('Injection Sales'!$B$2:$B$501,A96)=0),"",IFERROR(LOOKUP(2,1/(('Injection Sales'!$B$2:$B$501=A96)*('Injection Sales'!$A$2:$A$501=_xlfn.MAXIFS('Injection Sales'!$A$2:$A$501,'Injection Sales'!$B$2:$B$501,A96))),'Injection Sales'!$E$2:$E$501),""))</f>
        <v/>
      </c>
      <c r="H96" s="21" t="str">
        <f aca="false">IF(OR(A96="",COUNTIF('Injection Sales'!$B$2:$B$501,A96)=0),"",IFERROR(LOOKUP(2,1/(('Injection Sales'!$B$2:$B$501=A96)*('Injection Sales'!$A$2:$A$501=_xlfn.MAXIFS('Injection Sales'!$A$2:$A$501,'Injection Sales'!$B$2:$B$501,A96))),'Injection Sales'!$H$2:$H$501),""))</f>
        <v/>
      </c>
      <c r="I96" s="21" t="str">
        <f aca="true">IF(OR(A96="",D96=""),"",IF(TODAY()-D96&lt;=Settings!$B$7,"Active","Inactive"))</f>
        <v/>
      </c>
    </row>
    <row r="97" customFormat="false" ht="15" hidden="false" customHeight="false" outlineLevel="0" collapsed="false">
      <c r="A97" s="1"/>
      <c r="B97" s="22"/>
      <c r="C97" s="18" t="str">
        <f aca="false">IF(OR(A97="",COUNTIF('Injection Sales'!$B$2:$B$501,A97)+COUNTIF('Protein Sales'!$B$2:$B$501,A97)+COUNTIF('Diet Support'!$B$2:$B$501,A97)=0),"",MIN(IF(COUNTIF('Injection Sales'!$B$2:$B$501,A97),_xlfn.MINIFS('Injection Sales'!$A$2:$A$501,'Injection Sales'!$B$2:$B$501,A97),99999),IF(COUNTIF('Protein Sales'!$B$2:$B$501,A97),_xlfn.MINIFS('Protein Sales'!$A$2:$A$501,'Protein Sales'!$B$2:$B$501,A97),99999),IF(COUNTIF('Diet Support'!$B$2:$B$501,A97),_xlfn.MINIFS('Diet Support'!$A$2:$A$501,'Diet Support'!$B$2:$B$501,A97),99999)))</f>
        <v/>
      </c>
      <c r="D97" s="18" t="str">
        <f aca="false">IF(OR(A97="",COUNTIF('Injection Sales'!$B$2:$B$501,A97)+COUNTIF('Protein Sales'!$B$2:$B$501,A97)+COUNTIF('Diet Support'!$B$2:$B$501,A97)=0),"",MAX(_xlfn.MAXIFS('Injection Sales'!$A$2:$A$501,'Injection Sales'!$B$2:$B$501,A97),_xlfn.MAXIFS('Protein Sales'!$A$2:$A$501,'Protein Sales'!$B$2:$B$501,A97),_xlfn.MAXIFS('Diet Support'!$A$2:$A$501,'Diet Support'!$B$2:$B$501,A97)))</f>
        <v/>
      </c>
      <c r="E97" s="19" t="str">
        <f aca="false">IF(A97="","",COUNTIF('Injection Sales'!$B$2:$B$501,A97)+COUNTIF('Protein Sales'!$B$2:$B$501,A97)+COUNTIF('Diet Support'!$B$2:$B$501,A97))</f>
        <v/>
      </c>
      <c r="F97" s="20" t="str">
        <f aca="false">IF(A97="","",SUMIF('Injection Sales'!$B$2:$B$501,A97,'Injection Sales'!$G$2:$G$501)+SUMIF('Protein Sales'!$B$2:$B$501,A97,'Protein Sales'!$F$2:$F$501)+SUMIF('Diet Support'!$B$2:$B$501,A97,'Diet Support'!$E$2:$E$501))</f>
        <v/>
      </c>
      <c r="G97" s="21" t="str">
        <f aca="false">IF(OR(A97="",COUNTIF('Injection Sales'!$B$2:$B$501,A97)=0),"",IFERROR(LOOKUP(2,1/(('Injection Sales'!$B$2:$B$501=A97)*('Injection Sales'!$A$2:$A$501=_xlfn.MAXIFS('Injection Sales'!$A$2:$A$501,'Injection Sales'!$B$2:$B$501,A97))),'Injection Sales'!$E$2:$E$501),""))</f>
        <v/>
      </c>
      <c r="H97" s="21" t="str">
        <f aca="false">IF(OR(A97="",COUNTIF('Injection Sales'!$B$2:$B$501,A97)=0),"",IFERROR(LOOKUP(2,1/(('Injection Sales'!$B$2:$B$501=A97)*('Injection Sales'!$A$2:$A$501=_xlfn.MAXIFS('Injection Sales'!$A$2:$A$501,'Injection Sales'!$B$2:$B$501,A97))),'Injection Sales'!$H$2:$H$501),""))</f>
        <v/>
      </c>
      <c r="I97" s="21" t="str">
        <f aca="true">IF(OR(A97="",D97=""),"",IF(TODAY()-D97&lt;=Settings!$B$7,"Active","Inactive"))</f>
        <v/>
      </c>
    </row>
    <row r="98" customFormat="false" ht="15" hidden="false" customHeight="false" outlineLevel="0" collapsed="false">
      <c r="A98" s="1"/>
      <c r="B98" s="22"/>
      <c r="C98" s="18" t="str">
        <f aca="false">IF(OR(A98="",COUNTIF('Injection Sales'!$B$2:$B$501,A98)+COUNTIF('Protein Sales'!$B$2:$B$501,A98)+COUNTIF('Diet Support'!$B$2:$B$501,A98)=0),"",MIN(IF(COUNTIF('Injection Sales'!$B$2:$B$501,A98),_xlfn.MINIFS('Injection Sales'!$A$2:$A$501,'Injection Sales'!$B$2:$B$501,A98),99999),IF(COUNTIF('Protein Sales'!$B$2:$B$501,A98),_xlfn.MINIFS('Protein Sales'!$A$2:$A$501,'Protein Sales'!$B$2:$B$501,A98),99999),IF(COUNTIF('Diet Support'!$B$2:$B$501,A98),_xlfn.MINIFS('Diet Support'!$A$2:$A$501,'Diet Support'!$B$2:$B$501,A98),99999)))</f>
        <v/>
      </c>
      <c r="D98" s="18" t="str">
        <f aca="false">IF(OR(A98="",COUNTIF('Injection Sales'!$B$2:$B$501,A98)+COUNTIF('Protein Sales'!$B$2:$B$501,A98)+COUNTIF('Diet Support'!$B$2:$B$501,A98)=0),"",MAX(_xlfn.MAXIFS('Injection Sales'!$A$2:$A$501,'Injection Sales'!$B$2:$B$501,A98),_xlfn.MAXIFS('Protein Sales'!$A$2:$A$501,'Protein Sales'!$B$2:$B$501,A98),_xlfn.MAXIFS('Diet Support'!$A$2:$A$501,'Diet Support'!$B$2:$B$501,A98)))</f>
        <v/>
      </c>
      <c r="E98" s="19" t="str">
        <f aca="false">IF(A98="","",COUNTIF('Injection Sales'!$B$2:$B$501,A98)+COUNTIF('Protein Sales'!$B$2:$B$501,A98)+COUNTIF('Diet Support'!$B$2:$B$501,A98))</f>
        <v/>
      </c>
      <c r="F98" s="20" t="str">
        <f aca="false">IF(A98="","",SUMIF('Injection Sales'!$B$2:$B$501,A98,'Injection Sales'!$G$2:$G$501)+SUMIF('Protein Sales'!$B$2:$B$501,A98,'Protein Sales'!$F$2:$F$501)+SUMIF('Diet Support'!$B$2:$B$501,A98,'Diet Support'!$E$2:$E$501))</f>
        <v/>
      </c>
      <c r="G98" s="21" t="str">
        <f aca="false">IF(OR(A98="",COUNTIF('Injection Sales'!$B$2:$B$501,A98)=0),"",IFERROR(LOOKUP(2,1/(('Injection Sales'!$B$2:$B$501=A98)*('Injection Sales'!$A$2:$A$501=_xlfn.MAXIFS('Injection Sales'!$A$2:$A$501,'Injection Sales'!$B$2:$B$501,A98))),'Injection Sales'!$E$2:$E$501),""))</f>
        <v/>
      </c>
      <c r="H98" s="21" t="str">
        <f aca="false">IF(OR(A98="",COUNTIF('Injection Sales'!$B$2:$B$501,A98)=0),"",IFERROR(LOOKUP(2,1/(('Injection Sales'!$B$2:$B$501=A98)*('Injection Sales'!$A$2:$A$501=_xlfn.MAXIFS('Injection Sales'!$A$2:$A$501,'Injection Sales'!$B$2:$B$501,A98))),'Injection Sales'!$H$2:$H$501),""))</f>
        <v/>
      </c>
      <c r="I98" s="21" t="str">
        <f aca="true">IF(OR(A98="",D98=""),"",IF(TODAY()-D98&lt;=Settings!$B$7,"Active","Inactive"))</f>
        <v/>
      </c>
    </row>
    <row r="99" customFormat="false" ht="15" hidden="false" customHeight="false" outlineLevel="0" collapsed="false">
      <c r="A99" s="1"/>
      <c r="B99" s="22"/>
      <c r="C99" s="18" t="str">
        <f aca="false">IF(OR(A99="",COUNTIF('Injection Sales'!$B$2:$B$501,A99)+COUNTIF('Protein Sales'!$B$2:$B$501,A99)+COUNTIF('Diet Support'!$B$2:$B$501,A99)=0),"",MIN(IF(COUNTIF('Injection Sales'!$B$2:$B$501,A99),_xlfn.MINIFS('Injection Sales'!$A$2:$A$501,'Injection Sales'!$B$2:$B$501,A99),99999),IF(COUNTIF('Protein Sales'!$B$2:$B$501,A99),_xlfn.MINIFS('Protein Sales'!$A$2:$A$501,'Protein Sales'!$B$2:$B$501,A99),99999),IF(COUNTIF('Diet Support'!$B$2:$B$501,A99),_xlfn.MINIFS('Diet Support'!$A$2:$A$501,'Diet Support'!$B$2:$B$501,A99),99999)))</f>
        <v/>
      </c>
      <c r="D99" s="18" t="str">
        <f aca="false">IF(OR(A99="",COUNTIF('Injection Sales'!$B$2:$B$501,A99)+COUNTIF('Protein Sales'!$B$2:$B$501,A99)+COUNTIF('Diet Support'!$B$2:$B$501,A99)=0),"",MAX(_xlfn.MAXIFS('Injection Sales'!$A$2:$A$501,'Injection Sales'!$B$2:$B$501,A99),_xlfn.MAXIFS('Protein Sales'!$A$2:$A$501,'Protein Sales'!$B$2:$B$501,A99),_xlfn.MAXIFS('Diet Support'!$A$2:$A$501,'Diet Support'!$B$2:$B$501,A99)))</f>
        <v/>
      </c>
      <c r="E99" s="19" t="str">
        <f aca="false">IF(A99="","",COUNTIF('Injection Sales'!$B$2:$B$501,A99)+COUNTIF('Protein Sales'!$B$2:$B$501,A99)+COUNTIF('Diet Support'!$B$2:$B$501,A99))</f>
        <v/>
      </c>
      <c r="F99" s="20" t="str">
        <f aca="false">IF(A99="","",SUMIF('Injection Sales'!$B$2:$B$501,A99,'Injection Sales'!$G$2:$G$501)+SUMIF('Protein Sales'!$B$2:$B$501,A99,'Protein Sales'!$F$2:$F$501)+SUMIF('Diet Support'!$B$2:$B$501,A99,'Diet Support'!$E$2:$E$501))</f>
        <v/>
      </c>
      <c r="G99" s="21" t="str">
        <f aca="false">IF(OR(A99="",COUNTIF('Injection Sales'!$B$2:$B$501,A99)=0),"",IFERROR(LOOKUP(2,1/(('Injection Sales'!$B$2:$B$501=A99)*('Injection Sales'!$A$2:$A$501=_xlfn.MAXIFS('Injection Sales'!$A$2:$A$501,'Injection Sales'!$B$2:$B$501,A99))),'Injection Sales'!$E$2:$E$501),""))</f>
        <v/>
      </c>
      <c r="H99" s="21" t="str">
        <f aca="false">IF(OR(A99="",COUNTIF('Injection Sales'!$B$2:$B$501,A99)=0),"",IFERROR(LOOKUP(2,1/(('Injection Sales'!$B$2:$B$501=A99)*('Injection Sales'!$A$2:$A$501=_xlfn.MAXIFS('Injection Sales'!$A$2:$A$501,'Injection Sales'!$B$2:$B$501,A99))),'Injection Sales'!$H$2:$H$501),""))</f>
        <v/>
      </c>
      <c r="I99" s="21" t="str">
        <f aca="true">IF(OR(A99="",D99=""),"",IF(TODAY()-D99&lt;=Settings!$B$7,"Active","Inactive"))</f>
        <v/>
      </c>
    </row>
    <row r="100" customFormat="false" ht="15" hidden="false" customHeight="false" outlineLevel="0" collapsed="false">
      <c r="A100" s="1"/>
      <c r="B100" s="22"/>
      <c r="C100" s="18" t="str">
        <f aca="false">IF(OR(A100="",COUNTIF('Injection Sales'!$B$2:$B$501,A100)+COUNTIF('Protein Sales'!$B$2:$B$501,A100)+COUNTIF('Diet Support'!$B$2:$B$501,A100)=0),"",MIN(IF(COUNTIF('Injection Sales'!$B$2:$B$501,A100),_xlfn.MINIFS('Injection Sales'!$A$2:$A$501,'Injection Sales'!$B$2:$B$501,A100),99999),IF(COUNTIF('Protein Sales'!$B$2:$B$501,A100),_xlfn.MINIFS('Protein Sales'!$A$2:$A$501,'Protein Sales'!$B$2:$B$501,A100),99999),IF(COUNTIF('Diet Support'!$B$2:$B$501,A100),_xlfn.MINIFS('Diet Support'!$A$2:$A$501,'Diet Support'!$B$2:$B$501,A100),99999)))</f>
        <v/>
      </c>
      <c r="D100" s="18" t="str">
        <f aca="false">IF(OR(A100="",COUNTIF('Injection Sales'!$B$2:$B$501,A100)+COUNTIF('Protein Sales'!$B$2:$B$501,A100)+COUNTIF('Diet Support'!$B$2:$B$501,A100)=0),"",MAX(_xlfn.MAXIFS('Injection Sales'!$A$2:$A$501,'Injection Sales'!$B$2:$B$501,A100),_xlfn.MAXIFS('Protein Sales'!$A$2:$A$501,'Protein Sales'!$B$2:$B$501,A100),_xlfn.MAXIFS('Diet Support'!$A$2:$A$501,'Diet Support'!$B$2:$B$501,A100)))</f>
        <v/>
      </c>
      <c r="E100" s="19" t="str">
        <f aca="false">IF(A100="","",COUNTIF('Injection Sales'!$B$2:$B$501,A100)+COUNTIF('Protein Sales'!$B$2:$B$501,A100)+COUNTIF('Diet Support'!$B$2:$B$501,A100))</f>
        <v/>
      </c>
      <c r="F100" s="20" t="str">
        <f aca="false">IF(A100="","",SUMIF('Injection Sales'!$B$2:$B$501,A100,'Injection Sales'!$G$2:$G$501)+SUMIF('Protein Sales'!$B$2:$B$501,A100,'Protein Sales'!$F$2:$F$501)+SUMIF('Diet Support'!$B$2:$B$501,A100,'Diet Support'!$E$2:$E$501))</f>
        <v/>
      </c>
      <c r="G100" s="21" t="str">
        <f aca="false">IF(OR(A100="",COUNTIF('Injection Sales'!$B$2:$B$501,A100)=0),"",IFERROR(LOOKUP(2,1/(('Injection Sales'!$B$2:$B$501=A100)*('Injection Sales'!$A$2:$A$501=_xlfn.MAXIFS('Injection Sales'!$A$2:$A$501,'Injection Sales'!$B$2:$B$501,A100))),'Injection Sales'!$E$2:$E$501),""))</f>
        <v/>
      </c>
      <c r="H100" s="21" t="str">
        <f aca="false">IF(OR(A100="",COUNTIF('Injection Sales'!$B$2:$B$501,A100)=0),"",IFERROR(LOOKUP(2,1/(('Injection Sales'!$B$2:$B$501=A100)*('Injection Sales'!$A$2:$A$501=_xlfn.MAXIFS('Injection Sales'!$A$2:$A$501,'Injection Sales'!$B$2:$B$501,A100))),'Injection Sales'!$H$2:$H$501),""))</f>
        <v/>
      </c>
      <c r="I100" s="21" t="str">
        <f aca="true">IF(OR(A100="",D100=""),"",IF(TODAY()-D100&lt;=Settings!$B$7,"Active","Inactive"))</f>
        <v/>
      </c>
    </row>
    <row r="101" customFormat="false" ht="15" hidden="false" customHeight="false" outlineLevel="0" collapsed="false">
      <c r="A101" s="1"/>
      <c r="B101" s="22"/>
      <c r="C101" s="18" t="str">
        <f aca="false">IF(OR(A101="",COUNTIF('Injection Sales'!$B$2:$B$501,A101)+COUNTIF('Protein Sales'!$B$2:$B$501,A101)+COUNTIF('Diet Support'!$B$2:$B$501,A101)=0),"",MIN(IF(COUNTIF('Injection Sales'!$B$2:$B$501,A101),_xlfn.MINIFS('Injection Sales'!$A$2:$A$501,'Injection Sales'!$B$2:$B$501,A101),99999),IF(COUNTIF('Protein Sales'!$B$2:$B$501,A101),_xlfn.MINIFS('Protein Sales'!$A$2:$A$501,'Protein Sales'!$B$2:$B$501,A101),99999),IF(COUNTIF('Diet Support'!$B$2:$B$501,A101),_xlfn.MINIFS('Diet Support'!$A$2:$A$501,'Diet Support'!$B$2:$B$501,A101),99999)))</f>
        <v/>
      </c>
      <c r="D101" s="18" t="str">
        <f aca="false">IF(OR(A101="",COUNTIF('Injection Sales'!$B$2:$B$501,A101)+COUNTIF('Protein Sales'!$B$2:$B$501,A101)+COUNTIF('Diet Support'!$B$2:$B$501,A101)=0),"",MAX(_xlfn.MAXIFS('Injection Sales'!$A$2:$A$501,'Injection Sales'!$B$2:$B$501,A101),_xlfn.MAXIFS('Protein Sales'!$A$2:$A$501,'Protein Sales'!$B$2:$B$501,A101),_xlfn.MAXIFS('Diet Support'!$A$2:$A$501,'Diet Support'!$B$2:$B$501,A101)))</f>
        <v/>
      </c>
      <c r="E101" s="19" t="str">
        <f aca="false">IF(A101="","",COUNTIF('Injection Sales'!$B$2:$B$501,A101)+COUNTIF('Protein Sales'!$B$2:$B$501,A101)+COUNTIF('Diet Support'!$B$2:$B$501,A101))</f>
        <v/>
      </c>
      <c r="F101" s="20" t="str">
        <f aca="false">IF(A101="","",SUMIF('Injection Sales'!$B$2:$B$501,A101,'Injection Sales'!$G$2:$G$501)+SUMIF('Protein Sales'!$B$2:$B$501,A101,'Protein Sales'!$F$2:$F$501)+SUMIF('Diet Support'!$B$2:$B$501,A101,'Diet Support'!$E$2:$E$501))</f>
        <v/>
      </c>
      <c r="G101" s="21" t="str">
        <f aca="false">IF(OR(A101="",COUNTIF('Injection Sales'!$B$2:$B$501,A101)=0),"",IFERROR(LOOKUP(2,1/(('Injection Sales'!$B$2:$B$501=A101)*('Injection Sales'!$A$2:$A$501=_xlfn.MAXIFS('Injection Sales'!$A$2:$A$501,'Injection Sales'!$B$2:$B$501,A101))),'Injection Sales'!$E$2:$E$501),""))</f>
        <v/>
      </c>
      <c r="H101" s="21" t="str">
        <f aca="false">IF(OR(A101="",COUNTIF('Injection Sales'!$B$2:$B$501,A101)=0),"",IFERROR(LOOKUP(2,1/(('Injection Sales'!$B$2:$B$501=A101)*('Injection Sales'!$A$2:$A$501=_xlfn.MAXIFS('Injection Sales'!$A$2:$A$501,'Injection Sales'!$B$2:$B$501,A101))),'Injection Sales'!$H$2:$H$501),""))</f>
        <v/>
      </c>
      <c r="I101" s="21" t="str">
        <f aca="true">IF(OR(A101="",D101=""),"",IF(TODAY()-D101&lt;=Settings!$B$7,"Active","Inactive"))</f>
        <v/>
      </c>
    </row>
    <row r="102" customFormat="false" ht="15" hidden="false" customHeight="false" outlineLevel="0" collapsed="false">
      <c r="A102" s="1"/>
      <c r="B102" s="22"/>
      <c r="C102" s="18" t="str">
        <f aca="false">IF(OR(A102="",COUNTIF('Injection Sales'!$B$2:$B$501,A102)+COUNTIF('Protein Sales'!$B$2:$B$501,A102)+COUNTIF('Diet Support'!$B$2:$B$501,A102)=0),"",MIN(IF(COUNTIF('Injection Sales'!$B$2:$B$501,A102),_xlfn.MINIFS('Injection Sales'!$A$2:$A$501,'Injection Sales'!$B$2:$B$501,A102),99999),IF(COUNTIF('Protein Sales'!$B$2:$B$501,A102),_xlfn.MINIFS('Protein Sales'!$A$2:$A$501,'Protein Sales'!$B$2:$B$501,A102),99999),IF(COUNTIF('Diet Support'!$B$2:$B$501,A102),_xlfn.MINIFS('Diet Support'!$A$2:$A$501,'Diet Support'!$B$2:$B$501,A102),99999)))</f>
        <v/>
      </c>
      <c r="D102" s="18" t="str">
        <f aca="false">IF(OR(A102="",COUNTIF('Injection Sales'!$B$2:$B$501,A102)+COUNTIF('Protein Sales'!$B$2:$B$501,A102)+COUNTIF('Diet Support'!$B$2:$B$501,A102)=0),"",MAX(_xlfn.MAXIFS('Injection Sales'!$A$2:$A$501,'Injection Sales'!$B$2:$B$501,A102),_xlfn.MAXIFS('Protein Sales'!$A$2:$A$501,'Protein Sales'!$B$2:$B$501,A102),_xlfn.MAXIFS('Diet Support'!$A$2:$A$501,'Diet Support'!$B$2:$B$501,A102)))</f>
        <v/>
      </c>
      <c r="E102" s="19" t="str">
        <f aca="false">IF(A102="","",COUNTIF('Injection Sales'!$B$2:$B$501,A102)+COUNTIF('Protein Sales'!$B$2:$B$501,A102)+COUNTIF('Diet Support'!$B$2:$B$501,A102))</f>
        <v/>
      </c>
      <c r="F102" s="20" t="str">
        <f aca="false">IF(A102="","",SUMIF('Injection Sales'!$B$2:$B$501,A102,'Injection Sales'!$G$2:$G$501)+SUMIF('Protein Sales'!$B$2:$B$501,A102,'Protein Sales'!$F$2:$F$501)+SUMIF('Diet Support'!$B$2:$B$501,A102,'Diet Support'!$E$2:$E$501))</f>
        <v/>
      </c>
      <c r="G102" s="21" t="str">
        <f aca="false">IF(OR(A102="",COUNTIF('Injection Sales'!$B$2:$B$501,A102)=0),"",IFERROR(LOOKUP(2,1/(('Injection Sales'!$B$2:$B$501=A102)*('Injection Sales'!$A$2:$A$501=_xlfn.MAXIFS('Injection Sales'!$A$2:$A$501,'Injection Sales'!$B$2:$B$501,A102))),'Injection Sales'!$E$2:$E$501),""))</f>
        <v/>
      </c>
      <c r="H102" s="21" t="str">
        <f aca="false">IF(OR(A102="",COUNTIF('Injection Sales'!$B$2:$B$501,A102)=0),"",IFERROR(LOOKUP(2,1/(('Injection Sales'!$B$2:$B$501=A102)*('Injection Sales'!$A$2:$A$501=_xlfn.MAXIFS('Injection Sales'!$A$2:$A$501,'Injection Sales'!$B$2:$B$501,A102))),'Injection Sales'!$H$2:$H$501),""))</f>
        <v/>
      </c>
      <c r="I102" s="21" t="str">
        <f aca="true">IF(OR(A102="",D102=""),"",IF(TODAY()-D102&lt;=Settings!$B$7,"Active","Inactive"))</f>
        <v/>
      </c>
    </row>
    <row r="103" customFormat="false" ht="15" hidden="false" customHeight="false" outlineLevel="0" collapsed="false">
      <c r="A103" s="1"/>
      <c r="B103" s="22"/>
      <c r="C103" s="18" t="str">
        <f aca="false">IF(OR(A103="",COUNTIF('Injection Sales'!$B$2:$B$501,A103)+COUNTIF('Protein Sales'!$B$2:$B$501,A103)+COUNTIF('Diet Support'!$B$2:$B$501,A103)=0),"",MIN(IF(COUNTIF('Injection Sales'!$B$2:$B$501,A103),_xlfn.MINIFS('Injection Sales'!$A$2:$A$501,'Injection Sales'!$B$2:$B$501,A103),99999),IF(COUNTIF('Protein Sales'!$B$2:$B$501,A103),_xlfn.MINIFS('Protein Sales'!$A$2:$A$501,'Protein Sales'!$B$2:$B$501,A103),99999),IF(COUNTIF('Diet Support'!$B$2:$B$501,A103),_xlfn.MINIFS('Diet Support'!$A$2:$A$501,'Diet Support'!$B$2:$B$501,A103),99999)))</f>
        <v/>
      </c>
      <c r="D103" s="18" t="str">
        <f aca="false">IF(OR(A103="",COUNTIF('Injection Sales'!$B$2:$B$501,A103)+COUNTIF('Protein Sales'!$B$2:$B$501,A103)+COUNTIF('Diet Support'!$B$2:$B$501,A103)=0),"",MAX(_xlfn.MAXIFS('Injection Sales'!$A$2:$A$501,'Injection Sales'!$B$2:$B$501,A103),_xlfn.MAXIFS('Protein Sales'!$A$2:$A$501,'Protein Sales'!$B$2:$B$501,A103),_xlfn.MAXIFS('Diet Support'!$A$2:$A$501,'Diet Support'!$B$2:$B$501,A103)))</f>
        <v/>
      </c>
      <c r="E103" s="19" t="str">
        <f aca="false">IF(A103="","",COUNTIF('Injection Sales'!$B$2:$B$501,A103)+COUNTIF('Protein Sales'!$B$2:$B$501,A103)+COUNTIF('Diet Support'!$B$2:$B$501,A103))</f>
        <v/>
      </c>
      <c r="F103" s="20" t="str">
        <f aca="false">IF(A103="","",SUMIF('Injection Sales'!$B$2:$B$501,A103,'Injection Sales'!$G$2:$G$501)+SUMIF('Protein Sales'!$B$2:$B$501,A103,'Protein Sales'!$F$2:$F$501)+SUMIF('Diet Support'!$B$2:$B$501,A103,'Diet Support'!$E$2:$E$501))</f>
        <v/>
      </c>
      <c r="G103" s="21" t="str">
        <f aca="false">IF(OR(A103="",COUNTIF('Injection Sales'!$B$2:$B$501,A103)=0),"",IFERROR(LOOKUP(2,1/(('Injection Sales'!$B$2:$B$501=A103)*('Injection Sales'!$A$2:$A$501=_xlfn.MAXIFS('Injection Sales'!$A$2:$A$501,'Injection Sales'!$B$2:$B$501,A103))),'Injection Sales'!$E$2:$E$501),""))</f>
        <v/>
      </c>
      <c r="H103" s="21" t="str">
        <f aca="false">IF(OR(A103="",COUNTIF('Injection Sales'!$B$2:$B$501,A103)=0),"",IFERROR(LOOKUP(2,1/(('Injection Sales'!$B$2:$B$501=A103)*('Injection Sales'!$A$2:$A$501=_xlfn.MAXIFS('Injection Sales'!$A$2:$A$501,'Injection Sales'!$B$2:$B$501,A103))),'Injection Sales'!$H$2:$H$501),""))</f>
        <v/>
      </c>
      <c r="I103" s="21" t="str">
        <f aca="true">IF(OR(A103="",D103=""),"",IF(TODAY()-D103&lt;=Settings!$B$7,"Active","Inactive"))</f>
        <v/>
      </c>
    </row>
    <row r="104" customFormat="false" ht="15" hidden="false" customHeight="false" outlineLevel="0" collapsed="false">
      <c r="A104" s="1"/>
      <c r="B104" s="22"/>
      <c r="C104" s="18" t="str">
        <f aca="false">IF(OR(A104="",COUNTIF('Injection Sales'!$B$2:$B$501,A104)+COUNTIF('Protein Sales'!$B$2:$B$501,A104)+COUNTIF('Diet Support'!$B$2:$B$501,A104)=0),"",MIN(IF(COUNTIF('Injection Sales'!$B$2:$B$501,A104),_xlfn.MINIFS('Injection Sales'!$A$2:$A$501,'Injection Sales'!$B$2:$B$501,A104),99999),IF(COUNTIF('Protein Sales'!$B$2:$B$501,A104),_xlfn.MINIFS('Protein Sales'!$A$2:$A$501,'Protein Sales'!$B$2:$B$501,A104),99999),IF(COUNTIF('Diet Support'!$B$2:$B$501,A104),_xlfn.MINIFS('Diet Support'!$A$2:$A$501,'Diet Support'!$B$2:$B$501,A104),99999)))</f>
        <v/>
      </c>
      <c r="D104" s="18" t="str">
        <f aca="false">IF(OR(A104="",COUNTIF('Injection Sales'!$B$2:$B$501,A104)+COUNTIF('Protein Sales'!$B$2:$B$501,A104)+COUNTIF('Diet Support'!$B$2:$B$501,A104)=0),"",MAX(_xlfn.MAXIFS('Injection Sales'!$A$2:$A$501,'Injection Sales'!$B$2:$B$501,A104),_xlfn.MAXIFS('Protein Sales'!$A$2:$A$501,'Protein Sales'!$B$2:$B$501,A104),_xlfn.MAXIFS('Diet Support'!$A$2:$A$501,'Diet Support'!$B$2:$B$501,A104)))</f>
        <v/>
      </c>
      <c r="E104" s="19" t="str">
        <f aca="false">IF(A104="","",COUNTIF('Injection Sales'!$B$2:$B$501,A104)+COUNTIF('Protein Sales'!$B$2:$B$501,A104)+COUNTIF('Diet Support'!$B$2:$B$501,A104))</f>
        <v/>
      </c>
      <c r="F104" s="20" t="str">
        <f aca="false">IF(A104="","",SUMIF('Injection Sales'!$B$2:$B$501,A104,'Injection Sales'!$G$2:$G$501)+SUMIF('Protein Sales'!$B$2:$B$501,A104,'Protein Sales'!$F$2:$F$501)+SUMIF('Diet Support'!$B$2:$B$501,A104,'Diet Support'!$E$2:$E$501))</f>
        <v/>
      </c>
      <c r="G104" s="21" t="str">
        <f aca="false">IF(OR(A104="",COUNTIF('Injection Sales'!$B$2:$B$501,A104)=0),"",IFERROR(LOOKUP(2,1/(('Injection Sales'!$B$2:$B$501=A104)*('Injection Sales'!$A$2:$A$501=_xlfn.MAXIFS('Injection Sales'!$A$2:$A$501,'Injection Sales'!$B$2:$B$501,A104))),'Injection Sales'!$E$2:$E$501),""))</f>
        <v/>
      </c>
      <c r="H104" s="21" t="str">
        <f aca="false">IF(OR(A104="",COUNTIF('Injection Sales'!$B$2:$B$501,A104)=0),"",IFERROR(LOOKUP(2,1/(('Injection Sales'!$B$2:$B$501=A104)*('Injection Sales'!$A$2:$A$501=_xlfn.MAXIFS('Injection Sales'!$A$2:$A$501,'Injection Sales'!$B$2:$B$501,A104))),'Injection Sales'!$H$2:$H$501),""))</f>
        <v/>
      </c>
      <c r="I104" s="21" t="str">
        <f aca="true">IF(OR(A104="",D104=""),"",IF(TODAY()-D104&lt;=Settings!$B$7,"Active","Inactive"))</f>
        <v/>
      </c>
    </row>
    <row r="105" customFormat="false" ht="15" hidden="false" customHeight="false" outlineLevel="0" collapsed="false">
      <c r="A105" s="1"/>
      <c r="B105" s="22"/>
      <c r="C105" s="18" t="str">
        <f aca="false">IF(OR(A105="",COUNTIF('Injection Sales'!$B$2:$B$501,A105)+COUNTIF('Protein Sales'!$B$2:$B$501,A105)+COUNTIF('Diet Support'!$B$2:$B$501,A105)=0),"",MIN(IF(COUNTIF('Injection Sales'!$B$2:$B$501,A105),_xlfn.MINIFS('Injection Sales'!$A$2:$A$501,'Injection Sales'!$B$2:$B$501,A105),99999),IF(COUNTIF('Protein Sales'!$B$2:$B$501,A105),_xlfn.MINIFS('Protein Sales'!$A$2:$A$501,'Protein Sales'!$B$2:$B$501,A105),99999),IF(COUNTIF('Diet Support'!$B$2:$B$501,A105),_xlfn.MINIFS('Diet Support'!$A$2:$A$501,'Diet Support'!$B$2:$B$501,A105),99999)))</f>
        <v/>
      </c>
      <c r="D105" s="18" t="str">
        <f aca="false">IF(OR(A105="",COUNTIF('Injection Sales'!$B$2:$B$501,A105)+COUNTIF('Protein Sales'!$B$2:$B$501,A105)+COUNTIF('Diet Support'!$B$2:$B$501,A105)=0),"",MAX(_xlfn.MAXIFS('Injection Sales'!$A$2:$A$501,'Injection Sales'!$B$2:$B$501,A105),_xlfn.MAXIFS('Protein Sales'!$A$2:$A$501,'Protein Sales'!$B$2:$B$501,A105),_xlfn.MAXIFS('Diet Support'!$A$2:$A$501,'Diet Support'!$B$2:$B$501,A105)))</f>
        <v/>
      </c>
      <c r="E105" s="19" t="str">
        <f aca="false">IF(A105="","",COUNTIF('Injection Sales'!$B$2:$B$501,A105)+COUNTIF('Protein Sales'!$B$2:$B$501,A105)+COUNTIF('Diet Support'!$B$2:$B$501,A105))</f>
        <v/>
      </c>
      <c r="F105" s="20" t="str">
        <f aca="false">IF(A105="","",SUMIF('Injection Sales'!$B$2:$B$501,A105,'Injection Sales'!$G$2:$G$501)+SUMIF('Protein Sales'!$B$2:$B$501,A105,'Protein Sales'!$F$2:$F$501)+SUMIF('Diet Support'!$B$2:$B$501,A105,'Diet Support'!$E$2:$E$501))</f>
        <v/>
      </c>
      <c r="G105" s="21" t="str">
        <f aca="false">IF(OR(A105="",COUNTIF('Injection Sales'!$B$2:$B$501,A105)=0),"",IFERROR(LOOKUP(2,1/(('Injection Sales'!$B$2:$B$501=A105)*('Injection Sales'!$A$2:$A$501=_xlfn.MAXIFS('Injection Sales'!$A$2:$A$501,'Injection Sales'!$B$2:$B$501,A105))),'Injection Sales'!$E$2:$E$501),""))</f>
        <v/>
      </c>
      <c r="H105" s="21" t="str">
        <f aca="false">IF(OR(A105="",COUNTIF('Injection Sales'!$B$2:$B$501,A105)=0),"",IFERROR(LOOKUP(2,1/(('Injection Sales'!$B$2:$B$501=A105)*('Injection Sales'!$A$2:$A$501=_xlfn.MAXIFS('Injection Sales'!$A$2:$A$501,'Injection Sales'!$B$2:$B$501,A105))),'Injection Sales'!$H$2:$H$501),""))</f>
        <v/>
      </c>
      <c r="I105" s="21" t="str">
        <f aca="true">IF(OR(A105="",D105=""),"",IF(TODAY()-D105&lt;=Settings!$B$7,"Active","Inactive"))</f>
        <v/>
      </c>
    </row>
    <row r="106" customFormat="false" ht="15" hidden="false" customHeight="false" outlineLevel="0" collapsed="false">
      <c r="A106" s="1"/>
      <c r="B106" s="22"/>
      <c r="C106" s="18" t="str">
        <f aca="false">IF(OR(A106="",COUNTIF('Injection Sales'!$B$2:$B$501,A106)+COUNTIF('Protein Sales'!$B$2:$B$501,A106)+COUNTIF('Diet Support'!$B$2:$B$501,A106)=0),"",MIN(IF(COUNTIF('Injection Sales'!$B$2:$B$501,A106),_xlfn.MINIFS('Injection Sales'!$A$2:$A$501,'Injection Sales'!$B$2:$B$501,A106),99999),IF(COUNTIF('Protein Sales'!$B$2:$B$501,A106),_xlfn.MINIFS('Protein Sales'!$A$2:$A$501,'Protein Sales'!$B$2:$B$501,A106),99999),IF(COUNTIF('Diet Support'!$B$2:$B$501,A106),_xlfn.MINIFS('Diet Support'!$A$2:$A$501,'Diet Support'!$B$2:$B$501,A106),99999)))</f>
        <v/>
      </c>
      <c r="D106" s="18" t="str">
        <f aca="false">IF(OR(A106="",COUNTIF('Injection Sales'!$B$2:$B$501,A106)+COUNTIF('Protein Sales'!$B$2:$B$501,A106)+COUNTIF('Diet Support'!$B$2:$B$501,A106)=0),"",MAX(_xlfn.MAXIFS('Injection Sales'!$A$2:$A$501,'Injection Sales'!$B$2:$B$501,A106),_xlfn.MAXIFS('Protein Sales'!$A$2:$A$501,'Protein Sales'!$B$2:$B$501,A106),_xlfn.MAXIFS('Diet Support'!$A$2:$A$501,'Diet Support'!$B$2:$B$501,A106)))</f>
        <v/>
      </c>
      <c r="E106" s="19" t="str">
        <f aca="false">IF(A106="","",COUNTIF('Injection Sales'!$B$2:$B$501,A106)+COUNTIF('Protein Sales'!$B$2:$B$501,A106)+COUNTIF('Diet Support'!$B$2:$B$501,A106))</f>
        <v/>
      </c>
      <c r="F106" s="20" t="str">
        <f aca="false">IF(A106="","",SUMIF('Injection Sales'!$B$2:$B$501,A106,'Injection Sales'!$G$2:$G$501)+SUMIF('Protein Sales'!$B$2:$B$501,A106,'Protein Sales'!$F$2:$F$501)+SUMIF('Diet Support'!$B$2:$B$501,A106,'Diet Support'!$E$2:$E$501))</f>
        <v/>
      </c>
      <c r="G106" s="21" t="str">
        <f aca="false">IF(OR(A106="",COUNTIF('Injection Sales'!$B$2:$B$501,A106)=0),"",IFERROR(LOOKUP(2,1/(('Injection Sales'!$B$2:$B$501=A106)*('Injection Sales'!$A$2:$A$501=_xlfn.MAXIFS('Injection Sales'!$A$2:$A$501,'Injection Sales'!$B$2:$B$501,A106))),'Injection Sales'!$E$2:$E$501),""))</f>
        <v/>
      </c>
      <c r="H106" s="21" t="str">
        <f aca="false">IF(OR(A106="",COUNTIF('Injection Sales'!$B$2:$B$501,A106)=0),"",IFERROR(LOOKUP(2,1/(('Injection Sales'!$B$2:$B$501=A106)*('Injection Sales'!$A$2:$A$501=_xlfn.MAXIFS('Injection Sales'!$A$2:$A$501,'Injection Sales'!$B$2:$B$501,A106))),'Injection Sales'!$H$2:$H$501),""))</f>
        <v/>
      </c>
      <c r="I106" s="21" t="str">
        <f aca="true">IF(OR(A106="",D106=""),"",IF(TODAY()-D106&lt;=Settings!$B$7,"Active","Inactive"))</f>
        <v/>
      </c>
    </row>
    <row r="107" customFormat="false" ht="15" hidden="false" customHeight="false" outlineLevel="0" collapsed="false">
      <c r="A107" s="1"/>
      <c r="B107" s="22"/>
      <c r="C107" s="18" t="str">
        <f aca="false">IF(OR(A107="",COUNTIF('Injection Sales'!$B$2:$B$501,A107)+COUNTIF('Protein Sales'!$B$2:$B$501,A107)+COUNTIF('Diet Support'!$B$2:$B$501,A107)=0),"",MIN(IF(COUNTIF('Injection Sales'!$B$2:$B$501,A107),_xlfn.MINIFS('Injection Sales'!$A$2:$A$501,'Injection Sales'!$B$2:$B$501,A107),99999),IF(COUNTIF('Protein Sales'!$B$2:$B$501,A107),_xlfn.MINIFS('Protein Sales'!$A$2:$A$501,'Protein Sales'!$B$2:$B$501,A107),99999),IF(COUNTIF('Diet Support'!$B$2:$B$501,A107),_xlfn.MINIFS('Diet Support'!$A$2:$A$501,'Diet Support'!$B$2:$B$501,A107),99999)))</f>
        <v/>
      </c>
      <c r="D107" s="18" t="str">
        <f aca="false">IF(OR(A107="",COUNTIF('Injection Sales'!$B$2:$B$501,A107)+COUNTIF('Protein Sales'!$B$2:$B$501,A107)+COUNTIF('Diet Support'!$B$2:$B$501,A107)=0),"",MAX(_xlfn.MAXIFS('Injection Sales'!$A$2:$A$501,'Injection Sales'!$B$2:$B$501,A107),_xlfn.MAXIFS('Protein Sales'!$A$2:$A$501,'Protein Sales'!$B$2:$B$501,A107),_xlfn.MAXIFS('Diet Support'!$A$2:$A$501,'Diet Support'!$B$2:$B$501,A107)))</f>
        <v/>
      </c>
      <c r="E107" s="19" t="str">
        <f aca="false">IF(A107="","",COUNTIF('Injection Sales'!$B$2:$B$501,A107)+COUNTIF('Protein Sales'!$B$2:$B$501,A107)+COUNTIF('Diet Support'!$B$2:$B$501,A107))</f>
        <v/>
      </c>
      <c r="F107" s="20" t="str">
        <f aca="false">IF(A107="","",SUMIF('Injection Sales'!$B$2:$B$501,A107,'Injection Sales'!$G$2:$G$501)+SUMIF('Protein Sales'!$B$2:$B$501,A107,'Protein Sales'!$F$2:$F$501)+SUMIF('Diet Support'!$B$2:$B$501,A107,'Diet Support'!$E$2:$E$501))</f>
        <v/>
      </c>
      <c r="G107" s="21" t="str">
        <f aca="false">IF(OR(A107="",COUNTIF('Injection Sales'!$B$2:$B$501,A107)=0),"",IFERROR(LOOKUP(2,1/(('Injection Sales'!$B$2:$B$501=A107)*('Injection Sales'!$A$2:$A$501=_xlfn.MAXIFS('Injection Sales'!$A$2:$A$501,'Injection Sales'!$B$2:$B$501,A107))),'Injection Sales'!$E$2:$E$501),""))</f>
        <v/>
      </c>
      <c r="H107" s="21" t="str">
        <f aca="false">IF(OR(A107="",COUNTIF('Injection Sales'!$B$2:$B$501,A107)=0),"",IFERROR(LOOKUP(2,1/(('Injection Sales'!$B$2:$B$501=A107)*('Injection Sales'!$A$2:$A$501=_xlfn.MAXIFS('Injection Sales'!$A$2:$A$501,'Injection Sales'!$B$2:$B$501,A107))),'Injection Sales'!$H$2:$H$501),""))</f>
        <v/>
      </c>
      <c r="I107" s="21" t="str">
        <f aca="true">IF(OR(A107="",D107=""),"",IF(TODAY()-D107&lt;=Settings!$B$7,"Active","Inactive"))</f>
        <v/>
      </c>
    </row>
    <row r="108" customFormat="false" ht="15" hidden="false" customHeight="false" outlineLevel="0" collapsed="false">
      <c r="A108" s="1"/>
      <c r="B108" s="22"/>
      <c r="C108" s="18" t="str">
        <f aca="false">IF(OR(A108="",COUNTIF('Injection Sales'!$B$2:$B$501,A108)+COUNTIF('Protein Sales'!$B$2:$B$501,A108)+COUNTIF('Diet Support'!$B$2:$B$501,A108)=0),"",MIN(IF(COUNTIF('Injection Sales'!$B$2:$B$501,A108),_xlfn.MINIFS('Injection Sales'!$A$2:$A$501,'Injection Sales'!$B$2:$B$501,A108),99999),IF(COUNTIF('Protein Sales'!$B$2:$B$501,A108),_xlfn.MINIFS('Protein Sales'!$A$2:$A$501,'Protein Sales'!$B$2:$B$501,A108),99999),IF(COUNTIF('Diet Support'!$B$2:$B$501,A108),_xlfn.MINIFS('Diet Support'!$A$2:$A$501,'Diet Support'!$B$2:$B$501,A108),99999)))</f>
        <v/>
      </c>
      <c r="D108" s="18" t="str">
        <f aca="false">IF(OR(A108="",COUNTIF('Injection Sales'!$B$2:$B$501,A108)+COUNTIF('Protein Sales'!$B$2:$B$501,A108)+COUNTIF('Diet Support'!$B$2:$B$501,A108)=0),"",MAX(_xlfn.MAXIFS('Injection Sales'!$A$2:$A$501,'Injection Sales'!$B$2:$B$501,A108),_xlfn.MAXIFS('Protein Sales'!$A$2:$A$501,'Protein Sales'!$B$2:$B$501,A108),_xlfn.MAXIFS('Diet Support'!$A$2:$A$501,'Diet Support'!$B$2:$B$501,A108)))</f>
        <v/>
      </c>
      <c r="E108" s="19" t="str">
        <f aca="false">IF(A108="","",COUNTIF('Injection Sales'!$B$2:$B$501,A108)+COUNTIF('Protein Sales'!$B$2:$B$501,A108)+COUNTIF('Diet Support'!$B$2:$B$501,A108))</f>
        <v/>
      </c>
      <c r="F108" s="20" t="str">
        <f aca="false">IF(A108="","",SUMIF('Injection Sales'!$B$2:$B$501,A108,'Injection Sales'!$G$2:$G$501)+SUMIF('Protein Sales'!$B$2:$B$501,A108,'Protein Sales'!$F$2:$F$501)+SUMIF('Diet Support'!$B$2:$B$501,A108,'Diet Support'!$E$2:$E$501))</f>
        <v/>
      </c>
      <c r="G108" s="21" t="str">
        <f aca="false">IF(OR(A108="",COUNTIF('Injection Sales'!$B$2:$B$501,A108)=0),"",IFERROR(LOOKUP(2,1/(('Injection Sales'!$B$2:$B$501=A108)*('Injection Sales'!$A$2:$A$501=_xlfn.MAXIFS('Injection Sales'!$A$2:$A$501,'Injection Sales'!$B$2:$B$501,A108))),'Injection Sales'!$E$2:$E$501),""))</f>
        <v/>
      </c>
      <c r="H108" s="21" t="str">
        <f aca="false">IF(OR(A108="",COUNTIF('Injection Sales'!$B$2:$B$501,A108)=0),"",IFERROR(LOOKUP(2,1/(('Injection Sales'!$B$2:$B$501=A108)*('Injection Sales'!$A$2:$A$501=_xlfn.MAXIFS('Injection Sales'!$A$2:$A$501,'Injection Sales'!$B$2:$B$501,A108))),'Injection Sales'!$H$2:$H$501),""))</f>
        <v/>
      </c>
      <c r="I108" s="21" t="str">
        <f aca="true">IF(OR(A108="",D108=""),"",IF(TODAY()-D108&lt;=Settings!$B$7,"Active","Inactive"))</f>
        <v/>
      </c>
    </row>
    <row r="109" customFormat="false" ht="15" hidden="false" customHeight="false" outlineLevel="0" collapsed="false">
      <c r="A109" s="1"/>
      <c r="B109" s="22"/>
      <c r="C109" s="18" t="str">
        <f aca="false">IF(OR(A109="",COUNTIF('Injection Sales'!$B$2:$B$501,A109)+COUNTIF('Protein Sales'!$B$2:$B$501,A109)+COUNTIF('Diet Support'!$B$2:$B$501,A109)=0),"",MIN(IF(COUNTIF('Injection Sales'!$B$2:$B$501,A109),_xlfn.MINIFS('Injection Sales'!$A$2:$A$501,'Injection Sales'!$B$2:$B$501,A109),99999),IF(COUNTIF('Protein Sales'!$B$2:$B$501,A109),_xlfn.MINIFS('Protein Sales'!$A$2:$A$501,'Protein Sales'!$B$2:$B$501,A109),99999),IF(COUNTIF('Diet Support'!$B$2:$B$501,A109),_xlfn.MINIFS('Diet Support'!$A$2:$A$501,'Diet Support'!$B$2:$B$501,A109),99999)))</f>
        <v/>
      </c>
      <c r="D109" s="18" t="str">
        <f aca="false">IF(OR(A109="",COUNTIF('Injection Sales'!$B$2:$B$501,A109)+COUNTIF('Protein Sales'!$B$2:$B$501,A109)+COUNTIF('Diet Support'!$B$2:$B$501,A109)=0),"",MAX(_xlfn.MAXIFS('Injection Sales'!$A$2:$A$501,'Injection Sales'!$B$2:$B$501,A109),_xlfn.MAXIFS('Protein Sales'!$A$2:$A$501,'Protein Sales'!$B$2:$B$501,A109),_xlfn.MAXIFS('Diet Support'!$A$2:$A$501,'Diet Support'!$B$2:$B$501,A109)))</f>
        <v/>
      </c>
      <c r="E109" s="19" t="str">
        <f aca="false">IF(A109="","",COUNTIF('Injection Sales'!$B$2:$B$501,A109)+COUNTIF('Protein Sales'!$B$2:$B$501,A109)+COUNTIF('Diet Support'!$B$2:$B$501,A109))</f>
        <v/>
      </c>
      <c r="F109" s="20" t="str">
        <f aca="false">IF(A109="","",SUMIF('Injection Sales'!$B$2:$B$501,A109,'Injection Sales'!$G$2:$G$501)+SUMIF('Protein Sales'!$B$2:$B$501,A109,'Protein Sales'!$F$2:$F$501)+SUMIF('Diet Support'!$B$2:$B$501,A109,'Diet Support'!$E$2:$E$501))</f>
        <v/>
      </c>
      <c r="G109" s="21" t="str">
        <f aca="false">IF(OR(A109="",COUNTIF('Injection Sales'!$B$2:$B$501,A109)=0),"",IFERROR(LOOKUP(2,1/(('Injection Sales'!$B$2:$B$501=A109)*('Injection Sales'!$A$2:$A$501=_xlfn.MAXIFS('Injection Sales'!$A$2:$A$501,'Injection Sales'!$B$2:$B$501,A109))),'Injection Sales'!$E$2:$E$501),""))</f>
        <v/>
      </c>
      <c r="H109" s="21" t="str">
        <f aca="false">IF(OR(A109="",COUNTIF('Injection Sales'!$B$2:$B$501,A109)=0),"",IFERROR(LOOKUP(2,1/(('Injection Sales'!$B$2:$B$501=A109)*('Injection Sales'!$A$2:$A$501=_xlfn.MAXIFS('Injection Sales'!$A$2:$A$501,'Injection Sales'!$B$2:$B$501,A109))),'Injection Sales'!$H$2:$H$501),""))</f>
        <v/>
      </c>
      <c r="I109" s="21" t="str">
        <f aca="true">IF(OR(A109="",D109=""),"",IF(TODAY()-D109&lt;=Settings!$B$7,"Active","Inactive"))</f>
        <v/>
      </c>
    </row>
    <row r="110" customFormat="false" ht="15" hidden="false" customHeight="false" outlineLevel="0" collapsed="false">
      <c r="A110" s="1"/>
      <c r="B110" s="22"/>
      <c r="C110" s="18" t="str">
        <f aca="false">IF(OR(A110="",COUNTIF('Injection Sales'!$B$2:$B$501,A110)+COUNTIF('Protein Sales'!$B$2:$B$501,A110)+COUNTIF('Diet Support'!$B$2:$B$501,A110)=0),"",MIN(IF(COUNTIF('Injection Sales'!$B$2:$B$501,A110),_xlfn.MINIFS('Injection Sales'!$A$2:$A$501,'Injection Sales'!$B$2:$B$501,A110),99999),IF(COUNTIF('Protein Sales'!$B$2:$B$501,A110),_xlfn.MINIFS('Protein Sales'!$A$2:$A$501,'Protein Sales'!$B$2:$B$501,A110),99999),IF(COUNTIF('Diet Support'!$B$2:$B$501,A110),_xlfn.MINIFS('Diet Support'!$A$2:$A$501,'Diet Support'!$B$2:$B$501,A110),99999)))</f>
        <v/>
      </c>
      <c r="D110" s="18" t="str">
        <f aca="false">IF(OR(A110="",COUNTIF('Injection Sales'!$B$2:$B$501,A110)+COUNTIF('Protein Sales'!$B$2:$B$501,A110)+COUNTIF('Diet Support'!$B$2:$B$501,A110)=0),"",MAX(_xlfn.MAXIFS('Injection Sales'!$A$2:$A$501,'Injection Sales'!$B$2:$B$501,A110),_xlfn.MAXIFS('Protein Sales'!$A$2:$A$501,'Protein Sales'!$B$2:$B$501,A110),_xlfn.MAXIFS('Diet Support'!$A$2:$A$501,'Diet Support'!$B$2:$B$501,A110)))</f>
        <v/>
      </c>
      <c r="E110" s="19" t="str">
        <f aca="false">IF(A110="","",COUNTIF('Injection Sales'!$B$2:$B$501,A110)+COUNTIF('Protein Sales'!$B$2:$B$501,A110)+COUNTIF('Diet Support'!$B$2:$B$501,A110))</f>
        <v/>
      </c>
      <c r="F110" s="20" t="str">
        <f aca="false">IF(A110="","",SUMIF('Injection Sales'!$B$2:$B$501,A110,'Injection Sales'!$G$2:$G$501)+SUMIF('Protein Sales'!$B$2:$B$501,A110,'Protein Sales'!$F$2:$F$501)+SUMIF('Diet Support'!$B$2:$B$501,A110,'Diet Support'!$E$2:$E$501))</f>
        <v/>
      </c>
      <c r="G110" s="21" t="str">
        <f aca="false">IF(OR(A110="",COUNTIF('Injection Sales'!$B$2:$B$501,A110)=0),"",IFERROR(LOOKUP(2,1/(('Injection Sales'!$B$2:$B$501=A110)*('Injection Sales'!$A$2:$A$501=_xlfn.MAXIFS('Injection Sales'!$A$2:$A$501,'Injection Sales'!$B$2:$B$501,A110))),'Injection Sales'!$E$2:$E$501),""))</f>
        <v/>
      </c>
      <c r="H110" s="21" t="str">
        <f aca="false">IF(OR(A110="",COUNTIF('Injection Sales'!$B$2:$B$501,A110)=0),"",IFERROR(LOOKUP(2,1/(('Injection Sales'!$B$2:$B$501=A110)*('Injection Sales'!$A$2:$A$501=_xlfn.MAXIFS('Injection Sales'!$A$2:$A$501,'Injection Sales'!$B$2:$B$501,A110))),'Injection Sales'!$H$2:$H$501),""))</f>
        <v/>
      </c>
      <c r="I110" s="21" t="str">
        <f aca="true">IF(OR(A110="",D110=""),"",IF(TODAY()-D110&lt;=Settings!$B$7,"Active","Inactive"))</f>
        <v/>
      </c>
    </row>
    <row r="111" customFormat="false" ht="15" hidden="false" customHeight="false" outlineLevel="0" collapsed="false">
      <c r="A111" s="1"/>
      <c r="B111" s="22"/>
      <c r="C111" s="18" t="str">
        <f aca="false">IF(OR(A111="",COUNTIF('Injection Sales'!$B$2:$B$501,A111)+COUNTIF('Protein Sales'!$B$2:$B$501,A111)+COUNTIF('Diet Support'!$B$2:$B$501,A111)=0),"",MIN(IF(COUNTIF('Injection Sales'!$B$2:$B$501,A111),_xlfn.MINIFS('Injection Sales'!$A$2:$A$501,'Injection Sales'!$B$2:$B$501,A111),99999),IF(COUNTIF('Protein Sales'!$B$2:$B$501,A111),_xlfn.MINIFS('Protein Sales'!$A$2:$A$501,'Protein Sales'!$B$2:$B$501,A111),99999),IF(COUNTIF('Diet Support'!$B$2:$B$501,A111),_xlfn.MINIFS('Diet Support'!$A$2:$A$501,'Diet Support'!$B$2:$B$501,A111),99999)))</f>
        <v/>
      </c>
      <c r="D111" s="18" t="str">
        <f aca="false">IF(OR(A111="",COUNTIF('Injection Sales'!$B$2:$B$501,A111)+COUNTIF('Protein Sales'!$B$2:$B$501,A111)+COUNTIF('Diet Support'!$B$2:$B$501,A111)=0),"",MAX(_xlfn.MAXIFS('Injection Sales'!$A$2:$A$501,'Injection Sales'!$B$2:$B$501,A111),_xlfn.MAXIFS('Protein Sales'!$A$2:$A$501,'Protein Sales'!$B$2:$B$501,A111),_xlfn.MAXIFS('Diet Support'!$A$2:$A$501,'Diet Support'!$B$2:$B$501,A111)))</f>
        <v/>
      </c>
      <c r="E111" s="19" t="str">
        <f aca="false">IF(A111="","",COUNTIF('Injection Sales'!$B$2:$B$501,A111)+COUNTIF('Protein Sales'!$B$2:$B$501,A111)+COUNTIF('Diet Support'!$B$2:$B$501,A111))</f>
        <v/>
      </c>
      <c r="F111" s="20" t="str">
        <f aca="false">IF(A111="","",SUMIF('Injection Sales'!$B$2:$B$501,A111,'Injection Sales'!$G$2:$G$501)+SUMIF('Protein Sales'!$B$2:$B$501,A111,'Protein Sales'!$F$2:$F$501)+SUMIF('Diet Support'!$B$2:$B$501,A111,'Diet Support'!$E$2:$E$501))</f>
        <v/>
      </c>
      <c r="G111" s="21" t="str">
        <f aca="false">IF(OR(A111="",COUNTIF('Injection Sales'!$B$2:$B$501,A111)=0),"",IFERROR(LOOKUP(2,1/(('Injection Sales'!$B$2:$B$501=A111)*('Injection Sales'!$A$2:$A$501=_xlfn.MAXIFS('Injection Sales'!$A$2:$A$501,'Injection Sales'!$B$2:$B$501,A111))),'Injection Sales'!$E$2:$E$501),""))</f>
        <v/>
      </c>
      <c r="H111" s="21" t="str">
        <f aca="false">IF(OR(A111="",COUNTIF('Injection Sales'!$B$2:$B$501,A111)=0),"",IFERROR(LOOKUP(2,1/(('Injection Sales'!$B$2:$B$501=A111)*('Injection Sales'!$A$2:$A$501=_xlfn.MAXIFS('Injection Sales'!$A$2:$A$501,'Injection Sales'!$B$2:$B$501,A111))),'Injection Sales'!$H$2:$H$501),""))</f>
        <v/>
      </c>
      <c r="I111" s="21" t="str">
        <f aca="true">IF(OR(A111="",D111=""),"",IF(TODAY()-D111&lt;=Settings!$B$7,"Active","Inactive"))</f>
        <v/>
      </c>
    </row>
    <row r="112" customFormat="false" ht="15" hidden="false" customHeight="false" outlineLevel="0" collapsed="false">
      <c r="A112" s="1"/>
      <c r="B112" s="22"/>
      <c r="C112" s="18" t="str">
        <f aca="false">IF(OR(A112="",COUNTIF('Injection Sales'!$B$2:$B$501,A112)+COUNTIF('Protein Sales'!$B$2:$B$501,A112)+COUNTIF('Diet Support'!$B$2:$B$501,A112)=0),"",MIN(IF(COUNTIF('Injection Sales'!$B$2:$B$501,A112),_xlfn.MINIFS('Injection Sales'!$A$2:$A$501,'Injection Sales'!$B$2:$B$501,A112),99999),IF(COUNTIF('Protein Sales'!$B$2:$B$501,A112),_xlfn.MINIFS('Protein Sales'!$A$2:$A$501,'Protein Sales'!$B$2:$B$501,A112),99999),IF(COUNTIF('Diet Support'!$B$2:$B$501,A112),_xlfn.MINIFS('Diet Support'!$A$2:$A$501,'Diet Support'!$B$2:$B$501,A112),99999)))</f>
        <v/>
      </c>
      <c r="D112" s="18" t="str">
        <f aca="false">IF(OR(A112="",COUNTIF('Injection Sales'!$B$2:$B$501,A112)+COUNTIF('Protein Sales'!$B$2:$B$501,A112)+COUNTIF('Diet Support'!$B$2:$B$501,A112)=0),"",MAX(_xlfn.MAXIFS('Injection Sales'!$A$2:$A$501,'Injection Sales'!$B$2:$B$501,A112),_xlfn.MAXIFS('Protein Sales'!$A$2:$A$501,'Protein Sales'!$B$2:$B$501,A112),_xlfn.MAXIFS('Diet Support'!$A$2:$A$501,'Diet Support'!$B$2:$B$501,A112)))</f>
        <v/>
      </c>
      <c r="E112" s="19" t="str">
        <f aca="false">IF(A112="","",COUNTIF('Injection Sales'!$B$2:$B$501,A112)+COUNTIF('Protein Sales'!$B$2:$B$501,A112)+COUNTIF('Diet Support'!$B$2:$B$501,A112))</f>
        <v/>
      </c>
      <c r="F112" s="20" t="str">
        <f aca="false">IF(A112="","",SUMIF('Injection Sales'!$B$2:$B$501,A112,'Injection Sales'!$G$2:$G$501)+SUMIF('Protein Sales'!$B$2:$B$501,A112,'Protein Sales'!$F$2:$F$501)+SUMIF('Diet Support'!$B$2:$B$501,A112,'Diet Support'!$E$2:$E$501))</f>
        <v/>
      </c>
      <c r="G112" s="21" t="str">
        <f aca="false">IF(OR(A112="",COUNTIF('Injection Sales'!$B$2:$B$501,A112)=0),"",IFERROR(LOOKUP(2,1/(('Injection Sales'!$B$2:$B$501=A112)*('Injection Sales'!$A$2:$A$501=_xlfn.MAXIFS('Injection Sales'!$A$2:$A$501,'Injection Sales'!$B$2:$B$501,A112))),'Injection Sales'!$E$2:$E$501),""))</f>
        <v/>
      </c>
      <c r="H112" s="21" t="str">
        <f aca="false">IF(OR(A112="",COUNTIF('Injection Sales'!$B$2:$B$501,A112)=0),"",IFERROR(LOOKUP(2,1/(('Injection Sales'!$B$2:$B$501=A112)*('Injection Sales'!$A$2:$A$501=_xlfn.MAXIFS('Injection Sales'!$A$2:$A$501,'Injection Sales'!$B$2:$B$501,A112))),'Injection Sales'!$H$2:$H$501),""))</f>
        <v/>
      </c>
      <c r="I112" s="21" t="str">
        <f aca="true">IF(OR(A112="",D112=""),"",IF(TODAY()-D112&lt;=Settings!$B$7,"Active","Inactive"))</f>
        <v/>
      </c>
    </row>
    <row r="113" customFormat="false" ht="15" hidden="false" customHeight="false" outlineLevel="0" collapsed="false">
      <c r="A113" s="1"/>
      <c r="B113" s="22"/>
      <c r="C113" s="18" t="str">
        <f aca="false">IF(OR(A113="",COUNTIF('Injection Sales'!$B$2:$B$501,A113)+COUNTIF('Protein Sales'!$B$2:$B$501,A113)+COUNTIF('Diet Support'!$B$2:$B$501,A113)=0),"",MIN(IF(COUNTIF('Injection Sales'!$B$2:$B$501,A113),_xlfn.MINIFS('Injection Sales'!$A$2:$A$501,'Injection Sales'!$B$2:$B$501,A113),99999),IF(COUNTIF('Protein Sales'!$B$2:$B$501,A113),_xlfn.MINIFS('Protein Sales'!$A$2:$A$501,'Protein Sales'!$B$2:$B$501,A113),99999),IF(COUNTIF('Diet Support'!$B$2:$B$501,A113),_xlfn.MINIFS('Diet Support'!$A$2:$A$501,'Diet Support'!$B$2:$B$501,A113),99999)))</f>
        <v/>
      </c>
      <c r="D113" s="18" t="str">
        <f aca="false">IF(OR(A113="",COUNTIF('Injection Sales'!$B$2:$B$501,A113)+COUNTIF('Protein Sales'!$B$2:$B$501,A113)+COUNTIF('Diet Support'!$B$2:$B$501,A113)=0),"",MAX(_xlfn.MAXIFS('Injection Sales'!$A$2:$A$501,'Injection Sales'!$B$2:$B$501,A113),_xlfn.MAXIFS('Protein Sales'!$A$2:$A$501,'Protein Sales'!$B$2:$B$501,A113),_xlfn.MAXIFS('Diet Support'!$A$2:$A$501,'Diet Support'!$B$2:$B$501,A113)))</f>
        <v/>
      </c>
      <c r="E113" s="19" t="str">
        <f aca="false">IF(A113="","",COUNTIF('Injection Sales'!$B$2:$B$501,A113)+COUNTIF('Protein Sales'!$B$2:$B$501,A113)+COUNTIF('Diet Support'!$B$2:$B$501,A113))</f>
        <v/>
      </c>
      <c r="F113" s="20" t="str">
        <f aca="false">IF(A113="","",SUMIF('Injection Sales'!$B$2:$B$501,A113,'Injection Sales'!$G$2:$G$501)+SUMIF('Protein Sales'!$B$2:$B$501,A113,'Protein Sales'!$F$2:$F$501)+SUMIF('Diet Support'!$B$2:$B$501,A113,'Diet Support'!$E$2:$E$501))</f>
        <v/>
      </c>
      <c r="G113" s="21" t="str">
        <f aca="false">IF(OR(A113="",COUNTIF('Injection Sales'!$B$2:$B$501,A113)=0),"",IFERROR(LOOKUP(2,1/(('Injection Sales'!$B$2:$B$501=A113)*('Injection Sales'!$A$2:$A$501=_xlfn.MAXIFS('Injection Sales'!$A$2:$A$501,'Injection Sales'!$B$2:$B$501,A113))),'Injection Sales'!$E$2:$E$501),""))</f>
        <v/>
      </c>
      <c r="H113" s="21" t="str">
        <f aca="false">IF(OR(A113="",COUNTIF('Injection Sales'!$B$2:$B$501,A113)=0),"",IFERROR(LOOKUP(2,1/(('Injection Sales'!$B$2:$B$501=A113)*('Injection Sales'!$A$2:$A$501=_xlfn.MAXIFS('Injection Sales'!$A$2:$A$501,'Injection Sales'!$B$2:$B$501,A113))),'Injection Sales'!$H$2:$H$501),""))</f>
        <v/>
      </c>
      <c r="I113" s="21" t="str">
        <f aca="true">IF(OR(A113="",D113=""),"",IF(TODAY()-D113&lt;=Settings!$B$7,"Active","Inactive"))</f>
        <v/>
      </c>
    </row>
    <row r="114" customFormat="false" ht="15" hidden="false" customHeight="false" outlineLevel="0" collapsed="false">
      <c r="A114" s="1"/>
      <c r="B114" s="22"/>
      <c r="C114" s="18" t="str">
        <f aca="false">IF(OR(A114="",COUNTIF('Injection Sales'!$B$2:$B$501,A114)+COUNTIF('Protein Sales'!$B$2:$B$501,A114)+COUNTIF('Diet Support'!$B$2:$B$501,A114)=0),"",MIN(IF(COUNTIF('Injection Sales'!$B$2:$B$501,A114),_xlfn.MINIFS('Injection Sales'!$A$2:$A$501,'Injection Sales'!$B$2:$B$501,A114),99999),IF(COUNTIF('Protein Sales'!$B$2:$B$501,A114),_xlfn.MINIFS('Protein Sales'!$A$2:$A$501,'Protein Sales'!$B$2:$B$501,A114),99999),IF(COUNTIF('Diet Support'!$B$2:$B$501,A114),_xlfn.MINIFS('Diet Support'!$A$2:$A$501,'Diet Support'!$B$2:$B$501,A114),99999)))</f>
        <v/>
      </c>
      <c r="D114" s="18" t="str">
        <f aca="false">IF(OR(A114="",COUNTIF('Injection Sales'!$B$2:$B$501,A114)+COUNTIF('Protein Sales'!$B$2:$B$501,A114)+COUNTIF('Diet Support'!$B$2:$B$501,A114)=0),"",MAX(_xlfn.MAXIFS('Injection Sales'!$A$2:$A$501,'Injection Sales'!$B$2:$B$501,A114),_xlfn.MAXIFS('Protein Sales'!$A$2:$A$501,'Protein Sales'!$B$2:$B$501,A114),_xlfn.MAXIFS('Diet Support'!$A$2:$A$501,'Diet Support'!$B$2:$B$501,A114)))</f>
        <v/>
      </c>
      <c r="E114" s="19" t="str">
        <f aca="false">IF(A114="","",COUNTIF('Injection Sales'!$B$2:$B$501,A114)+COUNTIF('Protein Sales'!$B$2:$B$501,A114)+COUNTIF('Diet Support'!$B$2:$B$501,A114))</f>
        <v/>
      </c>
      <c r="F114" s="20" t="str">
        <f aca="false">IF(A114="","",SUMIF('Injection Sales'!$B$2:$B$501,A114,'Injection Sales'!$G$2:$G$501)+SUMIF('Protein Sales'!$B$2:$B$501,A114,'Protein Sales'!$F$2:$F$501)+SUMIF('Diet Support'!$B$2:$B$501,A114,'Diet Support'!$E$2:$E$501))</f>
        <v/>
      </c>
      <c r="G114" s="21" t="str">
        <f aca="false">IF(OR(A114="",COUNTIF('Injection Sales'!$B$2:$B$501,A114)=0),"",IFERROR(LOOKUP(2,1/(('Injection Sales'!$B$2:$B$501=A114)*('Injection Sales'!$A$2:$A$501=_xlfn.MAXIFS('Injection Sales'!$A$2:$A$501,'Injection Sales'!$B$2:$B$501,A114))),'Injection Sales'!$E$2:$E$501),""))</f>
        <v/>
      </c>
      <c r="H114" s="21" t="str">
        <f aca="false">IF(OR(A114="",COUNTIF('Injection Sales'!$B$2:$B$501,A114)=0),"",IFERROR(LOOKUP(2,1/(('Injection Sales'!$B$2:$B$501=A114)*('Injection Sales'!$A$2:$A$501=_xlfn.MAXIFS('Injection Sales'!$A$2:$A$501,'Injection Sales'!$B$2:$B$501,A114))),'Injection Sales'!$H$2:$H$501),""))</f>
        <v/>
      </c>
      <c r="I114" s="21" t="str">
        <f aca="true">IF(OR(A114="",D114=""),"",IF(TODAY()-D114&lt;=Settings!$B$7,"Active","Inactive"))</f>
        <v/>
      </c>
    </row>
    <row r="115" customFormat="false" ht="15" hidden="false" customHeight="false" outlineLevel="0" collapsed="false">
      <c r="A115" s="1"/>
      <c r="B115" s="22"/>
      <c r="C115" s="18" t="str">
        <f aca="false">IF(OR(A115="",COUNTIF('Injection Sales'!$B$2:$B$501,A115)+COUNTIF('Protein Sales'!$B$2:$B$501,A115)+COUNTIF('Diet Support'!$B$2:$B$501,A115)=0),"",MIN(IF(COUNTIF('Injection Sales'!$B$2:$B$501,A115),_xlfn.MINIFS('Injection Sales'!$A$2:$A$501,'Injection Sales'!$B$2:$B$501,A115),99999),IF(COUNTIF('Protein Sales'!$B$2:$B$501,A115),_xlfn.MINIFS('Protein Sales'!$A$2:$A$501,'Protein Sales'!$B$2:$B$501,A115),99999),IF(COUNTIF('Diet Support'!$B$2:$B$501,A115),_xlfn.MINIFS('Diet Support'!$A$2:$A$501,'Diet Support'!$B$2:$B$501,A115),99999)))</f>
        <v/>
      </c>
      <c r="D115" s="18" t="str">
        <f aca="false">IF(OR(A115="",COUNTIF('Injection Sales'!$B$2:$B$501,A115)+COUNTIF('Protein Sales'!$B$2:$B$501,A115)+COUNTIF('Diet Support'!$B$2:$B$501,A115)=0),"",MAX(_xlfn.MAXIFS('Injection Sales'!$A$2:$A$501,'Injection Sales'!$B$2:$B$501,A115),_xlfn.MAXIFS('Protein Sales'!$A$2:$A$501,'Protein Sales'!$B$2:$B$501,A115),_xlfn.MAXIFS('Diet Support'!$A$2:$A$501,'Diet Support'!$B$2:$B$501,A115)))</f>
        <v/>
      </c>
      <c r="E115" s="19" t="str">
        <f aca="false">IF(A115="","",COUNTIF('Injection Sales'!$B$2:$B$501,A115)+COUNTIF('Protein Sales'!$B$2:$B$501,A115)+COUNTIF('Diet Support'!$B$2:$B$501,A115))</f>
        <v/>
      </c>
      <c r="F115" s="20" t="str">
        <f aca="false">IF(A115="","",SUMIF('Injection Sales'!$B$2:$B$501,A115,'Injection Sales'!$G$2:$G$501)+SUMIF('Protein Sales'!$B$2:$B$501,A115,'Protein Sales'!$F$2:$F$501)+SUMIF('Diet Support'!$B$2:$B$501,A115,'Diet Support'!$E$2:$E$501))</f>
        <v/>
      </c>
      <c r="G115" s="21" t="str">
        <f aca="false">IF(OR(A115="",COUNTIF('Injection Sales'!$B$2:$B$501,A115)=0),"",IFERROR(LOOKUP(2,1/(('Injection Sales'!$B$2:$B$501=A115)*('Injection Sales'!$A$2:$A$501=_xlfn.MAXIFS('Injection Sales'!$A$2:$A$501,'Injection Sales'!$B$2:$B$501,A115))),'Injection Sales'!$E$2:$E$501),""))</f>
        <v/>
      </c>
      <c r="H115" s="21" t="str">
        <f aca="false">IF(OR(A115="",COUNTIF('Injection Sales'!$B$2:$B$501,A115)=0),"",IFERROR(LOOKUP(2,1/(('Injection Sales'!$B$2:$B$501=A115)*('Injection Sales'!$A$2:$A$501=_xlfn.MAXIFS('Injection Sales'!$A$2:$A$501,'Injection Sales'!$B$2:$B$501,A115))),'Injection Sales'!$H$2:$H$501),""))</f>
        <v/>
      </c>
      <c r="I115" s="21" t="str">
        <f aca="true">IF(OR(A115="",D115=""),"",IF(TODAY()-D115&lt;=Settings!$B$7,"Active","Inactive"))</f>
        <v/>
      </c>
    </row>
    <row r="116" customFormat="false" ht="15" hidden="false" customHeight="false" outlineLevel="0" collapsed="false">
      <c r="A116" s="1"/>
      <c r="B116" s="22"/>
      <c r="C116" s="18" t="str">
        <f aca="false">IF(OR(A116="",COUNTIF('Injection Sales'!$B$2:$B$501,A116)+COUNTIF('Protein Sales'!$B$2:$B$501,A116)+COUNTIF('Diet Support'!$B$2:$B$501,A116)=0),"",MIN(IF(COUNTIF('Injection Sales'!$B$2:$B$501,A116),_xlfn.MINIFS('Injection Sales'!$A$2:$A$501,'Injection Sales'!$B$2:$B$501,A116),99999),IF(COUNTIF('Protein Sales'!$B$2:$B$501,A116),_xlfn.MINIFS('Protein Sales'!$A$2:$A$501,'Protein Sales'!$B$2:$B$501,A116),99999),IF(COUNTIF('Diet Support'!$B$2:$B$501,A116),_xlfn.MINIFS('Diet Support'!$A$2:$A$501,'Diet Support'!$B$2:$B$501,A116),99999)))</f>
        <v/>
      </c>
      <c r="D116" s="18" t="str">
        <f aca="false">IF(OR(A116="",COUNTIF('Injection Sales'!$B$2:$B$501,A116)+COUNTIF('Protein Sales'!$B$2:$B$501,A116)+COUNTIF('Diet Support'!$B$2:$B$501,A116)=0),"",MAX(_xlfn.MAXIFS('Injection Sales'!$A$2:$A$501,'Injection Sales'!$B$2:$B$501,A116),_xlfn.MAXIFS('Protein Sales'!$A$2:$A$501,'Protein Sales'!$B$2:$B$501,A116),_xlfn.MAXIFS('Diet Support'!$A$2:$A$501,'Diet Support'!$B$2:$B$501,A116)))</f>
        <v/>
      </c>
      <c r="E116" s="19" t="str">
        <f aca="false">IF(A116="","",COUNTIF('Injection Sales'!$B$2:$B$501,A116)+COUNTIF('Protein Sales'!$B$2:$B$501,A116)+COUNTIF('Diet Support'!$B$2:$B$501,A116))</f>
        <v/>
      </c>
      <c r="F116" s="20" t="str">
        <f aca="false">IF(A116="","",SUMIF('Injection Sales'!$B$2:$B$501,A116,'Injection Sales'!$G$2:$G$501)+SUMIF('Protein Sales'!$B$2:$B$501,A116,'Protein Sales'!$F$2:$F$501)+SUMIF('Diet Support'!$B$2:$B$501,A116,'Diet Support'!$E$2:$E$501))</f>
        <v/>
      </c>
      <c r="G116" s="21" t="str">
        <f aca="false">IF(OR(A116="",COUNTIF('Injection Sales'!$B$2:$B$501,A116)=0),"",IFERROR(LOOKUP(2,1/(('Injection Sales'!$B$2:$B$501=A116)*('Injection Sales'!$A$2:$A$501=_xlfn.MAXIFS('Injection Sales'!$A$2:$A$501,'Injection Sales'!$B$2:$B$501,A116))),'Injection Sales'!$E$2:$E$501),""))</f>
        <v/>
      </c>
      <c r="H116" s="21" t="str">
        <f aca="false">IF(OR(A116="",COUNTIF('Injection Sales'!$B$2:$B$501,A116)=0),"",IFERROR(LOOKUP(2,1/(('Injection Sales'!$B$2:$B$501=A116)*('Injection Sales'!$A$2:$A$501=_xlfn.MAXIFS('Injection Sales'!$A$2:$A$501,'Injection Sales'!$B$2:$B$501,A116))),'Injection Sales'!$H$2:$H$501),""))</f>
        <v/>
      </c>
      <c r="I116" s="21" t="str">
        <f aca="true">IF(OR(A116="",D116=""),"",IF(TODAY()-D116&lt;=Settings!$B$7,"Active","Inactive"))</f>
        <v/>
      </c>
    </row>
    <row r="117" customFormat="false" ht="15" hidden="false" customHeight="false" outlineLevel="0" collapsed="false">
      <c r="A117" s="1"/>
      <c r="B117" s="22"/>
      <c r="C117" s="18" t="str">
        <f aca="false">IF(OR(A117="",COUNTIF('Injection Sales'!$B$2:$B$501,A117)+COUNTIF('Protein Sales'!$B$2:$B$501,A117)+COUNTIF('Diet Support'!$B$2:$B$501,A117)=0),"",MIN(IF(COUNTIF('Injection Sales'!$B$2:$B$501,A117),_xlfn.MINIFS('Injection Sales'!$A$2:$A$501,'Injection Sales'!$B$2:$B$501,A117),99999),IF(COUNTIF('Protein Sales'!$B$2:$B$501,A117),_xlfn.MINIFS('Protein Sales'!$A$2:$A$501,'Protein Sales'!$B$2:$B$501,A117),99999),IF(COUNTIF('Diet Support'!$B$2:$B$501,A117),_xlfn.MINIFS('Diet Support'!$A$2:$A$501,'Diet Support'!$B$2:$B$501,A117),99999)))</f>
        <v/>
      </c>
      <c r="D117" s="18" t="str">
        <f aca="false">IF(OR(A117="",COUNTIF('Injection Sales'!$B$2:$B$501,A117)+COUNTIF('Protein Sales'!$B$2:$B$501,A117)+COUNTIF('Diet Support'!$B$2:$B$501,A117)=0),"",MAX(_xlfn.MAXIFS('Injection Sales'!$A$2:$A$501,'Injection Sales'!$B$2:$B$501,A117),_xlfn.MAXIFS('Protein Sales'!$A$2:$A$501,'Protein Sales'!$B$2:$B$501,A117),_xlfn.MAXIFS('Diet Support'!$A$2:$A$501,'Diet Support'!$B$2:$B$501,A117)))</f>
        <v/>
      </c>
      <c r="E117" s="19" t="str">
        <f aca="false">IF(A117="","",COUNTIF('Injection Sales'!$B$2:$B$501,A117)+COUNTIF('Protein Sales'!$B$2:$B$501,A117)+COUNTIF('Diet Support'!$B$2:$B$501,A117))</f>
        <v/>
      </c>
      <c r="F117" s="20" t="str">
        <f aca="false">IF(A117="","",SUMIF('Injection Sales'!$B$2:$B$501,A117,'Injection Sales'!$G$2:$G$501)+SUMIF('Protein Sales'!$B$2:$B$501,A117,'Protein Sales'!$F$2:$F$501)+SUMIF('Diet Support'!$B$2:$B$501,A117,'Diet Support'!$E$2:$E$501))</f>
        <v/>
      </c>
      <c r="G117" s="21" t="str">
        <f aca="false">IF(OR(A117="",COUNTIF('Injection Sales'!$B$2:$B$501,A117)=0),"",IFERROR(LOOKUP(2,1/(('Injection Sales'!$B$2:$B$501=A117)*('Injection Sales'!$A$2:$A$501=_xlfn.MAXIFS('Injection Sales'!$A$2:$A$501,'Injection Sales'!$B$2:$B$501,A117))),'Injection Sales'!$E$2:$E$501),""))</f>
        <v/>
      </c>
      <c r="H117" s="21" t="str">
        <f aca="false">IF(OR(A117="",COUNTIF('Injection Sales'!$B$2:$B$501,A117)=0),"",IFERROR(LOOKUP(2,1/(('Injection Sales'!$B$2:$B$501=A117)*('Injection Sales'!$A$2:$A$501=_xlfn.MAXIFS('Injection Sales'!$A$2:$A$501,'Injection Sales'!$B$2:$B$501,A117))),'Injection Sales'!$H$2:$H$501),""))</f>
        <v/>
      </c>
      <c r="I117" s="21" t="str">
        <f aca="true">IF(OR(A117="",D117=""),"",IF(TODAY()-D117&lt;=Settings!$B$7,"Active","Inactive"))</f>
        <v/>
      </c>
    </row>
    <row r="118" customFormat="false" ht="15" hidden="false" customHeight="false" outlineLevel="0" collapsed="false">
      <c r="A118" s="1"/>
      <c r="B118" s="22"/>
      <c r="C118" s="18" t="str">
        <f aca="false">IF(OR(A118="",COUNTIF('Injection Sales'!$B$2:$B$501,A118)+COUNTIF('Protein Sales'!$B$2:$B$501,A118)+COUNTIF('Diet Support'!$B$2:$B$501,A118)=0),"",MIN(IF(COUNTIF('Injection Sales'!$B$2:$B$501,A118),_xlfn.MINIFS('Injection Sales'!$A$2:$A$501,'Injection Sales'!$B$2:$B$501,A118),99999),IF(COUNTIF('Protein Sales'!$B$2:$B$501,A118),_xlfn.MINIFS('Protein Sales'!$A$2:$A$501,'Protein Sales'!$B$2:$B$501,A118),99999),IF(COUNTIF('Diet Support'!$B$2:$B$501,A118),_xlfn.MINIFS('Diet Support'!$A$2:$A$501,'Diet Support'!$B$2:$B$501,A118),99999)))</f>
        <v/>
      </c>
      <c r="D118" s="18" t="str">
        <f aca="false">IF(OR(A118="",COUNTIF('Injection Sales'!$B$2:$B$501,A118)+COUNTIF('Protein Sales'!$B$2:$B$501,A118)+COUNTIF('Diet Support'!$B$2:$B$501,A118)=0),"",MAX(_xlfn.MAXIFS('Injection Sales'!$A$2:$A$501,'Injection Sales'!$B$2:$B$501,A118),_xlfn.MAXIFS('Protein Sales'!$A$2:$A$501,'Protein Sales'!$B$2:$B$501,A118),_xlfn.MAXIFS('Diet Support'!$A$2:$A$501,'Diet Support'!$B$2:$B$501,A118)))</f>
        <v/>
      </c>
      <c r="E118" s="19" t="str">
        <f aca="false">IF(A118="","",COUNTIF('Injection Sales'!$B$2:$B$501,A118)+COUNTIF('Protein Sales'!$B$2:$B$501,A118)+COUNTIF('Diet Support'!$B$2:$B$501,A118))</f>
        <v/>
      </c>
      <c r="F118" s="20" t="str">
        <f aca="false">IF(A118="","",SUMIF('Injection Sales'!$B$2:$B$501,A118,'Injection Sales'!$G$2:$G$501)+SUMIF('Protein Sales'!$B$2:$B$501,A118,'Protein Sales'!$F$2:$F$501)+SUMIF('Diet Support'!$B$2:$B$501,A118,'Diet Support'!$E$2:$E$501))</f>
        <v/>
      </c>
      <c r="G118" s="21" t="str">
        <f aca="false">IF(OR(A118="",COUNTIF('Injection Sales'!$B$2:$B$501,A118)=0),"",IFERROR(LOOKUP(2,1/(('Injection Sales'!$B$2:$B$501=A118)*('Injection Sales'!$A$2:$A$501=_xlfn.MAXIFS('Injection Sales'!$A$2:$A$501,'Injection Sales'!$B$2:$B$501,A118))),'Injection Sales'!$E$2:$E$501),""))</f>
        <v/>
      </c>
      <c r="H118" s="21" t="str">
        <f aca="false">IF(OR(A118="",COUNTIF('Injection Sales'!$B$2:$B$501,A118)=0),"",IFERROR(LOOKUP(2,1/(('Injection Sales'!$B$2:$B$501=A118)*('Injection Sales'!$A$2:$A$501=_xlfn.MAXIFS('Injection Sales'!$A$2:$A$501,'Injection Sales'!$B$2:$B$501,A118))),'Injection Sales'!$H$2:$H$501),""))</f>
        <v/>
      </c>
      <c r="I118" s="21" t="str">
        <f aca="true">IF(OR(A118="",D118=""),"",IF(TODAY()-D118&lt;=Settings!$B$7,"Active","Inactive"))</f>
        <v/>
      </c>
    </row>
    <row r="119" customFormat="false" ht="15" hidden="false" customHeight="false" outlineLevel="0" collapsed="false">
      <c r="A119" s="1"/>
      <c r="B119" s="22"/>
      <c r="C119" s="18" t="str">
        <f aca="false">IF(OR(A119="",COUNTIF('Injection Sales'!$B$2:$B$501,A119)+COUNTIF('Protein Sales'!$B$2:$B$501,A119)+COUNTIF('Diet Support'!$B$2:$B$501,A119)=0),"",MIN(IF(COUNTIF('Injection Sales'!$B$2:$B$501,A119),_xlfn.MINIFS('Injection Sales'!$A$2:$A$501,'Injection Sales'!$B$2:$B$501,A119),99999),IF(COUNTIF('Protein Sales'!$B$2:$B$501,A119),_xlfn.MINIFS('Protein Sales'!$A$2:$A$501,'Protein Sales'!$B$2:$B$501,A119),99999),IF(COUNTIF('Diet Support'!$B$2:$B$501,A119),_xlfn.MINIFS('Diet Support'!$A$2:$A$501,'Diet Support'!$B$2:$B$501,A119),99999)))</f>
        <v/>
      </c>
      <c r="D119" s="18" t="str">
        <f aca="false">IF(OR(A119="",COUNTIF('Injection Sales'!$B$2:$B$501,A119)+COUNTIF('Protein Sales'!$B$2:$B$501,A119)+COUNTIF('Diet Support'!$B$2:$B$501,A119)=0),"",MAX(_xlfn.MAXIFS('Injection Sales'!$A$2:$A$501,'Injection Sales'!$B$2:$B$501,A119),_xlfn.MAXIFS('Protein Sales'!$A$2:$A$501,'Protein Sales'!$B$2:$B$501,A119),_xlfn.MAXIFS('Diet Support'!$A$2:$A$501,'Diet Support'!$B$2:$B$501,A119)))</f>
        <v/>
      </c>
      <c r="E119" s="19" t="str">
        <f aca="false">IF(A119="","",COUNTIF('Injection Sales'!$B$2:$B$501,A119)+COUNTIF('Protein Sales'!$B$2:$B$501,A119)+COUNTIF('Diet Support'!$B$2:$B$501,A119))</f>
        <v/>
      </c>
      <c r="F119" s="20" t="str">
        <f aca="false">IF(A119="","",SUMIF('Injection Sales'!$B$2:$B$501,A119,'Injection Sales'!$G$2:$G$501)+SUMIF('Protein Sales'!$B$2:$B$501,A119,'Protein Sales'!$F$2:$F$501)+SUMIF('Diet Support'!$B$2:$B$501,A119,'Diet Support'!$E$2:$E$501))</f>
        <v/>
      </c>
      <c r="G119" s="21" t="str">
        <f aca="false">IF(OR(A119="",COUNTIF('Injection Sales'!$B$2:$B$501,A119)=0),"",IFERROR(LOOKUP(2,1/(('Injection Sales'!$B$2:$B$501=A119)*('Injection Sales'!$A$2:$A$501=_xlfn.MAXIFS('Injection Sales'!$A$2:$A$501,'Injection Sales'!$B$2:$B$501,A119))),'Injection Sales'!$E$2:$E$501),""))</f>
        <v/>
      </c>
      <c r="H119" s="21" t="str">
        <f aca="false">IF(OR(A119="",COUNTIF('Injection Sales'!$B$2:$B$501,A119)=0),"",IFERROR(LOOKUP(2,1/(('Injection Sales'!$B$2:$B$501=A119)*('Injection Sales'!$A$2:$A$501=_xlfn.MAXIFS('Injection Sales'!$A$2:$A$501,'Injection Sales'!$B$2:$B$501,A119))),'Injection Sales'!$H$2:$H$501),""))</f>
        <v/>
      </c>
      <c r="I119" s="21" t="str">
        <f aca="true">IF(OR(A119="",D119=""),"",IF(TODAY()-D119&lt;=Settings!$B$7,"Active","Inactive"))</f>
        <v/>
      </c>
    </row>
    <row r="120" customFormat="false" ht="15" hidden="false" customHeight="false" outlineLevel="0" collapsed="false">
      <c r="A120" s="1"/>
      <c r="B120" s="22"/>
      <c r="C120" s="18" t="str">
        <f aca="false">IF(OR(A120="",COUNTIF('Injection Sales'!$B$2:$B$501,A120)+COUNTIF('Protein Sales'!$B$2:$B$501,A120)+COUNTIF('Diet Support'!$B$2:$B$501,A120)=0),"",MIN(IF(COUNTIF('Injection Sales'!$B$2:$B$501,A120),_xlfn.MINIFS('Injection Sales'!$A$2:$A$501,'Injection Sales'!$B$2:$B$501,A120),99999),IF(COUNTIF('Protein Sales'!$B$2:$B$501,A120),_xlfn.MINIFS('Protein Sales'!$A$2:$A$501,'Protein Sales'!$B$2:$B$501,A120),99999),IF(COUNTIF('Diet Support'!$B$2:$B$501,A120),_xlfn.MINIFS('Diet Support'!$A$2:$A$501,'Diet Support'!$B$2:$B$501,A120),99999)))</f>
        <v/>
      </c>
      <c r="D120" s="18" t="str">
        <f aca="false">IF(OR(A120="",COUNTIF('Injection Sales'!$B$2:$B$501,A120)+COUNTIF('Protein Sales'!$B$2:$B$501,A120)+COUNTIF('Diet Support'!$B$2:$B$501,A120)=0),"",MAX(_xlfn.MAXIFS('Injection Sales'!$A$2:$A$501,'Injection Sales'!$B$2:$B$501,A120),_xlfn.MAXIFS('Protein Sales'!$A$2:$A$501,'Protein Sales'!$B$2:$B$501,A120),_xlfn.MAXIFS('Diet Support'!$A$2:$A$501,'Diet Support'!$B$2:$B$501,A120)))</f>
        <v/>
      </c>
      <c r="E120" s="19" t="str">
        <f aca="false">IF(A120="","",COUNTIF('Injection Sales'!$B$2:$B$501,A120)+COUNTIF('Protein Sales'!$B$2:$B$501,A120)+COUNTIF('Diet Support'!$B$2:$B$501,A120))</f>
        <v/>
      </c>
      <c r="F120" s="20" t="str">
        <f aca="false">IF(A120="","",SUMIF('Injection Sales'!$B$2:$B$501,A120,'Injection Sales'!$G$2:$G$501)+SUMIF('Protein Sales'!$B$2:$B$501,A120,'Protein Sales'!$F$2:$F$501)+SUMIF('Diet Support'!$B$2:$B$501,A120,'Diet Support'!$E$2:$E$501))</f>
        <v/>
      </c>
      <c r="G120" s="21" t="str">
        <f aca="false">IF(OR(A120="",COUNTIF('Injection Sales'!$B$2:$B$501,A120)=0),"",IFERROR(LOOKUP(2,1/(('Injection Sales'!$B$2:$B$501=A120)*('Injection Sales'!$A$2:$A$501=_xlfn.MAXIFS('Injection Sales'!$A$2:$A$501,'Injection Sales'!$B$2:$B$501,A120))),'Injection Sales'!$E$2:$E$501),""))</f>
        <v/>
      </c>
      <c r="H120" s="21" t="str">
        <f aca="false">IF(OR(A120="",COUNTIF('Injection Sales'!$B$2:$B$501,A120)=0),"",IFERROR(LOOKUP(2,1/(('Injection Sales'!$B$2:$B$501=A120)*('Injection Sales'!$A$2:$A$501=_xlfn.MAXIFS('Injection Sales'!$A$2:$A$501,'Injection Sales'!$B$2:$B$501,A120))),'Injection Sales'!$H$2:$H$501),""))</f>
        <v/>
      </c>
      <c r="I120" s="21" t="str">
        <f aca="true">IF(OR(A120="",D120=""),"",IF(TODAY()-D120&lt;=Settings!$B$7,"Active","Inactive"))</f>
        <v/>
      </c>
    </row>
    <row r="121" customFormat="false" ht="15" hidden="false" customHeight="false" outlineLevel="0" collapsed="false">
      <c r="A121" s="1"/>
      <c r="B121" s="22"/>
      <c r="C121" s="18" t="str">
        <f aca="false">IF(OR(A121="",COUNTIF('Injection Sales'!$B$2:$B$501,A121)+COUNTIF('Protein Sales'!$B$2:$B$501,A121)+COUNTIF('Diet Support'!$B$2:$B$501,A121)=0),"",MIN(IF(COUNTIF('Injection Sales'!$B$2:$B$501,A121),_xlfn.MINIFS('Injection Sales'!$A$2:$A$501,'Injection Sales'!$B$2:$B$501,A121),99999),IF(COUNTIF('Protein Sales'!$B$2:$B$501,A121),_xlfn.MINIFS('Protein Sales'!$A$2:$A$501,'Protein Sales'!$B$2:$B$501,A121),99999),IF(COUNTIF('Diet Support'!$B$2:$B$501,A121),_xlfn.MINIFS('Diet Support'!$A$2:$A$501,'Diet Support'!$B$2:$B$501,A121),99999)))</f>
        <v/>
      </c>
      <c r="D121" s="18" t="str">
        <f aca="false">IF(OR(A121="",COUNTIF('Injection Sales'!$B$2:$B$501,A121)+COUNTIF('Protein Sales'!$B$2:$B$501,A121)+COUNTIF('Diet Support'!$B$2:$B$501,A121)=0),"",MAX(_xlfn.MAXIFS('Injection Sales'!$A$2:$A$501,'Injection Sales'!$B$2:$B$501,A121),_xlfn.MAXIFS('Protein Sales'!$A$2:$A$501,'Protein Sales'!$B$2:$B$501,A121),_xlfn.MAXIFS('Diet Support'!$A$2:$A$501,'Diet Support'!$B$2:$B$501,A121)))</f>
        <v/>
      </c>
      <c r="E121" s="19" t="str">
        <f aca="false">IF(A121="","",COUNTIF('Injection Sales'!$B$2:$B$501,A121)+COUNTIF('Protein Sales'!$B$2:$B$501,A121)+COUNTIF('Diet Support'!$B$2:$B$501,A121))</f>
        <v/>
      </c>
      <c r="F121" s="20" t="str">
        <f aca="false">IF(A121="","",SUMIF('Injection Sales'!$B$2:$B$501,A121,'Injection Sales'!$G$2:$G$501)+SUMIF('Protein Sales'!$B$2:$B$501,A121,'Protein Sales'!$F$2:$F$501)+SUMIF('Diet Support'!$B$2:$B$501,A121,'Diet Support'!$E$2:$E$501))</f>
        <v/>
      </c>
      <c r="G121" s="21" t="str">
        <f aca="false">IF(OR(A121="",COUNTIF('Injection Sales'!$B$2:$B$501,A121)=0),"",IFERROR(LOOKUP(2,1/(('Injection Sales'!$B$2:$B$501=A121)*('Injection Sales'!$A$2:$A$501=_xlfn.MAXIFS('Injection Sales'!$A$2:$A$501,'Injection Sales'!$B$2:$B$501,A121))),'Injection Sales'!$E$2:$E$501),""))</f>
        <v/>
      </c>
      <c r="H121" s="21" t="str">
        <f aca="false">IF(OR(A121="",COUNTIF('Injection Sales'!$B$2:$B$501,A121)=0),"",IFERROR(LOOKUP(2,1/(('Injection Sales'!$B$2:$B$501=A121)*('Injection Sales'!$A$2:$A$501=_xlfn.MAXIFS('Injection Sales'!$A$2:$A$501,'Injection Sales'!$B$2:$B$501,A121))),'Injection Sales'!$H$2:$H$501),""))</f>
        <v/>
      </c>
      <c r="I121" s="21" t="str">
        <f aca="true">IF(OR(A121="",D121=""),"",IF(TODAY()-D121&lt;=Settings!$B$7,"Active","Inactive"))</f>
        <v/>
      </c>
    </row>
    <row r="122" customFormat="false" ht="15" hidden="false" customHeight="false" outlineLevel="0" collapsed="false">
      <c r="A122" s="1"/>
      <c r="B122" s="22"/>
      <c r="C122" s="18" t="str">
        <f aca="false">IF(OR(A122="",COUNTIF('Injection Sales'!$B$2:$B$501,A122)+COUNTIF('Protein Sales'!$B$2:$B$501,A122)+COUNTIF('Diet Support'!$B$2:$B$501,A122)=0),"",MIN(IF(COUNTIF('Injection Sales'!$B$2:$B$501,A122),_xlfn.MINIFS('Injection Sales'!$A$2:$A$501,'Injection Sales'!$B$2:$B$501,A122),99999),IF(COUNTIF('Protein Sales'!$B$2:$B$501,A122),_xlfn.MINIFS('Protein Sales'!$A$2:$A$501,'Protein Sales'!$B$2:$B$501,A122),99999),IF(COUNTIF('Diet Support'!$B$2:$B$501,A122),_xlfn.MINIFS('Diet Support'!$A$2:$A$501,'Diet Support'!$B$2:$B$501,A122),99999)))</f>
        <v/>
      </c>
      <c r="D122" s="18" t="str">
        <f aca="false">IF(OR(A122="",COUNTIF('Injection Sales'!$B$2:$B$501,A122)+COUNTIF('Protein Sales'!$B$2:$B$501,A122)+COUNTIF('Diet Support'!$B$2:$B$501,A122)=0),"",MAX(_xlfn.MAXIFS('Injection Sales'!$A$2:$A$501,'Injection Sales'!$B$2:$B$501,A122),_xlfn.MAXIFS('Protein Sales'!$A$2:$A$501,'Protein Sales'!$B$2:$B$501,A122),_xlfn.MAXIFS('Diet Support'!$A$2:$A$501,'Diet Support'!$B$2:$B$501,A122)))</f>
        <v/>
      </c>
      <c r="E122" s="19" t="str">
        <f aca="false">IF(A122="","",COUNTIF('Injection Sales'!$B$2:$B$501,A122)+COUNTIF('Protein Sales'!$B$2:$B$501,A122)+COUNTIF('Diet Support'!$B$2:$B$501,A122))</f>
        <v/>
      </c>
      <c r="F122" s="20" t="str">
        <f aca="false">IF(A122="","",SUMIF('Injection Sales'!$B$2:$B$501,A122,'Injection Sales'!$G$2:$G$501)+SUMIF('Protein Sales'!$B$2:$B$501,A122,'Protein Sales'!$F$2:$F$501)+SUMIF('Diet Support'!$B$2:$B$501,A122,'Diet Support'!$E$2:$E$501))</f>
        <v/>
      </c>
      <c r="G122" s="21" t="str">
        <f aca="false">IF(OR(A122="",COUNTIF('Injection Sales'!$B$2:$B$501,A122)=0),"",IFERROR(LOOKUP(2,1/(('Injection Sales'!$B$2:$B$501=A122)*('Injection Sales'!$A$2:$A$501=_xlfn.MAXIFS('Injection Sales'!$A$2:$A$501,'Injection Sales'!$B$2:$B$501,A122))),'Injection Sales'!$E$2:$E$501),""))</f>
        <v/>
      </c>
      <c r="H122" s="21" t="str">
        <f aca="false">IF(OR(A122="",COUNTIF('Injection Sales'!$B$2:$B$501,A122)=0),"",IFERROR(LOOKUP(2,1/(('Injection Sales'!$B$2:$B$501=A122)*('Injection Sales'!$A$2:$A$501=_xlfn.MAXIFS('Injection Sales'!$A$2:$A$501,'Injection Sales'!$B$2:$B$501,A122))),'Injection Sales'!$H$2:$H$501),""))</f>
        <v/>
      </c>
      <c r="I122" s="21" t="str">
        <f aca="true">IF(OR(A122="",D122=""),"",IF(TODAY()-D122&lt;=Settings!$B$7,"Active","Inactive"))</f>
        <v/>
      </c>
    </row>
    <row r="123" customFormat="false" ht="15" hidden="false" customHeight="false" outlineLevel="0" collapsed="false">
      <c r="A123" s="1"/>
      <c r="B123" s="22"/>
      <c r="C123" s="18" t="str">
        <f aca="false">IF(OR(A123="",COUNTIF('Injection Sales'!$B$2:$B$501,A123)+COUNTIF('Protein Sales'!$B$2:$B$501,A123)+COUNTIF('Diet Support'!$B$2:$B$501,A123)=0),"",MIN(IF(COUNTIF('Injection Sales'!$B$2:$B$501,A123),_xlfn.MINIFS('Injection Sales'!$A$2:$A$501,'Injection Sales'!$B$2:$B$501,A123),99999),IF(COUNTIF('Protein Sales'!$B$2:$B$501,A123),_xlfn.MINIFS('Protein Sales'!$A$2:$A$501,'Protein Sales'!$B$2:$B$501,A123),99999),IF(COUNTIF('Diet Support'!$B$2:$B$501,A123),_xlfn.MINIFS('Diet Support'!$A$2:$A$501,'Diet Support'!$B$2:$B$501,A123),99999)))</f>
        <v/>
      </c>
      <c r="D123" s="18" t="str">
        <f aca="false">IF(OR(A123="",COUNTIF('Injection Sales'!$B$2:$B$501,A123)+COUNTIF('Protein Sales'!$B$2:$B$501,A123)+COUNTIF('Diet Support'!$B$2:$B$501,A123)=0),"",MAX(_xlfn.MAXIFS('Injection Sales'!$A$2:$A$501,'Injection Sales'!$B$2:$B$501,A123),_xlfn.MAXIFS('Protein Sales'!$A$2:$A$501,'Protein Sales'!$B$2:$B$501,A123),_xlfn.MAXIFS('Diet Support'!$A$2:$A$501,'Diet Support'!$B$2:$B$501,A123)))</f>
        <v/>
      </c>
      <c r="E123" s="19" t="str">
        <f aca="false">IF(A123="","",COUNTIF('Injection Sales'!$B$2:$B$501,A123)+COUNTIF('Protein Sales'!$B$2:$B$501,A123)+COUNTIF('Diet Support'!$B$2:$B$501,A123))</f>
        <v/>
      </c>
      <c r="F123" s="20" t="str">
        <f aca="false">IF(A123="","",SUMIF('Injection Sales'!$B$2:$B$501,A123,'Injection Sales'!$G$2:$G$501)+SUMIF('Protein Sales'!$B$2:$B$501,A123,'Protein Sales'!$F$2:$F$501)+SUMIF('Diet Support'!$B$2:$B$501,A123,'Diet Support'!$E$2:$E$501))</f>
        <v/>
      </c>
      <c r="G123" s="21" t="str">
        <f aca="false">IF(OR(A123="",COUNTIF('Injection Sales'!$B$2:$B$501,A123)=0),"",IFERROR(LOOKUP(2,1/(('Injection Sales'!$B$2:$B$501=A123)*('Injection Sales'!$A$2:$A$501=_xlfn.MAXIFS('Injection Sales'!$A$2:$A$501,'Injection Sales'!$B$2:$B$501,A123))),'Injection Sales'!$E$2:$E$501),""))</f>
        <v/>
      </c>
      <c r="H123" s="21" t="str">
        <f aca="false">IF(OR(A123="",COUNTIF('Injection Sales'!$B$2:$B$501,A123)=0),"",IFERROR(LOOKUP(2,1/(('Injection Sales'!$B$2:$B$501=A123)*('Injection Sales'!$A$2:$A$501=_xlfn.MAXIFS('Injection Sales'!$A$2:$A$501,'Injection Sales'!$B$2:$B$501,A123))),'Injection Sales'!$H$2:$H$501),""))</f>
        <v/>
      </c>
      <c r="I123" s="21" t="str">
        <f aca="true">IF(OR(A123="",D123=""),"",IF(TODAY()-D123&lt;=Settings!$B$7,"Active","Inactive"))</f>
        <v/>
      </c>
    </row>
    <row r="124" customFormat="false" ht="15" hidden="false" customHeight="false" outlineLevel="0" collapsed="false">
      <c r="A124" s="1"/>
      <c r="B124" s="22"/>
      <c r="C124" s="18" t="str">
        <f aca="false">IF(OR(A124="",COUNTIF('Injection Sales'!$B$2:$B$501,A124)+COUNTIF('Protein Sales'!$B$2:$B$501,A124)+COUNTIF('Diet Support'!$B$2:$B$501,A124)=0),"",MIN(IF(COUNTIF('Injection Sales'!$B$2:$B$501,A124),_xlfn.MINIFS('Injection Sales'!$A$2:$A$501,'Injection Sales'!$B$2:$B$501,A124),99999),IF(COUNTIF('Protein Sales'!$B$2:$B$501,A124),_xlfn.MINIFS('Protein Sales'!$A$2:$A$501,'Protein Sales'!$B$2:$B$501,A124),99999),IF(COUNTIF('Diet Support'!$B$2:$B$501,A124),_xlfn.MINIFS('Diet Support'!$A$2:$A$501,'Diet Support'!$B$2:$B$501,A124),99999)))</f>
        <v/>
      </c>
      <c r="D124" s="18" t="str">
        <f aca="false">IF(OR(A124="",COUNTIF('Injection Sales'!$B$2:$B$501,A124)+COUNTIF('Protein Sales'!$B$2:$B$501,A124)+COUNTIF('Diet Support'!$B$2:$B$501,A124)=0),"",MAX(_xlfn.MAXIFS('Injection Sales'!$A$2:$A$501,'Injection Sales'!$B$2:$B$501,A124),_xlfn.MAXIFS('Protein Sales'!$A$2:$A$501,'Protein Sales'!$B$2:$B$501,A124),_xlfn.MAXIFS('Diet Support'!$A$2:$A$501,'Diet Support'!$B$2:$B$501,A124)))</f>
        <v/>
      </c>
      <c r="E124" s="19" t="str">
        <f aca="false">IF(A124="","",COUNTIF('Injection Sales'!$B$2:$B$501,A124)+COUNTIF('Protein Sales'!$B$2:$B$501,A124)+COUNTIF('Diet Support'!$B$2:$B$501,A124))</f>
        <v/>
      </c>
      <c r="F124" s="20" t="str">
        <f aca="false">IF(A124="","",SUMIF('Injection Sales'!$B$2:$B$501,A124,'Injection Sales'!$G$2:$G$501)+SUMIF('Protein Sales'!$B$2:$B$501,A124,'Protein Sales'!$F$2:$F$501)+SUMIF('Diet Support'!$B$2:$B$501,A124,'Diet Support'!$E$2:$E$501))</f>
        <v/>
      </c>
      <c r="G124" s="21" t="str">
        <f aca="false">IF(OR(A124="",COUNTIF('Injection Sales'!$B$2:$B$501,A124)=0),"",IFERROR(LOOKUP(2,1/(('Injection Sales'!$B$2:$B$501=A124)*('Injection Sales'!$A$2:$A$501=_xlfn.MAXIFS('Injection Sales'!$A$2:$A$501,'Injection Sales'!$B$2:$B$501,A124))),'Injection Sales'!$E$2:$E$501),""))</f>
        <v/>
      </c>
      <c r="H124" s="21" t="str">
        <f aca="false">IF(OR(A124="",COUNTIF('Injection Sales'!$B$2:$B$501,A124)=0),"",IFERROR(LOOKUP(2,1/(('Injection Sales'!$B$2:$B$501=A124)*('Injection Sales'!$A$2:$A$501=_xlfn.MAXIFS('Injection Sales'!$A$2:$A$501,'Injection Sales'!$B$2:$B$501,A124))),'Injection Sales'!$H$2:$H$501),""))</f>
        <v/>
      </c>
      <c r="I124" s="21" t="str">
        <f aca="true">IF(OR(A124="",D124=""),"",IF(TODAY()-D124&lt;=Settings!$B$7,"Active","Inactive"))</f>
        <v/>
      </c>
    </row>
    <row r="125" customFormat="false" ht="15" hidden="false" customHeight="false" outlineLevel="0" collapsed="false">
      <c r="A125" s="1"/>
      <c r="B125" s="22"/>
      <c r="C125" s="18" t="str">
        <f aca="false">IF(OR(A125="",COUNTIF('Injection Sales'!$B$2:$B$501,A125)+COUNTIF('Protein Sales'!$B$2:$B$501,A125)+COUNTIF('Diet Support'!$B$2:$B$501,A125)=0),"",MIN(IF(COUNTIF('Injection Sales'!$B$2:$B$501,A125),_xlfn.MINIFS('Injection Sales'!$A$2:$A$501,'Injection Sales'!$B$2:$B$501,A125),99999),IF(COUNTIF('Protein Sales'!$B$2:$B$501,A125),_xlfn.MINIFS('Protein Sales'!$A$2:$A$501,'Protein Sales'!$B$2:$B$501,A125),99999),IF(COUNTIF('Diet Support'!$B$2:$B$501,A125),_xlfn.MINIFS('Diet Support'!$A$2:$A$501,'Diet Support'!$B$2:$B$501,A125),99999)))</f>
        <v/>
      </c>
      <c r="D125" s="18" t="str">
        <f aca="false">IF(OR(A125="",COUNTIF('Injection Sales'!$B$2:$B$501,A125)+COUNTIF('Protein Sales'!$B$2:$B$501,A125)+COUNTIF('Diet Support'!$B$2:$B$501,A125)=0),"",MAX(_xlfn.MAXIFS('Injection Sales'!$A$2:$A$501,'Injection Sales'!$B$2:$B$501,A125),_xlfn.MAXIFS('Protein Sales'!$A$2:$A$501,'Protein Sales'!$B$2:$B$501,A125),_xlfn.MAXIFS('Diet Support'!$A$2:$A$501,'Diet Support'!$B$2:$B$501,A125)))</f>
        <v/>
      </c>
      <c r="E125" s="19" t="str">
        <f aca="false">IF(A125="","",COUNTIF('Injection Sales'!$B$2:$B$501,A125)+COUNTIF('Protein Sales'!$B$2:$B$501,A125)+COUNTIF('Diet Support'!$B$2:$B$501,A125))</f>
        <v/>
      </c>
      <c r="F125" s="20" t="str">
        <f aca="false">IF(A125="","",SUMIF('Injection Sales'!$B$2:$B$501,A125,'Injection Sales'!$G$2:$G$501)+SUMIF('Protein Sales'!$B$2:$B$501,A125,'Protein Sales'!$F$2:$F$501)+SUMIF('Diet Support'!$B$2:$B$501,A125,'Diet Support'!$E$2:$E$501))</f>
        <v/>
      </c>
      <c r="G125" s="21" t="str">
        <f aca="false">IF(OR(A125="",COUNTIF('Injection Sales'!$B$2:$B$501,A125)=0),"",IFERROR(LOOKUP(2,1/(('Injection Sales'!$B$2:$B$501=A125)*('Injection Sales'!$A$2:$A$501=_xlfn.MAXIFS('Injection Sales'!$A$2:$A$501,'Injection Sales'!$B$2:$B$501,A125))),'Injection Sales'!$E$2:$E$501),""))</f>
        <v/>
      </c>
      <c r="H125" s="21" t="str">
        <f aca="false">IF(OR(A125="",COUNTIF('Injection Sales'!$B$2:$B$501,A125)=0),"",IFERROR(LOOKUP(2,1/(('Injection Sales'!$B$2:$B$501=A125)*('Injection Sales'!$A$2:$A$501=_xlfn.MAXIFS('Injection Sales'!$A$2:$A$501,'Injection Sales'!$B$2:$B$501,A125))),'Injection Sales'!$H$2:$H$501),""))</f>
        <v/>
      </c>
      <c r="I125" s="21" t="str">
        <f aca="true">IF(OR(A125="",D125=""),"",IF(TODAY()-D125&lt;=Settings!$B$7,"Active","Inactive"))</f>
        <v/>
      </c>
    </row>
    <row r="126" customFormat="false" ht="15" hidden="false" customHeight="false" outlineLevel="0" collapsed="false">
      <c r="A126" s="1"/>
      <c r="B126" s="22"/>
      <c r="C126" s="18" t="str">
        <f aca="false">IF(OR(A126="",COUNTIF('Injection Sales'!$B$2:$B$501,A126)+COUNTIF('Protein Sales'!$B$2:$B$501,A126)+COUNTIF('Diet Support'!$B$2:$B$501,A126)=0),"",MIN(IF(COUNTIF('Injection Sales'!$B$2:$B$501,A126),_xlfn.MINIFS('Injection Sales'!$A$2:$A$501,'Injection Sales'!$B$2:$B$501,A126),99999),IF(COUNTIF('Protein Sales'!$B$2:$B$501,A126),_xlfn.MINIFS('Protein Sales'!$A$2:$A$501,'Protein Sales'!$B$2:$B$501,A126),99999),IF(COUNTIF('Diet Support'!$B$2:$B$501,A126),_xlfn.MINIFS('Diet Support'!$A$2:$A$501,'Diet Support'!$B$2:$B$501,A126),99999)))</f>
        <v/>
      </c>
      <c r="D126" s="18" t="str">
        <f aca="false">IF(OR(A126="",COUNTIF('Injection Sales'!$B$2:$B$501,A126)+COUNTIF('Protein Sales'!$B$2:$B$501,A126)+COUNTIF('Diet Support'!$B$2:$B$501,A126)=0),"",MAX(_xlfn.MAXIFS('Injection Sales'!$A$2:$A$501,'Injection Sales'!$B$2:$B$501,A126),_xlfn.MAXIFS('Protein Sales'!$A$2:$A$501,'Protein Sales'!$B$2:$B$501,A126),_xlfn.MAXIFS('Diet Support'!$A$2:$A$501,'Diet Support'!$B$2:$B$501,A126)))</f>
        <v/>
      </c>
      <c r="E126" s="19" t="str">
        <f aca="false">IF(A126="","",COUNTIF('Injection Sales'!$B$2:$B$501,A126)+COUNTIF('Protein Sales'!$B$2:$B$501,A126)+COUNTIF('Diet Support'!$B$2:$B$501,A126))</f>
        <v/>
      </c>
      <c r="F126" s="20" t="str">
        <f aca="false">IF(A126="","",SUMIF('Injection Sales'!$B$2:$B$501,A126,'Injection Sales'!$G$2:$G$501)+SUMIF('Protein Sales'!$B$2:$B$501,A126,'Protein Sales'!$F$2:$F$501)+SUMIF('Diet Support'!$B$2:$B$501,A126,'Diet Support'!$E$2:$E$501))</f>
        <v/>
      </c>
      <c r="G126" s="21" t="str">
        <f aca="false">IF(OR(A126="",COUNTIF('Injection Sales'!$B$2:$B$501,A126)=0),"",IFERROR(LOOKUP(2,1/(('Injection Sales'!$B$2:$B$501=A126)*('Injection Sales'!$A$2:$A$501=_xlfn.MAXIFS('Injection Sales'!$A$2:$A$501,'Injection Sales'!$B$2:$B$501,A126))),'Injection Sales'!$E$2:$E$501),""))</f>
        <v/>
      </c>
      <c r="H126" s="21" t="str">
        <f aca="false">IF(OR(A126="",COUNTIF('Injection Sales'!$B$2:$B$501,A126)=0),"",IFERROR(LOOKUP(2,1/(('Injection Sales'!$B$2:$B$501=A126)*('Injection Sales'!$A$2:$A$501=_xlfn.MAXIFS('Injection Sales'!$A$2:$A$501,'Injection Sales'!$B$2:$B$501,A126))),'Injection Sales'!$H$2:$H$501),""))</f>
        <v/>
      </c>
      <c r="I126" s="21" t="str">
        <f aca="true">IF(OR(A126="",D126=""),"",IF(TODAY()-D126&lt;=Settings!$B$7,"Active","Inactive"))</f>
        <v/>
      </c>
    </row>
    <row r="127" customFormat="false" ht="15" hidden="false" customHeight="false" outlineLevel="0" collapsed="false">
      <c r="A127" s="1"/>
      <c r="B127" s="22"/>
      <c r="C127" s="18" t="str">
        <f aca="false">IF(OR(A127="",COUNTIF('Injection Sales'!$B$2:$B$501,A127)+COUNTIF('Protein Sales'!$B$2:$B$501,A127)+COUNTIF('Diet Support'!$B$2:$B$501,A127)=0),"",MIN(IF(COUNTIF('Injection Sales'!$B$2:$B$501,A127),_xlfn.MINIFS('Injection Sales'!$A$2:$A$501,'Injection Sales'!$B$2:$B$501,A127),99999),IF(COUNTIF('Protein Sales'!$B$2:$B$501,A127),_xlfn.MINIFS('Protein Sales'!$A$2:$A$501,'Protein Sales'!$B$2:$B$501,A127),99999),IF(COUNTIF('Diet Support'!$B$2:$B$501,A127),_xlfn.MINIFS('Diet Support'!$A$2:$A$501,'Diet Support'!$B$2:$B$501,A127),99999)))</f>
        <v/>
      </c>
      <c r="D127" s="18" t="str">
        <f aca="false">IF(OR(A127="",COUNTIF('Injection Sales'!$B$2:$B$501,A127)+COUNTIF('Protein Sales'!$B$2:$B$501,A127)+COUNTIF('Diet Support'!$B$2:$B$501,A127)=0),"",MAX(_xlfn.MAXIFS('Injection Sales'!$A$2:$A$501,'Injection Sales'!$B$2:$B$501,A127),_xlfn.MAXIFS('Protein Sales'!$A$2:$A$501,'Protein Sales'!$B$2:$B$501,A127),_xlfn.MAXIFS('Diet Support'!$A$2:$A$501,'Diet Support'!$B$2:$B$501,A127)))</f>
        <v/>
      </c>
      <c r="E127" s="19" t="str">
        <f aca="false">IF(A127="","",COUNTIF('Injection Sales'!$B$2:$B$501,A127)+COUNTIF('Protein Sales'!$B$2:$B$501,A127)+COUNTIF('Diet Support'!$B$2:$B$501,A127))</f>
        <v/>
      </c>
      <c r="F127" s="20" t="str">
        <f aca="false">IF(A127="","",SUMIF('Injection Sales'!$B$2:$B$501,A127,'Injection Sales'!$G$2:$G$501)+SUMIF('Protein Sales'!$B$2:$B$501,A127,'Protein Sales'!$F$2:$F$501)+SUMIF('Diet Support'!$B$2:$B$501,A127,'Diet Support'!$E$2:$E$501))</f>
        <v/>
      </c>
      <c r="G127" s="21" t="str">
        <f aca="false">IF(OR(A127="",COUNTIF('Injection Sales'!$B$2:$B$501,A127)=0),"",IFERROR(LOOKUP(2,1/(('Injection Sales'!$B$2:$B$501=A127)*('Injection Sales'!$A$2:$A$501=_xlfn.MAXIFS('Injection Sales'!$A$2:$A$501,'Injection Sales'!$B$2:$B$501,A127))),'Injection Sales'!$E$2:$E$501),""))</f>
        <v/>
      </c>
      <c r="H127" s="21" t="str">
        <f aca="false">IF(OR(A127="",COUNTIF('Injection Sales'!$B$2:$B$501,A127)=0),"",IFERROR(LOOKUP(2,1/(('Injection Sales'!$B$2:$B$501=A127)*('Injection Sales'!$A$2:$A$501=_xlfn.MAXIFS('Injection Sales'!$A$2:$A$501,'Injection Sales'!$B$2:$B$501,A127))),'Injection Sales'!$H$2:$H$501),""))</f>
        <v/>
      </c>
      <c r="I127" s="21" t="str">
        <f aca="true">IF(OR(A127="",D127=""),"",IF(TODAY()-D127&lt;=Settings!$B$7,"Active","Inactive"))</f>
        <v/>
      </c>
    </row>
    <row r="128" customFormat="false" ht="15" hidden="false" customHeight="false" outlineLevel="0" collapsed="false">
      <c r="A128" s="1"/>
      <c r="B128" s="22"/>
      <c r="C128" s="18" t="str">
        <f aca="false">IF(OR(A128="",COUNTIF('Injection Sales'!$B$2:$B$501,A128)+COUNTIF('Protein Sales'!$B$2:$B$501,A128)+COUNTIF('Diet Support'!$B$2:$B$501,A128)=0),"",MIN(IF(COUNTIF('Injection Sales'!$B$2:$B$501,A128),_xlfn.MINIFS('Injection Sales'!$A$2:$A$501,'Injection Sales'!$B$2:$B$501,A128),99999),IF(COUNTIF('Protein Sales'!$B$2:$B$501,A128),_xlfn.MINIFS('Protein Sales'!$A$2:$A$501,'Protein Sales'!$B$2:$B$501,A128),99999),IF(COUNTIF('Diet Support'!$B$2:$B$501,A128),_xlfn.MINIFS('Diet Support'!$A$2:$A$501,'Diet Support'!$B$2:$B$501,A128),99999)))</f>
        <v/>
      </c>
      <c r="D128" s="18" t="str">
        <f aca="false">IF(OR(A128="",COUNTIF('Injection Sales'!$B$2:$B$501,A128)+COUNTIF('Protein Sales'!$B$2:$B$501,A128)+COUNTIF('Diet Support'!$B$2:$B$501,A128)=0),"",MAX(_xlfn.MAXIFS('Injection Sales'!$A$2:$A$501,'Injection Sales'!$B$2:$B$501,A128),_xlfn.MAXIFS('Protein Sales'!$A$2:$A$501,'Protein Sales'!$B$2:$B$501,A128),_xlfn.MAXIFS('Diet Support'!$A$2:$A$501,'Diet Support'!$B$2:$B$501,A128)))</f>
        <v/>
      </c>
      <c r="E128" s="19" t="str">
        <f aca="false">IF(A128="","",COUNTIF('Injection Sales'!$B$2:$B$501,A128)+COUNTIF('Protein Sales'!$B$2:$B$501,A128)+COUNTIF('Diet Support'!$B$2:$B$501,A128))</f>
        <v/>
      </c>
      <c r="F128" s="20" t="str">
        <f aca="false">IF(A128="","",SUMIF('Injection Sales'!$B$2:$B$501,A128,'Injection Sales'!$G$2:$G$501)+SUMIF('Protein Sales'!$B$2:$B$501,A128,'Protein Sales'!$F$2:$F$501)+SUMIF('Diet Support'!$B$2:$B$501,A128,'Diet Support'!$E$2:$E$501))</f>
        <v/>
      </c>
      <c r="G128" s="21" t="str">
        <f aca="false">IF(OR(A128="",COUNTIF('Injection Sales'!$B$2:$B$501,A128)=0),"",IFERROR(LOOKUP(2,1/(('Injection Sales'!$B$2:$B$501=A128)*('Injection Sales'!$A$2:$A$501=_xlfn.MAXIFS('Injection Sales'!$A$2:$A$501,'Injection Sales'!$B$2:$B$501,A128))),'Injection Sales'!$E$2:$E$501),""))</f>
        <v/>
      </c>
      <c r="H128" s="21" t="str">
        <f aca="false">IF(OR(A128="",COUNTIF('Injection Sales'!$B$2:$B$501,A128)=0),"",IFERROR(LOOKUP(2,1/(('Injection Sales'!$B$2:$B$501=A128)*('Injection Sales'!$A$2:$A$501=_xlfn.MAXIFS('Injection Sales'!$A$2:$A$501,'Injection Sales'!$B$2:$B$501,A128))),'Injection Sales'!$H$2:$H$501),""))</f>
        <v/>
      </c>
      <c r="I128" s="21" t="str">
        <f aca="true">IF(OR(A128="",D128=""),"",IF(TODAY()-D128&lt;=Settings!$B$7,"Active","Inactive"))</f>
        <v/>
      </c>
    </row>
    <row r="129" customFormat="false" ht="15" hidden="false" customHeight="false" outlineLevel="0" collapsed="false">
      <c r="A129" s="1"/>
      <c r="B129" s="22"/>
      <c r="C129" s="18" t="str">
        <f aca="false">IF(OR(A129="",COUNTIF('Injection Sales'!$B$2:$B$501,A129)+COUNTIF('Protein Sales'!$B$2:$B$501,A129)+COUNTIF('Diet Support'!$B$2:$B$501,A129)=0),"",MIN(IF(COUNTIF('Injection Sales'!$B$2:$B$501,A129),_xlfn.MINIFS('Injection Sales'!$A$2:$A$501,'Injection Sales'!$B$2:$B$501,A129),99999),IF(COUNTIF('Protein Sales'!$B$2:$B$501,A129),_xlfn.MINIFS('Protein Sales'!$A$2:$A$501,'Protein Sales'!$B$2:$B$501,A129),99999),IF(COUNTIF('Diet Support'!$B$2:$B$501,A129),_xlfn.MINIFS('Diet Support'!$A$2:$A$501,'Diet Support'!$B$2:$B$501,A129),99999)))</f>
        <v/>
      </c>
      <c r="D129" s="18" t="str">
        <f aca="false">IF(OR(A129="",COUNTIF('Injection Sales'!$B$2:$B$501,A129)+COUNTIF('Protein Sales'!$B$2:$B$501,A129)+COUNTIF('Diet Support'!$B$2:$B$501,A129)=0),"",MAX(_xlfn.MAXIFS('Injection Sales'!$A$2:$A$501,'Injection Sales'!$B$2:$B$501,A129),_xlfn.MAXIFS('Protein Sales'!$A$2:$A$501,'Protein Sales'!$B$2:$B$501,A129),_xlfn.MAXIFS('Diet Support'!$A$2:$A$501,'Diet Support'!$B$2:$B$501,A129)))</f>
        <v/>
      </c>
      <c r="E129" s="19" t="str">
        <f aca="false">IF(A129="","",COUNTIF('Injection Sales'!$B$2:$B$501,A129)+COUNTIF('Protein Sales'!$B$2:$B$501,A129)+COUNTIF('Diet Support'!$B$2:$B$501,A129))</f>
        <v/>
      </c>
      <c r="F129" s="20" t="str">
        <f aca="false">IF(A129="","",SUMIF('Injection Sales'!$B$2:$B$501,A129,'Injection Sales'!$G$2:$G$501)+SUMIF('Protein Sales'!$B$2:$B$501,A129,'Protein Sales'!$F$2:$F$501)+SUMIF('Diet Support'!$B$2:$B$501,A129,'Diet Support'!$E$2:$E$501))</f>
        <v/>
      </c>
      <c r="G129" s="21" t="str">
        <f aca="false">IF(OR(A129="",COUNTIF('Injection Sales'!$B$2:$B$501,A129)=0),"",IFERROR(LOOKUP(2,1/(('Injection Sales'!$B$2:$B$501=A129)*('Injection Sales'!$A$2:$A$501=_xlfn.MAXIFS('Injection Sales'!$A$2:$A$501,'Injection Sales'!$B$2:$B$501,A129))),'Injection Sales'!$E$2:$E$501),""))</f>
        <v/>
      </c>
      <c r="H129" s="21" t="str">
        <f aca="false">IF(OR(A129="",COUNTIF('Injection Sales'!$B$2:$B$501,A129)=0),"",IFERROR(LOOKUP(2,1/(('Injection Sales'!$B$2:$B$501=A129)*('Injection Sales'!$A$2:$A$501=_xlfn.MAXIFS('Injection Sales'!$A$2:$A$501,'Injection Sales'!$B$2:$B$501,A129))),'Injection Sales'!$H$2:$H$501),""))</f>
        <v/>
      </c>
      <c r="I129" s="21" t="str">
        <f aca="true">IF(OR(A129="",D129=""),"",IF(TODAY()-D129&lt;=Settings!$B$7,"Active","Inactive"))</f>
        <v/>
      </c>
    </row>
    <row r="130" customFormat="false" ht="15" hidden="false" customHeight="false" outlineLevel="0" collapsed="false">
      <c r="A130" s="1"/>
      <c r="B130" s="22"/>
      <c r="C130" s="18" t="str">
        <f aca="false">IF(OR(A130="",COUNTIF('Injection Sales'!$B$2:$B$501,A130)+COUNTIF('Protein Sales'!$B$2:$B$501,A130)+COUNTIF('Diet Support'!$B$2:$B$501,A130)=0),"",MIN(IF(COUNTIF('Injection Sales'!$B$2:$B$501,A130),_xlfn.MINIFS('Injection Sales'!$A$2:$A$501,'Injection Sales'!$B$2:$B$501,A130),99999),IF(COUNTIF('Protein Sales'!$B$2:$B$501,A130),_xlfn.MINIFS('Protein Sales'!$A$2:$A$501,'Protein Sales'!$B$2:$B$501,A130),99999),IF(COUNTIF('Diet Support'!$B$2:$B$501,A130),_xlfn.MINIFS('Diet Support'!$A$2:$A$501,'Diet Support'!$B$2:$B$501,A130),99999)))</f>
        <v/>
      </c>
      <c r="D130" s="18" t="str">
        <f aca="false">IF(OR(A130="",COUNTIF('Injection Sales'!$B$2:$B$501,A130)+COUNTIF('Protein Sales'!$B$2:$B$501,A130)+COUNTIF('Diet Support'!$B$2:$B$501,A130)=0),"",MAX(_xlfn.MAXIFS('Injection Sales'!$A$2:$A$501,'Injection Sales'!$B$2:$B$501,A130),_xlfn.MAXIFS('Protein Sales'!$A$2:$A$501,'Protein Sales'!$B$2:$B$501,A130),_xlfn.MAXIFS('Diet Support'!$A$2:$A$501,'Diet Support'!$B$2:$B$501,A130)))</f>
        <v/>
      </c>
      <c r="E130" s="19" t="str">
        <f aca="false">IF(A130="","",COUNTIF('Injection Sales'!$B$2:$B$501,A130)+COUNTIF('Protein Sales'!$B$2:$B$501,A130)+COUNTIF('Diet Support'!$B$2:$B$501,A130))</f>
        <v/>
      </c>
      <c r="F130" s="20" t="str">
        <f aca="false">IF(A130="","",SUMIF('Injection Sales'!$B$2:$B$501,A130,'Injection Sales'!$G$2:$G$501)+SUMIF('Protein Sales'!$B$2:$B$501,A130,'Protein Sales'!$F$2:$F$501)+SUMIF('Diet Support'!$B$2:$B$501,A130,'Diet Support'!$E$2:$E$501))</f>
        <v/>
      </c>
      <c r="G130" s="21" t="str">
        <f aca="false">IF(OR(A130="",COUNTIF('Injection Sales'!$B$2:$B$501,A130)=0),"",IFERROR(LOOKUP(2,1/(('Injection Sales'!$B$2:$B$501=A130)*('Injection Sales'!$A$2:$A$501=_xlfn.MAXIFS('Injection Sales'!$A$2:$A$501,'Injection Sales'!$B$2:$B$501,A130))),'Injection Sales'!$E$2:$E$501),""))</f>
        <v/>
      </c>
      <c r="H130" s="21" t="str">
        <f aca="false">IF(OR(A130="",COUNTIF('Injection Sales'!$B$2:$B$501,A130)=0),"",IFERROR(LOOKUP(2,1/(('Injection Sales'!$B$2:$B$501=A130)*('Injection Sales'!$A$2:$A$501=_xlfn.MAXIFS('Injection Sales'!$A$2:$A$501,'Injection Sales'!$B$2:$B$501,A130))),'Injection Sales'!$H$2:$H$501),""))</f>
        <v/>
      </c>
      <c r="I130" s="21" t="str">
        <f aca="true">IF(OR(A130="",D130=""),"",IF(TODAY()-D130&lt;=Settings!$B$7,"Active","Inactive"))</f>
        <v/>
      </c>
    </row>
    <row r="131" customFormat="false" ht="15" hidden="false" customHeight="false" outlineLevel="0" collapsed="false">
      <c r="A131" s="1"/>
      <c r="B131" s="22"/>
      <c r="C131" s="18" t="str">
        <f aca="false">IF(OR(A131="",COUNTIF('Injection Sales'!$B$2:$B$501,A131)+COUNTIF('Protein Sales'!$B$2:$B$501,A131)+COUNTIF('Diet Support'!$B$2:$B$501,A131)=0),"",MIN(IF(COUNTIF('Injection Sales'!$B$2:$B$501,A131),_xlfn.MINIFS('Injection Sales'!$A$2:$A$501,'Injection Sales'!$B$2:$B$501,A131),99999),IF(COUNTIF('Protein Sales'!$B$2:$B$501,A131),_xlfn.MINIFS('Protein Sales'!$A$2:$A$501,'Protein Sales'!$B$2:$B$501,A131),99999),IF(COUNTIF('Diet Support'!$B$2:$B$501,A131),_xlfn.MINIFS('Diet Support'!$A$2:$A$501,'Diet Support'!$B$2:$B$501,A131),99999)))</f>
        <v/>
      </c>
      <c r="D131" s="18" t="str">
        <f aca="false">IF(OR(A131="",COUNTIF('Injection Sales'!$B$2:$B$501,A131)+COUNTIF('Protein Sales'!$B$2:$B$501,A131)+COUNTIF('Diet Support'!$B$2:$B$501,A131)=0),"",MAX(_xlfn.MAXIFS('Injection Sales'!$A$2:$A$501,'Injection Sales'!$B$2:$B$501,A131),_xlfn.MAXIFS('Protein Sales'!$A$2:$A$501,'Protein Sales'!$B$2:$B$501,A131),_xlfn.MAXIFS('Diet Support'!$A$2:$A$501,'Diet Support'!$B$2:$B$501,A131)))</f>
        <v/>
      </c>
      <c r="E131" s="19" t="str">
        <f aca="false">IF(A131="","",COUNTIF('Injection Sales'!$B$2:$B$501,A131)+COUNTIF('Protein Sales'!$B$2:$B$501,A131)+COUNTIF('Diet Support'!$B$2:$B$501,A131))</f>
        <v/>
      </c>
      <c r="F131" s="20" t="str">
        <f aca="false">IF(A131="","",SUMIF('Injection Sales'!$B$2:$B$501,A131,'Injection Sales'!$G$2:$G$501)+SUMIF('Protein Sales'!$B$2:$B$501,A131,'Protein Sales'!$F$2:$F$501)+SUMIF('Diet Support'!$B$2:$B$501,A131,'Diet Support'!$E$2:$E$501))</f>
        <v/>
      </c>
      <c r="G131" s="21" t="str">
        <f aca="false">IF(OR(A131="",COUNTIF('Injection Sales'!$B$2:$B$501,A131)=0),"",IFERROR(LOOKUP(2,1/(('Injection Sales'!$B$2:$B$501=A131)*('Injection Sales'!$A$2:$A$501=_xlfn.MAXIFS('Injection Sales'!$A$2:$A$501,'Injection Sales'!$B$2:$B$501,A131))),'Injection Sales'!$E$2:$E$501),""))</f>
        <v/>
      </c>
      <c r="H131" s="21" t="str">
        <f aca="false">IF(OR(A131="",COUNTIF('Injection Sales'!$B$2:$B$501,A131)=0),"",IFERROR(LOOKUP(2,1/(('Injection Sales'!$B$2:$B$501=A131)*('Injection Sales'!$A$2:$A$501=_xlfn.MAXIFS('Injection Sales'!$A$2:$A$501,'Injection Sales'!$B$2:$B$501,A131))),'Injection Sales'!$H$2:$H$501),""))</f>
        <v/>
      </c>
      <c r="I131" s="21" t="str">
        <f aca="true">IF(OR(A131="",D131=""),"",IF(TODAY()-D131&lt;=Settings!$B$7,"Active","Inactive"))</f>
        <v/>
      </c>
    </row>
    <row r="132" customFormat="false" ht="15" hidden="false" customHeight="false" outlineLevel="0" collapsed="false">
      <c r="A132" s="1"/>
      <c r="B132" s="22"/>
      <c r="C132" s="18" t="str">
        <f aca="false">IF(OR(A132="",COUNTIF('Injection Sales'!$B$2:$B$501,A132)+COUNTIF('Protein Sales'!$B$2:$B$501,A132)+COUNTIF('Diet Support'!$B$2:$B$501,A132)=0),"",MIN(IF(COUNTIF('Injection Sales'!$B$2:$B$501,A132),_xlfn.MINIFS('Injection Sales'!$A$2:$A$501,'Injection Sales'!$B$2:$B$501,A132),99999),IF(COUNTIF('Protein Sales'!$B$2:$B$501,A132),_xlfn.MINIFS('Protein Sales'!$A$2:$A$501,'Protein Sales'!$B$2:$B$501,A132),99999),IF(COUNTIF('Diet Support'!$B$2:$B$501,A132),_xlfn.MINIFS('Diet Support'!$A$2:$A$501,'Diet Support'!$B$2:$B$501,A132),99999)))</f>
        <v/>
      </c>
      <c r="D132" s="18" t="str">
        <f aca="false">IF(OR(A132="",COUNTIF('Injection Sales'!$B$2:$B$501,A132)+COUNTIF('Protein Sales'!$B$2:$B$501,A132)+COUNTIF('Diet Support'!$B$2:$B$501,A132)=0),"",MAX(_xlfn.MAXIFS('Injection Sales'!$A$2:$A$501,'Injection Sales'!$B$2:$B$501,A132),_xlfn.MAXIFS('Protein Sales'!$A$2:$A$501,'Protein Sales'!$B$2:$B$501,A132),_xlfn.MAXIFS('Diet Support'!$A$2:$A$501,'Diet Support'!$B$2:$B$501,A132)))</f>
        <v/>
      </c>
      <c r="E132" s="19" t="str">
        <f aca="false">IF(A132="","",COUNTIF('Injection Sales'!$B$2:$B$501,A132)+COUNTIF('Protein Sales'!$B$2:$B$501,A132)+COUNTIF('Diet Support'!$B$2:$B$501,A132))</f>
        <v/>
      </c>
      <c r="F132" s="20" t="str">
        <f aca="false">IF(A132="","",SUMIF('Injection Sales'!$B$2:$B$501,A132,'Injection Sales'!$G$2:$G$501)+SUMIF('Protein Sales'!$B$2:$B$501,A132,'Protein Sales'!$F$2:$F$501)+SUMIF('Diet Support'!$B$2:$B$501,A132,'Diet Support'!$E$2:$E$501))</f>
        <v/>
      </c>
      <c r="G132" s="21" t="str">
        <f aca="false">IF(OR(A132="",COUNTIF('Injection Sales'!$B$2:$B$501,A132)=0),"",IFERROR(LOOKUP(2,1/(('Injection Sales'!$B$2:$B$501=A132)*('Injection Sales'!$A$2:$A$501=_xlfn.MAXIFS('Injection Sales'!$A$2:$A$501,'Injection Sales'!$B$2:$B$501,A132))),'Injection Sales'!$E$2:$E$501),""))</f>
        <v/>
      </c>
      <c r="H132" s="21" t="str">
        <f aca="false">IF(OR(A132="",COUNTIF('Injection Sales'!$B$2:$B$501,A132)=0),"",IFERROR(LOOKUP(2,1/(('Injection Sales'!$B$2:$B$501=A132)*('Injection Sales'!$A$2:$A$501=_xlfn.MAXIFS('Injection Sales'!$A$2:$A$501,'Injection Sales'!$B$2:$B$501,A132))),'Injection Sales'!$H$2:$H$501),""))</f>
        <v/>
      </c>
      <c r="I132" s="21" t="str">
        <f aca="true">IF(OR(A132="",D132=""),"",IF(TODAY()-D132&lt;=Settings!$B$7,"Active","Inactive"))</f>
        <v/>
      </c>
    </row>
    <row r="133" customFormat="false" ht="15" hidden="false" customHeight="false" outlineLevel="0" collapsed="false">
      <c r="A133" s="1"/>
      <c r="B133" s="22"/>
      <c r="C133" s="18" t="str">
        <f aca="false">IF(OR(A133="",COUNTIF('Injection Sales'!$B$2:$B$501,A133)+COUNTIF('Protein Sales'!$B$2:$B$501,A133)+COUNTIF('Diet Support'!$B$2:$B$501,A133)=0),"",MIN(IF(COUNTIF('Injection Sales'!$B$2:$B$501,A133),_xlfn.MINIFS('Injection Sales'!$A$2:$A$501,'Injection Sales'!$B$2:$B$501,A133),99999),IF(COUNTIF('Protein Sales'!$B$2:$B$501,A133),_xlfn.MINIFS('Protein Sales'!$A$2:$A$501,'Protein Sales'!$B$2:$B$501,A133),99999),IF(COUNTIF('Diet Support'!$B$2:$B$501,A133),_xlfn.MINIFS('Diet Support'!$A$2:$A$501,'Diet Support'!$B$2:$B$501,A133),99999)))</f>
        <v/>
      </c>
      <c r="D133" s="18" t="str">
        <f aca="false">IF(OR(A133="",COUNTIF('Injection Sales'!$B$2:$B$501,A133)+COUNTIF('Protein Sales'!$B$2:$B$501,A133)+COUNTIF('Diet Support'!$B$2:$B$501,A133)=0),"",MAX(_xlfn.MAXIFS('Injection Sales'!$A$2:$A$501,'Injection Sales'!$B$2:$B$501,A133),_xlfn.MAXIFS('Protein Sales'!$A$2:$A$501,'Protein Sales'!$B$2:$B$501,A133),_xlfn.MAXIFS('Diet Support'!$A$2:$A$501,'Diet Support'!$B$2:$B$501,A133)))</f>
        <v/>
      </c>
      <c r="E133" s="19" t="str">
        <f aca="false">IF(A133="","",COUNTIF('Injection Sales'!$B$2:$B$501,A133)+COUNTIF('Protein Sales'!$B$2:$B$501,A133)+COUNTIF('Diet Support'!$B$2:$B$501,A133))</f>
        <v/>
      </c>
      <c r="F133" s="20" t="str">
        <f aca="false">IF(A133="","",SUMIF('Injection Sales'!$B$2:$B$501,A133,'Injection Sales'!$G$2:$G$501)+SUMIF('Protein Sales'!$B$2:$B$501,A133,'Protein Sales'!$F$2:$F$501)+SUMIF('Diet Support'!$B$2:$B$501,A133,'Diet Support'!$E$2:$E$501))</f>
        <v/>
      </c>
      <c r="G133" s="21" t="str">
        <f aca="false">IF(OR(A133="",COUNTIF('Injection Sales'!$B$2:$B$501,A133)=0),"",IFERROR(LOOKUP(2,1/(('Injection Sales'!$B$2:$B$501=A133)*('Injection Sales'!$A$2:$A$501=_xlfn.MAXIFS('Injection Sales'!$A$2:$A$501,'Injection Sales'!$B$2:$B$501,A133))),'Injection Sales'!$E$2:$E$501),""))</f>
        <v/>
      </c>
      <c r="H133" s="21" t="str">
        <f aca="false">IF(OR(A133="",COUNTIF('Injection Sales'!$B$2:$B$501,A133)=0),"",IFERROR(LOOKUP(2,1/(('Injection Sales'!$B$2:$B$501=A133)*('Injection Sales'!$A$2:$A$501=_xlfn.MAXIFS('Injection Sales'!$A$2:$A$501,'Injection Sales'!$B$2:$B$501,A133))),'Injection Sales'!$H$2:$H$501),""))</f>
        <v/>
      </c>
      <c r="I133" s="21" t="str">
        <f aca="true">IF(OR(A133="",D133=""),"",IF(TODAY()-D133&lt;=Settings!$B$7,"Active","Inactive"))</f>
        <v/>
      </c>
    </row>
    <row r="134" customFormat="false" ht="15" hidden="false" customHeight="false" outlineLevel="0" collapsed="false">
      <c r="A134" s="1"/>
      <c r="B134" s="22"/>
      <c r="C134" s="18" t="str">
        <f aca="false">IF(OR(A134="",COUNTIF('Injection Sales'!$B$2:$B$501,A134)+COUNTIF('Protein Sales'!$B$2:$B$501,A134)+COUNTIF('Diet Support'!$B$2:$B$501,A134)=0),"",MIN(IF(COUNTIF('Injection Sales'!$B$2:$B$501,A134),_xlfn.MINIFS('Injection Sales'!$A$2:$A$501,'Injection Sales'!$B$2:$B$501,A134),99999),IF(COUNTIF('Protein Sales'!$B$2:$B$501,A134),_xlfn.MINIFS('Protein Sales'!$A$2:$A$501,'Protein Sales'!$B$2:$B$501,A134),99999),IF(COUNTIF('Diet Support'!$B$2:$B$501,A134),_xlfn.MINIFS('Diet Support'!$A$2:$A$501,'Diet Support'!$B$2:$B$501,A134),99999)))</f>
        <v/>
      </c>
      <c r="D134" s="18" t="str">
        <f aca="false">IF(OR(A134="",COUNTIF('Injection Sales'!$B$2:$B$501,A134)+COUNTIF('Protein Sales'!$B$2:$B$501,A134)+COUNTIF('Diet Support'!$B$2:$B$501,A134)=0),"",MAX(_xlfn.MAXIFS('Injection Sales'!$A$2:$A$501,'Injection Sales'!$B$2:$B$501,A134),_xlfn.MAXIFS('Protein Sales'!$A$2:$A$501,'Protein Sales'!$B$2:$B$501,A134),_xlfn.MAXIFS('Diet Support'!$A$2:$A$501,'Diet Support'!$B$2:$B$501,A134)))</f>
        <v/>
      </c>
      <c r="E134" s="19" t="str">
        <f aca="false">IF(A134="","",COUNTIF('Injection Sales'!$B$2:$B$501,A134)+COUNTIF('Protein Sales'!$B$2:$B$501,A134)+COUNTIF('Diet Support'!$B$2:$B$501,A134))</f>
        <v/>
      </c>
      <c r="F134" s="20" t="str">
        <f aca="false">IF(A134="","",SUMIF('Injection Sales'!$B$2:$B$501,A134,'Injection Sales'!$G$2:$G$501)+SUMIF('Protein Sales'!$B$2:$B$501,A134,'Protein Sales'!$F$2:$F$501)+SUMIF('Diet Support'!$B$2:$B$501,A134,'Diet Support'!$E$2:$E$501))</f>
        <v/>
      </c>
      <c r="G134" s="21" t="str">
        <f aca="false">IF(OR(A134="",COUNTIF('Injection Sales'!$B$2:$B$501,A134)=0),"",IFERROR(LOOKUP(2,1/(('Injection Sales'!$B$2:$B$501=A134)*('Injection Sales'!$A$2:$A$501=_xlfn.MAXIFS('Injection Sales'!$A$2:$A$501,'Injection Sales'!$B$2:$B$501,A134))),'Injection Sales'!$E$2:$E$501),""))</f>
        <v/>
      </c>
      <c r="H134" s="21" t="str">
        <f aca="false">IF(OR(A134="",COUNTIF('Injection Sales'!$B$2:$B$501,A134)=0),"",IFERROR(LOOKUP(2,1/(('Injection Sales'!$B$2:$B$501=A134)*('Injection Sales'!$A$2:$A$501=_xlfn.MAXIFS('Injection Sales'!$A$2:$A$501,'Injection Sales'!$B$2:$B$501,A134))),'Injection Sales'!$H$2:$H$501),""))</f>
        <v/>
      </c>
      <c r="I134" s="21" t="str">
        <f aca="true">IF(OR(A134="",D134=""),"",IF(TODAY()-D134&lt;=Settings!$B$7,"Active","Inactive"))</f>
        <v/>
      </c>
    </row>
    <row r="135" customFormat="false" ht="15" hidden="false" customHeight="false" outlineLevel="0" collapsed="false">
      <c r="A135" s="1"/>
      <c r="B135" s="22"/>
      <c r="C135" s="18" t="str">
        <f aca="false">IF(OR(A135="",COUNTIF('Injection Sales'!$B$2:$B$501,A135)+COUNTIF('Protein Sales'!$B$2:$B$501,A135)+COUNTIF('Diet Support'!$B$2:$B$501,A135)=0),"",MIN(IF(COUNTIF('Injection Sales'!$B$2:$B$501,A135),_xlfn.MINIFS('Injection Sales'!$A$2:$A$501,'Injection Sales'!$B$2:$B$501,A135),99999),IF(COUNTIF('Protein Sales'!$B$2:$B$501,A135),_xlfn.MINIFS('Protein Sales'!$A$2:$A$501,'Protein Sales'!$B$2:$B$501,A135),99999),IF(COUNTIF('Diet Support'!$B$2:$B$501,A135),_xlfn.MINIFS('Diet Support'!$A$2:$A$501,'Diet Support'!$B$2:$B$501,A135),99999)))</f>
        <v/>
      </c>
      <c r="D135" s="18" t="str">
        <f aca="false">IF(OR(A135="",COUNTIF('Injection Sales'!$B$2:$B$501,A135)+COUNTIF('Protein Sales'!$B$2:$B$501,A135)+COUNTIF('Diet Support'!$B$2:$B$501,A135)=0),"",MAX(_xlfn.MAXIFS('Injection Sales'!$A$2:$A$501,'Injection Sales'!$B$2:$B$501,A135),_xlfn.MAXIFS('Protein Sales'!$A$2:$A$501,'Protein Sales'!$B$2:$B$501,A135),_xlfn.MAXIFS('Diet Support'!$A$2:$A$501,'Diet Support'!$B$2:$B$501,A135)))</f>
        <v/>
      </c>
      <c r="E135" s="19" t="str">
        <f aca="false">IF(A135="","",COUNTIF('Injection Sales'!$B$2:$B$501,A135)+COUNTIF('Protein Sales'!$B$2:$B$501,A135)+COUNTIF('Diet Support'!$B$2:$B$501,A135))</f>
        <v/>
      </c>
      <c r="F135" s="20" t="str">
        <f aca="false">IF(A135="","",SUMIF('Injection Sales'!$B$2:$B$501,A135,'Injection Sales'!$G$2:$G$501)+SUMIF('Protein Sales'!$B$2:$B$501,A135,'Protein Sales'!$F$2:$F$501)+SUMIF('Diet Support'!$B$2:$B$501,A135,'Diet Support'!$E$2:$E$501))</f>
        <v/>
      </c>
      <c r="G135" s="21" t="str">
        <f aca="false">IF(OR(A135="",COUNTIF('Injection Sales'!$B$2:$B$501,A135)=0),"",IFERROR(LOOKUP(2,1/(('Injection Sales'!$B$2:$B$501=A135)*('Injection Sales'!$A$2:$A$501=_xlfn.MAXIFS('Injection Sales'!$A$2:$A$501,'Injection Sales'!$B$2:$B$501,A135))),'Injection Sales'!$E$2:$E$501),""))</f>
        <v/>
      </c>
      <c r="H135" s="21" t="str">
        <f aca="false">IF(OR(A135="",COUNTIF('Injection Sales'!$B$2:$B$501,A135)=0),"",IFERROR(LOOKUP(2,1/(('Injection Sales'!$B$2:$B$501=A135)*('Injection Sales'!$A$2:$A$501=_xlfn.MAXIFS('Injection Sales'!$A$2:$A$501,'Injection Sales'!$B$2:$B$501,A135))),'Injection Sales'!$H$2:$H$501),""))</f>
        <v/>
      </c>
      <c r="I135" s="21" t="str">
        <f aca="true">IF(OR(A135="",D135=""),"",IF(TODAY()-D135&lt;=Settings!$B$7,"Active","Inactive"))</f>
        <v/>
      </c>
    </row>
    <row r="136" customFormat="false" ht="15" hidden="false" customHeight="false" outlineLevel="0" collapsed="false">
      <c r="A136" s="1"/>
      <c r="B136" s="22"/>
      <c r="C136" s="18" t="str">
        <f aca="false">IF(OR(A136="",COUNTIF('Injection Sales'!$B$2:$B$501,A136)+COUNTIF('Protein Sales'!$B$2:$B$501,A136)+COUNTIF('Diet Support'!$B$2:$B$501,A136)=0),"",MIN(IF(COUNTIF('Injection Sales'!$B$2:$B$501,A136),_xlfn.MINIFS('Injection Sales'!$A$2:$A$501,'Injection Sales'!$B$2:$B$501,A136),99999),IF(COUNTIF('Protein Sales'!$B$2:$B$501,A136),_xlfn.MINIFS('Protein Sales'!$A$2:$A$501,'Protein Sales'!$B$2:$B$501,A136),99999),IF(COUNTIF('Diet Support'!$B$2:$B$501,A136),_xlfn.MINIFS('Diet Support'!$A$2:$A$501,'Diet Support'!$B$2:$B$501,A136),99999)))</f>
        <v/>
      </c>
      <c r="D136" s="18" t="str">
        <f aca="false">IF(OR(A136="",COUNTIF('Injection Sales'!$B$2:$B$501,A136)+COUNTIF('Protein Sales'!$B$2:$B$501,A136)+COUNTIF('Diet Support'!$B$2:$B$501,A136)=0),"",MAX(_xlfn.MAXIFS('Injection Sales'!$A$2:$A$501,'Injection Sales'!$B$2:$B$501,A136),_xlfn.MAXIFS('Protein Sales'!$A$2:$A$501,'Protein Sales'!$B$2:$B$501,A136),_xlfn.MAXIFS('Diet Support'!$A$2:$A$501,'Diet Support'!$B$2:$B$501,A136)))</f>
        <v/>
      </c>
      <c r="E136" s="19" t="str">
        <f aca="false">IF(A136="","",COUNTIF('Injection Sales'!$B$2:$B$501,A136)+COUNTIF('Protein Sales'!$B$2:$B$501,A136)+COUNTIF('Diet Support'!$B$2:$B$501,A136))</f>
        <v/>
      </c>
      <c r="F136" s="20" t="str">
        <f aca="false">IF(A136="","",SUMIF('Injection Sales'!$B$2:$B$501,A136,'Injection Sales'!$G$2:$G$501)+SUMIF('Protein Sales'!$B$2:$B$501,A136,'Protein Sales'!$F$2:$F$501)+SUMIF('Diet Support'!$B$2:$B$501,A136,'Diet Support'!$E$2:$E$501))</f>
        <v/>
      </c>
      <c r="G136" s="21" t="str">
        <f aca="false">IF(OR(A136="",COUNTIF('Injection Sales'!$B$2:$B$501,A136)=0),"",IFERROR(LOOKUP(2,1/(('Injection Sales'!$B$2:$B$501=A136)*('Injection Sales'!$A$2:$A$501=_xlfn.MAXIFS('Injection Sales'!$A$2:$A$501,'Injection Sales'!$B$2:$B$501,A136))),'Injection Sales'!$E$2:$E$501),""))</f>
        <v/>
      </c>
      <c r="H136" s="21" t="str">
        <f aca="false">IF(OR(A136="",COUNTIF('Injection Sales'!$B$2:$B$501,A136)=0),"",IFERROR(LOOKUP(2,1/(('Injection Sales'!$B$2:$B$501=A136)*('Injection Sales'!$A$2:$A$501=_xlfn.MAXIFS('Injection Sales'!$A$2:$A$501,'Injection Sales'!$B$2:$B$501,A136))),'Injection Sales'!$H$2:$H$501),""))</f>
        <v/>
      </c>
      <c r="I136" s="21" t="str">
        <f aca="true">IF(OR(A136="",D136=""),"",IF(TODAY()-D136&lt;=Settings!$B$7,"Active","Inactive"))</f>
        <v/>
      </c>
    </row>
    <row r="137" customFormat="false" ht="15" hidden="false" customHeight="false" outlineLevel="0" collapsed="false">
      <c r="A137" s="1"/>
      <c r="B137" s="22"/>
      <c r="C137" s="18" t="str">
        <f aca="false">IF(OR(A137="",COUNTIF('Injection Sales'!$B$2:$B$501,A137)+COUNTIF('Protein Sales'!$B$2:$B$501,A137)+COUNTIF('Diet Support'!$B$2:$B$501,A137)=0),"",MIN(IF(COUNTIF('Injection Sales'!$B$2:$B$501,A137),_xlfn.MINIFS('Injection Sales'!$A$2:$A$501,'Injection Sales'!$B$2:$B$501,A137),99999),IF(COUNTIF('Protein Sales'!$B$2:$B$501,A137),_xlfn.MINIFS('Protein Sales'!$A$2:$A$501,'Protein Sales'!$B$2:$B$501,A137),99999),IF(COUNTIF('Diet Support'!$B$2:$B$501,A137),_xlfn.MINIFS('Diet Support'!$A$2:$A$501,'Diet Support'!$B$2:$B$501,A137),99999)))</f>
        <v/>
      </c>
      <c r="D137" s="18" t="str">
        <f aca="false">IF(OR(A137="",COUNTIF('Injection Sales'!$B$2:$B$501,A137)+COUNTIF('Protein Sales'!$B$2:$B$501,A137)+COUNTIF('Diet Support'!$B$2:$B$501,A137)=0),"",MAX(_xlfn.MAXIFS('Injection Sales'!$A$2:$A$501,'Injection Sales'!$B$2:$B$501,A137),_xlfn.MAXIFS('Protein Sales'!$A$2:$A$501,'Protein Sales'!$B$2:$B$501,A137),_xlfn.MAXIFS('Diet Support'!$A$2:$A$501,'Diet Support'!$B$2:$B$501,A137)))</f>
        <v/>
      </c>
      <c r="E137" s="19" t="str">
        <f aca="false">IF(A137="","",COUNTIF('Injection Sales'!$B$2:$B$501,A137)+COUNTIF('Protein Sales'!$B$2:$B$501,A137)+COUNTIF('Diet Support'!$B$2:$B$501,A137))</f>
        <v/>
      </c>
      <c r="F137" s="20" t="str">
        <f aca="false">IF(A137="","",SUMIF('Injection Sales'!$B$2:$B$501,A137,'Injection Sales'!$G$2:$G$501)+SUMIF('Protein Sales'!$B$2:$B$501,A137,'Protein Sales'!$F$2:$F$501)+SUMIF('Diet Support'!$B$2:$B$501,A137,'Diet Support'!$E$2:$E$501))</f>
        <v/>
      </c>
      <c r="G137" s="21" t="str">
        <f aca="false">IF(OR(A137="",COUNTIF('Injection Sales'!$B$2:$B$501,A137)=0),"",IFERROR(LOOKUP(2,1/(('Injection Sales'!$B$2:$B$501=A137)*('Injection Sales'!$A$2:$A$501=_xlfn.MAXIFS('Injection Sales'!$A$2:$A$501,'Injection Sales'!$B$2:$B$501,A137))),'Injection Sales'!$E$2:$E$501),""))</f>
        <v/>
      </c>
      <c r="H137" s="21" t="str">
        <f aca="false">IF(OR(A137="",COUNTIF('Injection Sales'!$B$2:$B$501,A137)=0),"",IFERROR(LOOKUP(2,1/(('Injection Sales'!$B$2:$B$501=A137)*('Injection Sales'!$A$2:$A$501=_xlfn.MAXIFS('Injection Sales'!$A$2:$A$501,'Injection Sales'!$B$2:$B$501,A137))),'Injection Sales'!$H$2:$H$501),""))</f>
        <v/>
      </c>
      <c r="I137" s="21" t="str">
        <f aca="true">IF(OR(A137="",D137=""),"",IF(TODAY()-D137&lt;=Settings!$B$7,"Active","Inactive"))</f>
        <v/>
      </c>
    </row>
    <row r="138" customFormat="false" ht="15" hidden="false" customHeight="false" outlineLevel="0" collapsed="false">
      <c r="A138" s="1"/>
      <c r="B138" s="22"/>
      <c r="C138" s="18" t="str">
        <f aca="false">IF(OR(A138="",COUNTIF('Injection Sales'!$B$2:$B$501,A138)+COUNTIF('Protein Sales'!$B$2:$B$501,A138)+COUNTIF('Diet Support'!$B$2:$B$501,A138)=0),"",MIN(IF(COUNTIF('Injection Sales'!$B$2:$B$501,A138),_xlfn.MINIFS('Injection Sales'!$A$2:$A$501,'Injection Sales'!$B$2:$B$501,A138),99999),IF(COUNTIF('Protein Sales'!$B$2:$B$501,A138),_xlfn.MINIFS('Protein Sales'!$A$2:$A$501,'Protein Sales'!$B$2:$B$501,A138),99999),IF(COUNTIF('Diet Support'!$B$2:$B$501,A138),_xlfn.MINIFS('Diet Support'!$A$2:$A$501,'Diet Support'!$B$2:$B$501,A138),99999)))</f>
        <v/>
      </c>
      <c r="D138" s="18" t="str">
        <f aca="false">IF(OR(A138="",COUNTIF('Injection Sales'!$B$2:$B$501,A138)+COUNTIF('Protein Sales'!$B$2:$B$501,A138)+COUNTIF('Diet Support'!$B$2:$B$501,A138)=0),"",MAX(_xlfn.MAXIFS('Injection Sales'!$A$2:$A$501,'Injection Sales'!$B$2:$B$501,A138),_xlfn.MAXIFS('Protein Sales'!$A$2:$A$501,'Protein Sales'!$B$2:$B$501,A138),_xlfn.MAXIFS('Diet Support'!$A$2:$A$501,'Diet Support'!$B$2:$B$501,A138)))</f>
        <v/>
      </c>
      <c r="E138" s="19" t="str">
        <f aca="false">IF(A138="","",COUNTIF('Injection Sales'!$B$2:$B$501,A138)+COUNTIF('Protein Sales'!$B$2:$B$501,A138)+COUNTIF('Diet Support'!$B$2:$B$501,A138))</f>
        <v/>
      </c>
      <c r="F138" s="20" t="str">
        <f aca="false">IF(A138="","",SUMIF('Injection Sales'!$B$2:$B$501,A138,'Injection Sales'!$G$2:$G$501)+SUMIF('Protein Sales'!$B$2:$B$501,A138,'Protein Sales'!$F$2:$F$501)+SUMIF('Diet Support'!$B$2:$B$501,A138,'Diet Support'!$E$2:$E$501))</f>
        <v/>
      </c>
      <c r="G138" s="21" t="str">
        <f aca="false">IF(OR(A138="",COUNTIF('Injection Sales'!$B$2:$B$501,A138)=0),"",IFERROR(LOOKUP(2,1/(('Injection Sales'!$B$2:$B$501=A138)*('Injection Sales'!$A$2:$A$501=_xlfn.MAXIFS('Injection Sales'!$A$2:$A$501,'Injection Sales'!$B$2:$B$501,A138))),'Injection Sales'!$E$2:$E$501),""))</f>
        <v/>
      </c>
      <c r="H138" s="21" t="str">
        <f aca="false">IF(OR(A138="",COUNTIF('Injection Sales'!$B$2:$B$501,A138)=0),"",IFERROR(LOOKUP(2,1/(('Injection Sales'!$B$2:$B$501=A138)*('Injection Sales'!$A$2:$A$501=_xlfn.MAXIFS('Injection Sales'!$A$2:$A$501,'Injection Sales'!$B$2:$B$501,A138))),'Injection Sales'!$H$2:$H$501),""))</f>
        <v/>
      </c>
      <c r="I138" s="21" t="str">
        <f aca="true">IF(OR(A138="",D138=""),"",IF(TODAY()-D138&lt;=Settings!$B$7,"Active","Inactive"))</f>
        <v/>
      </c>
    </row>
    <row r="139" customFormat="false" ht="15" hidden="false" customHeight="false" outlineLevel="0" collapsed="false">
      <c r="A139" s="1"/>
      <c r="B139" s="22"/>
      <c r="C139" s="18" t="str">
        <f aca="false">IF(OR(A139="",COUNTIF('Injection Sales'!$B$2:$B$501,A139)+COUNTIF('Protein Sales'!$B$2:$B$501,A139)+COUNTIF('Diet Support'!$B$2:$B$501,A139)=0),"",MIN(IF(COUNTIF('Injection Sales'!$B$2:$B$501,A139),_xlfn.MINIFS('Injection Sales'!$A$2:$A$501,'Injection Sales'!$B$2:$B$501,A139),99999),IF(COUNTIF('Protein Sales'!$B$2:$B$501,A139),_xlfn.MINIFS('Protein Sales'!$A$2:$A$501,'Protein Sales'!$B$2:$B$501,A139),99999),IF(COUNTIF('Diet Support'!$B$2:$B$501,A139),_xlfn.MINIFS('Diet Support'!$A$2:$A$501,'Diet Support'!$B$2:$B$501,A139),99999)))</f>
        <v/>
      </c>
      <c r="D139" s="18" t="str">
        <f aca="false">IF(OR(A139="",COUNTIF('Injection Sales'!$B$2:$B$501,A139)+COUNTIF('Protein Sales'!$B$2:$B$501,A139)+COUNTIF('Diet Support'!$B$2:$B$501,A139)=0),"",MAX(_xlfn.MAXIFS('Injection Sales'!$A$2:$A$501,'Injection Sales'!$B$2:$B$501,A139),_xlfn.MAXIFS('Protein Sales'!$A$2:$A$501,'Protein Sales'!$B$2:$B$501,A139),_xlfn.MAXIFS('Diet Support'!$A$2:$A$501,'Diet Support'!$B$2:$B$501,A139)))</f>
        <v/>
      </c>
      <c r="E139" s="19" t="str">
        <f aca="false">IF(A139="","",COUNTIF('Injection Sales'!$B$2:$B$501,A139)+COUNTIF('Protein Sales'!$B$2:$B$501,A139)+COUNTIF('Diet Support'!$B$2:$B$501,A139))</f>
        <v/>
      </c>
      <c r="F139" s="20" t="str">
        <f aca="false">IF(A139="","",SUMIF('Injection Sales'!$B$2:$B$501,A139,'Injection Sales'!$G$2:$G$501)+SUMIF('Protein Sales'!$B$2:$B$501,A139,'Protein Sales'!$F$2:$F$501)+SUMIF('Diet Support'!$B$2:$B$501,A139,'Diet Support'!$E$2:$E$501))</f>
        <v/>
      </c>
      <c r="G139" s="21" t="str">
        <f aca="false">IF(OR(A139="",COUNTIF('Injection Sales'!$B$2:$B$501,A139)=0),"",IFERROR(LOOKUP(2,1/(('Injection Sales'!$B$2:$B$501=A139)*('Injection Sales'!$A$2:$A$501=_xlfn.MAXIFS('Injection Sales'!$A$2:$A$501,'Injection Sales'!$B$2:$B$501,A139))),'Injection Sales'!$E$2:$E$501),""))</f>
        <v/>
      </c>
      <c r="H139" s="21" t="str">
        <f aca="false">IF(OR(A139="",COUNTIF('Injection Sales'!$B$2:$B$501,A139)=0),"",IFERROR(LOOKUP(2,1/(('Injection Sales'!$B$2:$B$501=A139)*('Injection Sales'!$A$2:$A$501=_xlfn.MAXIFS('Injection Sales'!$A$2:$A$501,'Injection Sales'!$B$2:$B$501,A139))),'Injection Sales'!$H$2:$H$501),""))</f>
        <v/>
      </c>
      <c r="I139" s="21" t="str">
        <f aca="true">IF(OR(A139="",D139=""),"",IF(TODAY()-D139&lt;=Settings!$B$7,"Active","Inactive"))</f>
        <v/>
      </c>
    </row>
    <row r="140" customFormat="false" ht="15" hidden="false" customHeight="false" outlineLevel="0" collapsed="false">
      <c r="A140" s="1"/>
      <c r="B140" s="22"/>
      <c r="C140" s="18" t="str">
        <f aca="false">IF(OR(A140="",COUNTIF('Injection Sales'!$B$2:$B$501,A140)+COUNTIF('Protein Sales'!$B$2:$B$501,A140)+COUNTIF('Diet Support'!$B$2:$B$501,A140)=0),"",MIN(IF(COUNTIF('Injection Sales'!$B$2:$B$501,A140),_xlfn.MINIFS('Injection Sales'!$A$2:$A$501,'Injection Sales'!$B$2:$B$501,A140),99999),IF(COUNTIF('Protein Sales'!$B$2:$B$501,A140),_xlfn.MINIFS('Protein Sales'!$A$2:$A$501,'Protein Sales'!$B$2:$B$501,A140),99999),IF(COUNTIF('Diet Support'!$B$2:$B$501,A140),_xlfn.MINIFS('Diet Support'!$A$2:$A$501,'Diet Support'!$B$2:$B$501,A140),99999)))</f>
        <v/>
      </c>
      <c r="D140" s="18" t="str">
        <f aca="false">IF(OR(A140="",COUNTIF('Injection Sales'!$B$2:$B$501,A140)+COUNTIF('Protein Sales'!$B$2:$B$501,A140)+COUNTIF('Diet Support'!$B$2:$B$501,A140)=0),"",MAX(_xlfn.MAXIFS('Injection Sales'!$A$2:$A$501,'Injection Sales'!$B$2:$B$501,A140),_xlfn.MAXIFS('Protein Sales'!$A$2:$A$501,'Protein Sales'!$B$2:$B$501,A140),_xlfn.MAXIFS('Diet Support'!$A$2:$A$501,'Diet Support'!$B$2:$B$501,A140)))</f>
        <v/>
      </c>
      <c r="E140" s="19" t="str">
        <f aca="false">IF(A140="","",COUNTIF('Injection Sales'!$B$2:$B$501,A140)+COUNTIF('Protein Sales'!$B$2:$B$501,A140)+COUNTIF('Diet Support'!$B$2:$B$501,A140))</f>
        <v/>
      </c>
      <c r="F140" s="20" t="str">
        <f aca="false">IF(A140="","",SUMIF('Injection Sales'!$B$2:$B$501,A140,'Injection Sales'!$G$2:$G$501)+SUMIF('Protein Sales'!$B$2:$B$501,A140,'Protein Sales'!$F$2:$F$501)+SUMIF('Diet Support'!$B$2:$B$501,A140,'Diet Support'!$E$2:$E$501))</f>
        <v/>
      </c>
      <c r="G140" s="21" t="str">
        <f aca="false">IF(OR(A140="",COUNTIF('Injection Sales'!$B$2:$B$501,A140)=0),"",IFERROR(LOOKUP(2,1/(('Injection Sales'!$B$2:$B$501=A140)*('Injection Sales'!$A$2:$A$501=_xlfn.MAXIFS('Injection Sales'!$A$2:$A$501,'Injection Sales'!$B$2:$B$501,A140))),'Injection Sales'!$E$2:$E$501),""))</f>
        <v/>
      </c>
      <c r="H140" s="21" t="str">
        <f aca="false">IF(OR(A140="",COUNTIF('Injection Sales'!$B$2:$B$501,A140)=0),"",IFERROR(LOOKUP(2,1/(('Injection Sales'!$B$2:$B$501=A140)*('Injection Sales'!$A$2:$A$501=_xlfn.MAXIFS('Injection Sales'!$A$2:$A$501,'Injection Sales'!$B$2:$B$501,A140))),'Injection Sales'!$H$2:$H$501),""))</f>
        <v/>
      </c>
      <c r="I140" s="21" t="str">
        <f aca="true">IF(OR(A140="",D140=""),"",IF(TODAY()-D140&lt;=Settings!$B$7,"Active","Inactive"))</f>
        <v/>
      </c>
    </row>
    <row r="141" customFormat="false" ht="15" hidden="false" customHeight="false" outlineLevel="0" collapsed="false">
      <c r="A141" s="1"/>
      <c r="B141" s="22"/>
      <c r="C141" s="18" t="str">
        <f aca="false">IF(OR(A141="",COUNTIF('Injection Sales'!$B$2:$B$501,A141)+COUNTIF('Protein Sales'!$B$2:$B$501,A141)+COUNTIF('Diet Support'!$B$2:$B$501,A141)=0),"",MIN(IF(COUNTIF('Injection Sales'!$B$2:$B$501,A141),_xlfn.MINIFS('Injection Sales'!$A$2:$A$501,'Injection Sales'!$B$2:$B$501,A141),99999),IF(COUNTIF('Protein Sales'!$B$2:$B$501,A141),_xlfn.MINIFS('Protein Sales'!$A$2:$A$501,'Protein Sales'!$B$2:$B$501,A141),99999),IF(COUNTIF('Diet Support'!$B$2:$B$501,A141),_xlfn.MINIFS('Diet Support'!$A$2:$A$501,'Diet Support'!$B$2:$B$501,A141),99999)))</f>
        <v/>
      </c>
      <c r="D141" s="18" t="str">
        <f aca="false">IF(OR(A141="",COUNTIF('Injection Sales'!$B$2:$B$501,A141)+COUNTIF('Protein Sales'!$B$2:$B$501,A141)+COUNTIF('Diet Support'!$B$2:$B$501,A141)=0),"",MAX(_xlfn.MAXIFS('Injection Sales'!$A$2:$A$501,'Injection Sales'!$B$2:$B$501,A141),_xlfn.MAXIFS('Protein Sales'!$A$2:$A$501,'Protein Sales'!$B$2:$B$501,A141),_xlfn.MAXIFS('Diet Support'!$A$2:$A$501,'Diet Support'!$B$2:$B$501,A141)))</f>
        <v/>
      </c>
      <c r="E141" s="19" t="str">
        <f aca="false">IF(A141="","",COUNTIF('Injection Sales'!$B$2:$B$501,A141)+COUNTIF('Protein Sales'!$B$2:$B$501,A141)+COUNTIF('Diet Support'!$B$2:$B$501,A141))</f>
        <v/>
      </c>
      <c r="F141" s="20" t="str">
        <f aca="false">IF(A141="","",SUMIF('Injection Sales'!$B$2:$B$501,A141,'Injection Sales'!$G$2:$G$501)+SUMIF('Protein Sales'!$B$2:$B$501,A141,'Protein Sales'!$F$2:$F$501)+SUMIF('Diet Support'!$B$2:$B$501,A141,'Diet Support'!$E$2:$E$501))</f>
        <v/>
      </c>
      <c r="G141" s="21" t="str">
        <f aca="false">IF(OR(A141="",COUNTIF('Injection Sales'!$B$2:$B$501,A141)=0),"",IFERROR(LOOKUP(2,1/(('Injection Sales'!$B$2:$B$501=A141)*('Injection Sales'!$A$2:$A$501=_xlfn.MAXIFS('Injection Sales'!$A$2:$A$501,'Injection Sales'!$B$2:$B$501,A141))),'Injection Sales'!$E$2:$E$501),""))</f>
        <v/>
      </c>
      <c r="H141" s="21" t="str">
        <f aca="false">IF(OR(A141="",COUNTIF('Injection Sales'!$B$2:$B$501,A141)=0),"",IFERROR(LOOKUP(2,1/(('Injection Sales'!$B$2:$B$501=A141)*('Injection Sales'!$A$2:$A$501=_xlfn.MAXIFS('Injection Sales'!$A$2:$A$501,'Injection Sales'!$B$2:$B$501,A141))),'Injection Sales'!$H$2:$H$501),""))</f>
        <v/>
      </c>
      <c r="I141" s="21" t="str">
        <f aca="true">IF(OR(A141="",D141=""),"",IF(TODAY()-D141&lt;=Settings!$B$7,"Active","Inactive"))</f>
        <v/>
      </c>
    </row>
    <row r="142" customFormat="false" ht="15" hidden="false" customHeight="false" outlineLevel="0" collapsed="false">
      <c r="A142" s="1"/>
      <c r="B142" s="22"/>
      <c r="C142" s="18" t="str">
        <f aca="false">IF(OR(A142="",COUNTIF('Injection Sales'!$B$2:$B$501,A142)+COUNTIF('Protein Sales'!$B$2:$B$501,A142)+COUNTIF('Diet Support'!$B$2:$B$501,A142)=0),"",MIN(IF(COUNTIF('Injection Sales'!$B$2:$B$501,A142),_xlfn.MINIFS('Injection Sales'!$A$2:$A$501,'Injection Sales'!$B$2:$B$501,A142),99999),IF(COUNTIF('Protein Sales'!$B$2:$B$501,A142),_xlfn.MINIFS('Protein Sales'!$A$2:$A$501,'Protein Sales'!$B$2:$B$501,A142),99999),IF(COUNTIF('Diet Support'!$B$2:$B$501,A142),_xlfn.MINIFS('Diet Support'!$A$2:$A$501,'Diet Support'!$B$2:$B$501,A142),99999)))</f>
        <v/>
      </c>
      <c r="D142" s="18" t="str">
        <f aca="false">IF(OR(A142="",COUNTIF('Injection Sales'!$B$2:$B$501,A142)+COUNTIF('Protein Sales'!$B$2:$B$501,A142)+COUNTIF('Diet Support'!$B$2:$B$501,A142)=0),"",MAX(_xlfn.MAXIFS('Injection Sales'!$A$2:$A$501,'Injection Sales'!$B$2:$B$501,A142),_xlfn.MAXIFS('Protein Sales'!$A$2:$A$501,'Protein Sales'!$B$2:$B$501,A142),_xlfn.MAXIFS('Diet Support'!$A$2:$A$501,'Diet Support'!$B$2:$B$501,A142)))</f>
        <v/>
      </c>
      <c r="E142" s="19" t="str">
        <f aca="false">IF(A142="","",COUNTIF('Injection Sales'!$B$2:$B$501,A142)+COUNTIF('Protein Sales'!$B$2:$B$501,A142)+COUNTIF('Diet Support'!$B$2:$B$501,A142))</f>
        <v/>
      </c>
      <c r="F142" s="20" t="str">
        <f aca="false">IF(A142="","",SUMIF('Injection Sales'!$B$2:$B$501,A142,'Injection Sales'!$G$2:$G$501)+SUMIF('Protein Sales'!$B$2:$B$501,A142,'Protein Sales'!$F$2:$F$501)+SUMIF('Diet Support'!$B$2:$B$501,A142,'Diet Support'!$E$2:$E$501))</f>
        <v/>
      </c>
      <c r="G142" s="21" t="str">
        <f aca="false">IF(OR(A142="",COUNTIF('Injection Sales'!$B$2:$B$501,A142)=0),"",IFERROR(LOOKUP(2,1/(('Injection Sales'!$B$2:$B$501=A142)*('Injection Sales'!$A$2:$A$501=_xlfn.MAXIFS('Injection Sales'!$A$2:$A$501,'Injection Sales'!$B$2:$B$501,A142))),'Injection Sales'!$E$2:$E$501),""))</f>
        <v/>
      </c>
      <c r="H142" s="21" t="str">
        <f aca="false">IF(OR(A142="",COUNTIF('Injection Sales'!$B$2:$B$501,A142)=0),"",IFERROR(LOOKUP(2,1/(('Injection Sales'!$B$2:$B$501=A142)*('Injection Sales'!$A$2:$A$501=_xlfn.MAXIFS('Injection Sales'!$A$2:$A$501,'Injection Sales'!$B$2:$B$501,A142))),'Injection Sales'!$H$2:$H$501),""))</f>
        <v/>
      </c>
      <c r="I142" s="21" t="str">
        <f aca="true">IF(OR(A142="",D142=""),"",IF(TODAY()-D142&lt;=Settings!$B$7,"Active","Inactive"))</f>
        <v/>
      </c>
    </row>
    <row r="143" customFormat="false" ht="15" hidden="false" customHeight="false" outlineLevel="0" collapsed="false">
      <c r="A143" s="1"/>
      <c r="B143" s="22"/>
      <c r="C143" s="18" t="str">
        <f aca="false">IF(OR(A143="",COUNTIF('Injection Sales'!$B$2:$B$501,A143)+COUNTIF('Protein Sales'!$B$2:$B$501,A143)+COUNTIF('Diet Support'!$B$2:$B$501,A143)=0),"",MIN(IF(COUNTIF('Injection Sales'!$B$2:$B$501,A143),_xlfn.MINIFS('Injection Sales'!$A$2:$A$501,'Injection Sales'!$B$2:$B$501,A143),99999),IF(COUNTIF('Protein Sales'!$B$2:$B$501,A143),_xlfn.MINIFS('Protein Sales'!$A$2:$A$501,'Protein Sales'!$B$2:$B$501,A143),99999),IF(COUNTIF('Diet Support'!$B$2:$B$501,A143),_xlfn.MINIFS('Diet Support'!$A$2:$A$501,'Diet Support'!$B$2:$B$501,A143),99999)))</f>
        <v/>
      </c>
      <c r="D143" s="18" t="str">
        <f aca="false">IF(OR(A143="",COUNTIF('Injection Sales'!$B$2:$B$501,A143)+COUNTIF('Protein Sales'!$B$2:$B$501,A143)+COUNTIF('Diet Support'!$B$2:$B$501,A143)=0),"",MAX(_xlfn.MAXIFS('Injection Sales'!$A$2:$A$501,'Injection Sales'!$B$2:$B$501,A143),_xlfn.MAXIFS('Protein Sales'!$A$2:$A$501,'Protein Sales'!$B$2:$B$501,A143),_xlfn.MAXIFS('Diet Support'!$A$2:$A$501,'Diet Support'!$B$2:$B$501,A143)))</f>
        <v/>
      </c>
      <c r="E143" s="19" t="str">
        <f aca="false">IF(A143="","",COUNTIF('Injection Sales'!$B$2:$B$501,A143)+COUNTIF('Protein Sales'!$B$2:$B$501,A143)+COUNTIF('Diet Support'!$B$2:$B$501,A143))</f>
        <v/>
      </c>
      <c r="F143" s="20" t="str">
        <f aca="false">IF(A143="","",SUMIF('Injection Sales'!$B$2:$B$501,A143,'Injection Sales'!$G$2:$G$501)+SUMIF('Protein Sales'!$B$2:$B$501,A143,'Protein Sales'!$F$2:$F$501)+SUMIF('Diet Support'!$B$2:$B$501,A143,'Diet Support'!$E$2:$E$501))</f>
        <v/>
      </c>
      <c r="G143" s="21" t="str">
        <f aca="false">IF(OR(A143="",COUNTIF('Injection Sales'!$B$2:$B$501,A143)=0),"",IFERROR(LOOKUP(2,1/(('Injection Sales'!$B$2:$B$501=A143)*('Injection Sales'!$A$2:$A$501=_xlfn.MAXIFS('Injection Sales'!$A$2:$A$501,'Injection Sales'!$B$2:$B$501,A143))),'Injection Sales'!$E$2:$E$501),""))</f>
        <v/>
      </c>
      <c r="H143" s="21" t="str">
        <f aca="false">IF(OR(A143="",COUNTIF('Injection Sales'!$B$2:$B$501,A143)=0),"",IFERROR(LOOKUP(2,1/(('Injection Sales'!$B$2:$B$501=A143)*('Injection Sales'!$A$2:$A$501=_xlfn.MAXIFS('Injection Sales'!$A$2:$A$501,'Injection Sales'!$B$2:$B$501,A143))),'Injection Sales'!$H$2:$H$501),""))</f>
        <v/>
      </c>
      <c r="I143" s="21" t="str">
        <f aca="true">IF(OR(A143="",D143=""),"",IF(TODAY()-D143&lt;=Settings!$B$7,"Active","Inactive"))</f>
        <v/>
      </c>
    </row>
    <row r="144" customFormat="false" ht="15" hidden="false" customHeight="false" outlineLevel="0" collapsed="false">
      <c r="A144" s="1"/>
      <c r="B144" s="22"/>
      <c r="C144" s="18" t="str">
        <f aca="false">IF(OR(A144="",COUNTIF('Injection Sales'!$B$2:$B$501,A144)+COUNTIF('Protein Sales'!$B$2:$B$501,A144)+COUNTIF('Diet Support'!$B$2:$B$501,A144)=0),"",MIN(IF(COUNTIF('Injection Sales'!$B$2:$B$501,A144),_xlfn.MINIFS('Injection Sales'!$A$2:$A$501,'Injection Sales'!$B$2:$B$501,A144),99999),IF(COUNTIF('Protein Sales'!$B$2:$B$501,A144),_xlfn.MINIFS('Protein Sales'!$A$2:$A$501,'Protein Sales'!$B$2:$B$501,A144),99999),IF(COUNTIF('Diet Support'!$B$2:$B$501,A144),_xlfn.MINIFS('Diet Support'!$A$2:$A$501,'Diet Support'!$B$2:$B$501,A144),99999)))</f>
        <v/>
      </c>
      <c r="D144" s="18" t="str">
        <f aca="false">IF(OR(A144="",COUNTIF('Injection Sales'!$B$2:$B$501,A144)+COUNTIF('Protein Sales'!$B$2:$B$501,A144)+COUNTIF('Diet Support'!$B$2:$B$501,A144)=0),"",MAX(_xlfn.MAXIFS('Injection Sales'!$A$2:$A$501,'Injection Sales'!$B$2:$B$501,A144),_xlfn.MAXIFS('Protein Sales'!$A$2:$A$501,'Protein Sales'!$B$2:$B$501,A144),_xlfn.MAXIFS('Diet Support'!$A$2:$A$501,'Diet Support'!$B$2:$B$501,A144)))</f>
        <v/>
      </c>
      <c r="E144" s="19" t="str">
        <f aca="false">IF(A144="","",COUNTIF('Injection Sales'!$B$2:$B$501,A144)+COUNTIF('Protein Sales'!$B$2:$B$501,A144)+COUNTIF('Diet Support'!$B$2:$B$501,A144))</f>
        <v/>
      </c>
      <c r="F144" s="20" t="str">
        <f aca="false">IF(A144="","",SUMIF('Injection Sales'!$B$2:$B$501,A144,'Injection Sales'!$G$2:$G$501)+SUMIF('Protein Sales'!$B$2:$B$501,A144,'Protein Sales'!$F$2:$F$501)+SUMIF('Diet Support'!$B$2:$B$501,A144,'Diet Support'!$E$2:$E$501))</f>
        <v/>
      </c>
      <c r="G144" s="21" t="str">
        <f aca="false">IF(OR(A144="",COUNTIF('Injection Sales'!$B$2:$B$501,A144)=0),"",IFERROR(LOOKUP(2,1/(('Injection Sales'!$B$2:$B$501=A144)*('Injection Sales'!$A$2:$A$501=_xlfn.MAXIFS('Injection Sales'!$A$2:$A$501,'Injection Sales'!$B$2:$B$501,A144))),'Injection Sales'!$E$2:$E$501),""))</f>
        <v/>
      </c>
      <c r="H144" s="21" t="str">
        <f aca="false">IF(OR(A144="",COUNTIF('Injection Sales'!$B$2:$B$501,A144)=0),"",IFERROR(LOOKUP(2,1/(('Injection Sales'!$B$2:$B$501=A144)*('Injection Sales'!$A$2:$A$501=_xlfn.MAXIFS('Injection Sales'!$A$2:$A$501,'Injection Sales'!$B$2:$B$501,A144))),'Injection Sales'!$H$2:$H$501),""))</f>
        <v/>
      </c>
      <c r="I144" s="21" t="str">
        <f aca="true">IF(OR(A144="",D144=""),"",IF(TODAY()-D144&lt;=Settings!$B$7,"Active","Inactive"))</f>
        <v/>
      </c>
    </row>
    <row r="145" customFormat="false" ht="15" hidden="false" customHeight="false" outlineLevel="0" collapsed="false">
      <c r="A145" s="1"/>
      <c r="B145" s="22"/>
      <c r="C145" s="18" t="str">
        <f aca="false">IF(OR(A145="",COUNTIF('Injection Sales'!$B$2:$B$501,A145)+COUNTIF('Protein Sales'!$B$2:$B$501,A145)+COUNTIF('Diet Support'!$B$2:$B$501,A145)=0),"",MIN(IF(COUNTIF('Injection Sales'!$B$2:$B$501,A145),_xlfn.MINIFS('Injection Sales'!$A$2:$A$501,'Injection Sales'!$B$2:$B$501,A145),99999),IF(COUNTIF('Protein Sales'!$B$2:$B$501,A145),_xlfn.MINIFS('Protein Sales'!$A$2:$A$501,'Protein Sales'!$B$2:$B$501,A145),99999),IF(COUNTIF('Diet Support'!$B$2:$B$501,A145),_xlfn.MINIFS('Diet Support'!$A$2:$A$501,'Diet Support'!$B$2:$B$501,A145),99999)))</f>
        <v/>
      </c>
      <c r="D145" s="18" t="str">
        <f aca="false">IF(OR(A145="",COUNTIF('Injection Sales'!$B$2:$B$501,A145)+COUNTIF('Protein Sales'!$B$2:$B$501,A145)+COUNTIF('Diet Support'!$B$2:$B$501,A145)=0),"",MAX(_xlfn.MAXIFS('Injection Sales'!$A$2:$A$501,'Injection Sales'!$B$2:$B$501,A145),_xlfn.MAXIFS('Protein Sales'!$A$2:$A$501,'Protein Sales'!$B$2:$B$501,A145),_xlfn.MAXIFS('Diet Support'!$A$2:$A$501,'Diet Support'!$B$2:$B$501,A145)))</f>
        <v/>
      </c>
      <c r="E145" s="19" t="str">
        <f aca="false">IF(A145="","",COUNTIF('Injection Sales'!$B$2:$B$501,A145)+COUNTIF('Protein Sales'!$B$2:$B$501,A145)+COUNTIF('Diet Support'!$B$2:$B$501,A145))</f>
        <v/>
      </c>
      <c r="F145" s="20" t="str">
        <f aca="false">IF(A145="","",SUMIF('Injection Sales'!$B$2:$B$501,A145,'Injection Sales'!$G$2:$G$501)+SUMIF('Protein Sales'!$B$2:$B$501,A145,'Protein Sales'!$F$2:$F$501)+SUMIF('Diet Support'!$B$2:$B$501,A145,'Diet Support'!$E$2:$E$501))</f>
        <v/>
      </c>
      <c r="G145" s="21" t="str">
        <f aca="false">IF(OR(A145="",COUNTIF('Injection Sales'!$B$2:$B$501,A145)=0),"",IFERROR(LOOKUP(2,1/(('Injection Sales'!$B$2:$B$501=A145)*('Injection Sales'!$A$2:$A$501=_xlfn.MAXIFS('Injection Sales'!$A$2:$A$501,'Injection Sales'!$B$2:$B$501,A145))),'Injection Sales'!$E$2:$E$501),""))</f>
        <v/>
      </c>
      <c r="H145" s="21" t="str">
        <f aca="false">IF(OR(A145="",COUNTIF('Injection Sales'!$B$2:$B$501,A145)=0),"",IFERROR(LOOKUP(2,1/(('Injection Sales'!$B$2:$B$501=A145)*('Injection Sales'!$A$2:$A$501=_xlfn.MAXIFS('Injection Sales'!$A$2:$A$501,'Injection Sales'!$B$2:$B$501,A145))),'Injection Sales'!$H$2:$H$501),""))</f>
        <v/>
      </c>
      <c r="I145" s="21" t="str">
        <f aca="true">IF(OR(A145="",D145=""),"",IF(TODAY()-D145&lt;=Settings!$B$7,"Active","Inactive"))</f>
        <v/>
      </c>
    </row>
    <row r="146" customFormat="false" ht="15" hidden="false" customHeight="false" outlineLevel="0" collapsed="false">
      <c r="A146" s="1"/>
      <c r="B146" s="22"/>
      <c r="C146" s="18" t="str">
        <f aca="false">IF(OR(A146="",COUNTIF('Injection Sales'!$B$2:$B$501,A146)+COUNTIF('Protein Sales'!$B$2:$B$501,A146)+COUNTIF('Diet Support'!$B$2:$B$501,A146)=0),"",MIN(IF(COUNTIF('Injection Sales'!$B$2:$B$501,A146),_xlfn.MINIFS('Injection Sales'!$A$2:$A$501,'Injection Sales'!$B$2:$B$501,A146),99999),IF(COUNTIF('Protein Sales'!$B$2:$B$501,A146),_xlfn.MINIFS('Protein Sales'!$A$2:$A$501,'Protein Sales'!$B$2:$B$501,A146),99999),IF(COUNTIF('Diet Support'!$B$2:$B$501,A146),_xlfn.MINIFS('Diet Support'!$A$2:$A$501,'Diet Support'!$B$2:$B$501,A146),99999)))</f>
        <v/>
      </c>
      <c r="D146" s="18" t="str">
        <f aca="false">IF(OR(A146="",COUNTIF('Injection Sales'!$B$2:$B$501,A146)+COUNTIF('Protein Sales'!$B$2:$B$501,A146)+COUNTIF('Diet Support'!$B$2:$B$501,A146)=0),"",MAX(_xlfn.MAXIFS('Injection Sales'!$A$2:$A$501,'Injection Sales'!$B$2:$B$501,A146),_xlfn.MAXIFS('Protein Sales'!$A$2:$A$501,'Protein Sales'!$B$2:$B$501,A146),_xlfn.MAXIFS('Diet Support'!$A$2:$A$501,'Diet Support'!$B$2:$B$501,A146)))</f>
        <v/>
      </c>
      <c r="E146" s="19" t="str">
        <f aca="false">IF(A146="","",COUNTIF('Injection Sales'!$B$2:$B$501,A146)+COUNTIF('Protein Sales'!$B$2:$B$501,A146)+COUNTIF('Diet Support'!$B$2:$B$501,A146))</f>
        <v/>
      </c>
      <c r="F146" s="20" t="str">
        <f aca="false">IF(A146="","",SUMIF('Injection Sales'!$B$2:$B$501,A146,'Injection Sales'!$G$2:$G$501)+SUMIF('Protein Sales'!$B$2:$B$501,A146,'Protein Sales'!$F$2:$F$501)+SUMIF('Diet Support'!$B$2:$B$501,A146,'Diet Support'!$E$2:$E$501))</f>
        <v/>
      </c>
      <c r="G146" s="21" t="str">
        <f aca="false">IF(OR(A146="",COUNTIF('Injection Sales'!$B$2:$B$501,A146)=0),"",IFERROR(LOOKUP(2,1/(('Injection Sales'!$B$2:$B$501=A146)*('Injection Sales'!$A$2:$A$501=_xlfn.MAXIFS('Injection Sales'!$A$2:$A$501,'Injection Sales'!$B$2:$B$501,A146))),'Injection Sales'!$E$2:$E$501),""))</f>
        <v/>
      </c>
      <c r="H146" s="21" t="str">
        <f aca="false">IF(OR(A146="",COUNTIF('Injection Sales'!$B$2:$B$501,A146)=0),"",IFERROR(LOOKUP(2,1/(('Injection Sales'!$B$2:$B$501=A146)*('Injection Sales'!$A$2:$A$501=_xlfn.MAXIFS('Injection Sales'!$A$2:$A$501,'Injection Sales'!$B$2:$B$501,A146))),'Injection Sales'!$H$2:$H$501),""))</f>
        <v/>
      </c>
      <c r="I146" s="21" t="str">
        <f aca="true">IF(OR(A146="",D146=""),"",IF(TODAY()-D146&lt;=Settings!$B$7,"Active","Inactive"))</f>
        <v/>
      </c>
    </row>
    <row r="147" customFormat="false" ht="15" hidden="false" customHeight="false" outlineLevel="0" collapsed="false">
      <c r="A147" s="1"/>
      <c r="B147" s="22"/>
      <c r="C147" s="18" t="str">
        <f aca="false">IF(OR(A147="",COUNTIF('Injection Sales'!$B$2:$B$501,A147)+COUNTIF('Protein Sales'!$B$2:$B$501,A147)+COUNTIF('Diet Support'!$B$2:$B$501,A147)=0),"",MIN(IF(COUNTIF('Injection Sales'!$B$2:$B$501,A147),_xlfn.MINIFS('Injection Sales'!$A$2:$A$501,'Injection Sales'!$B$2:$B$501,A147),99999),IF(COUNTIF('Protein Sales'!$B$2:$B$501,A147),_xlfn.MINIFS('Protein Sales'!$A$2:$A$501,'Protein Sales'!$B$2:$B$501,A147),99999),IF(COUNTIF('Diet Support'!$B$2:$B$501,A147),_xlfn.MINIFS('Diet Support'!$A$2:$A$501,'Diet Support'!$B$2:$B$501,A147),99999)))</f>
        <v/>
      </c>
      <c r="D147" s="18" t="str">
        <f aca="false">IF(OR(A147="",COUNTIF('Injection Sales'!$B$2:$B$501,A147)+COUNTIF('Protein Sales'!$B$2:$B$501,A147)+COUNTIF('Diet Support'!$B$2:$B$501,A147)=0),"",MAX(_xlfn.MAXIFS('Injection Sales'!$A$2:$A$501,'Injection Sales'!$B$2:$B$501,A147),_xlfn.MAXIFS('Protein Sales'!$A$2:$A$501,'Protein Sales'!$B$2:$B$501,A147),_xlfn.MAXIFS('Diet Support'!$A$2:$A$501,'Diet Support'!$B$2:$B$501,A147)))</f>
        <v/>
      </c>
      <c r="E147" s="19" t="str">
        <f aca="false">IF(A147="","",COUNTIF('Injection Sales'!$B$2:$B$501,A147)+COUNTIF('Protein Sales'!$B$2:$B$501,A147)+COUNTIF('Diet Support'!$B$2:$B$501,A147))</f>
        <v/>
      </c>
      <c r="F147" s="20" t="str">
        <f aca="false">IF(A147="","",SUMIF('Injection Sales'!$B$2:$B$501,A147,'Injection Sales'!$G$2:$G$501)+SUMIF('Protein Sales'!$B$2:$B$501,A147,'Protein Sales'!$F$2:$F$501)+SUMIF('Diet Support'!$B$2:$B$501,A147,'Diet Support'!$E$2:$E$501))</f>
        <v/>
      </c>
      <c r="G147" s="21" t="str">
        <f aca="false">IF(OR(A147="",COUNTIF('Injection Sales'!$B$2:$B$501,A147)=0),"",IFERROR(LOOKUP(2,1/(('Injection Sales'!$B$2:$B$501=A147)*('Injection Sales'!$A$2:$A$501=_xlfn.MAXIFS('Injection Sales'!$A$2:$A$501,'Injection Sales'!$B$2:$B$501,A147))),'Injection Sales'!$E$2:$E$501),""))</f>
        <v/>
      </c>
      <c r="H147" s="21" t="str">
        <f aca="false">IF(OR(A147="",COUNTIF('Injection Sales'!$B$2:$B$501,A147)=0),"",IFERROR(LOOKUP(2,1/(('Injection Sales'!$B$2:$B$501=A147)*('Injection Sales'!$A$2:$A$501=_xlfn.MAXIFS('Injection Sales'!$A$2:$A$501,'Injection Sales'!$B$2:$B$501,A147))),'Injection Sales'!$H$2:$H$501),""))</f>
        <v/>
      </c>
      <c r="I147" s="21" t="str">
        <f aca="true">IF(OR(A147="",D147=""),"",IF(TODAY()-D147&lt;=Settings!$B$7,"Active","Inactive"))</f>
        <v/>
      </c>
    </row>
    <row r="148" customFormat="false" ht="15" hidden="false" customHeight="false" outlineLevel="0" collapsed="false">
      <c r="A148" s="1"/>
      <c r="B148" s="22"/>
      <c r="C148" s="18" t="str">
        <f aca="false">IF(OR(A148="",COUNTIF('Injection Sales'!$B$2:$B$501,A148)+COUNTIF('Protein Sales'!$B$2:$B$501,A148)+COUNTIF('Diet Support'!$B$2:$B$501,A148)=0),"",MIN(IF(COUNTIF('Injection Sales'!$B$2:$B$501,A148),_xlfn.MINIFS('Injection Sales'!$A$2:$A$501,'Injection Sales'!$B$2:$B$501,A148),99999),IF(COUNTIF('Protein Sales'!$B$2:$B$501,A148),_xlfn.MINIFS('Protein Sales'!$A$2:$A$501,'Protein Sales'!$B$2:$B$501,A148),99999),IF(COUNTIF('Diet Support'!$B$2:$B$501,A148),_xlfn.MINIFS('Diet Support'!$A$2:$A$501,'Diet Support'!$B$2:$B$501,A148),99999)))</f>
        <v/>
      </c>
      <c r="D148" s="18" t="str">
        <f aca="false">IF(OR(A148="",COUNTIF('Injection Sales'!$B$2:$B$501,A148)+COUNTIF('Protein Sales'!$B$2:$B$501,A148)+COUNTIF('Diet Support'!$B$2:$B$501,A148)=0),"",MAX(_xlfn.MAXIFS('Injection Sales'!$A$2:$A$501,'Injection Sales'!$B$2:$B$501,A148),_xlfn.MAXIFS('Protein Sales'!$A$2:$A$501,'Protein Sales'!$B$2:$B$501,A148),_xlfn.MAXIFS('Diet Support'!$A$2:$A$501,'Diet Support'!$B$2:$B$501,A148)))</f>
        <v/>
      </c>
      <c r="E148" s="19" t="str">
        <f aca="false">IF(A148="","",COUNTIF('Injection Sales'!$B$2:$B$501,A148)+COUNTIF('Protein Sales'!$B$2:$B$501,A148)+COUNTIF('Diet Support'!$B$2:$B$501,A148))</f>
        <v/>
      </c>
      <c r="F148" s="20" t="str">
        <f aca="false">IF(A148="","",SUMIF('Injection Sales'!$B$2:$B$501,A148,'Injection Sales'!$G$2:$G$501)+SUMIF('Protein Sales'!$B$2:$B$501,A148,'Protein Sales'!$F$2:$F$501)+SUMIF('Diet Support'!$B$2:$B$501,A148,'Diet Support'!$E$2:$E$501))</f>
        <v/>
      </c>
      <c r="G148" s="21" t="str">
        <f aca="false">IF(OR(A148="",COUNTIF('Injection Sales'!$B$2:$B$501,A148)=0),"",IFERROR(LOOKUP(2,1/(('Injection Sales'!$B$2:$B$501=A148)*('Injection Sales'!$A$2:$A$501=_xlfn.MAXIFS('Injection Sales'!$A$2:$A$501,'Injection Sales'!$B$2:$B$501,A148))),'Injection Sales'!$E$2:$E$501),""))</f>
        <v/>
      </c>
      <c r="H148" s="21" t="str">
        <f aca="false">IF(OR(A148="",COUNTIF('Injection Sales'!$B$2:$B$501,A148)=0),"",IFERROR(LOOKUP(2,1/(('Injection Sales'!$B$2:$B$501=A148)*('Injection Sales'!$A$2:$A$501=_xlfn.MAXIFS('Injection Sales'!$A$2:$A$501,'Injection Sales'!$B$2:$B$501,A148))),'Injection Sales'!$H$2:$H$501),""))</f>
        <v/>
      </c>
      <c r="I148" s="21" t="str">
        <f aca="true">IF(OR(A148="",D148=""),"",IF(TODAY()-D148&lt;=Settings!$B$7,"Active","Inactive"))</f>
        <v/>
      </c>
    </row>
    <row r="149" customFormat="false" ht="15" hidden="false" customHeight="false" outlineLevel="0" collapsed="false">
      <c r="A149" s="1"/>
      <c r="B149" s="22"/>
      <c r="C149" s="18" t="str">
        <f aca="false">IF(OR(A149="",COUNTIF('Injection Sales'!$B$2:$B$501,A149)+COUNTIF('Protein Sales'!$B$2:$B$501,A149)+COUNTIF('Diet Support'!$B$2:$B$501,A149)=0),"",MIN(IF(COUNTIF('Injection Sales'!$B$2:$B$501,A149),_xlfn.MINIFS('Injection Sales'!$A$2:$A$501,'Injection Sales'!$B$2:$B$501,A149),99999),IF(COUNTIF('Protein Sales'!$B$2:$B$501,A149),_xlfn.MINIFS('Protein Sales'!$A$2:$A$501,'Protein Sales'!$B$2:$B$501,A149),99999),IF(COUNTIF('Diet Support'!$B$2:$B$501,A149),_xlfn.MINIFS('Diet Support'!$A$2:$A$501,'Diet Support'!$B$2:$B$501,A149),99999)))</f>
        <v/>
      </c>
      <c r="D149" s="18" t="str">
        <f aca="false">IF(OR(A149="",COUNTIF('Injection Sales'!$B$2:$B$501,A149)+COUNTIF('Protein Sales'!$B$2:$B$501,A149)+COUNTIF('Diet Support'!$B$2:$B$501,A149)=0),"",MAX(_xlfn.MAXIFS('Injection Sales'!$A$2:$A$501,'Injection Sales'!$B$2:$B$501,A149),_xlfn.MAXIFS('Protein Sales'!$A$2:$A$501,'Protein Sales'!$B$2:$B$501,A149),_xlfn.MAXIFS('Diet Support'!$A$2:$A$501,'Diet Support'!$B$2:$B$501,A149)))</f>
        <v/>
      </c>
      <c r="E149" s="19" t="str">
        <f aca="false">IF(A149="","",COUNTIF('Injection Sales'!$B$2:$B$501,A149)+COUNTIF('Protein Sales'!$B$2:$B$501,A149)+COUNTIF('Diet Support'!$B$2:$B$501,A149))</f>
        <v/>
      </c>
      <c r="F149" s="20" t="str">
        <f aca="false">IF(A149="","",SUMIF('Injection Sales'!$B$2:$B$501,A149,'Injection Sales'!$G$2:$G$501)+SUMIF('Protein Sales'!$B$2:$B$501,A149,'Protein Sales'!$F$2:$F$501)+SUMIF('Diet Support'!$B$2:$B$501,A149,'Diet Support'!$E$2:$E$501))</f>
        <v/>
      </c>
      <c r="G149" s="21" t="str">
        <f aca="false">IF(OR(A149="",COUNTIF('Injection Sales'!$B$2:$B$501,A149)=0),"",IFERROR(LOOKUP(2,1/(('Injection Sales'!$B$2:$B$501=A149)*('Injection Sales'!$A$2:$A$501=_xlfn.MAXIFS('Injection Sales'!$A$2:$A$501,'Injection Sales'!$B$2:$B$501,A149))),'Injection Sales'!$E$2:$E$501),""))</f>
        <v/>
      </c>
      <c r="H149" s="21" t="str">
        <f aca="false">IF(OR(A149="",COUNTIF('Injection Sales'!$B$2:$B$501,A149)=0),"",IFERROR(LOOKUP(2,1/(('Injection Sales'!$B$2:$B$501=A149)*('Injection Sales'!$A$2:$A$501=_xlfn.MAXIFS('Injection Sales'!$A$2:$A$501,'Injection Sales'!$B$2:$B$501,A149))),'Injection Sales'!$H$2:$H$501),""))</f>
        <v/>
      </c>
      <c r="I149" s="21" t="str">
        <f aca="true">IF(OR(A149="",D149=""),"",IF(TODAY()-D149&lt;=Settings!$B$7,"Active","Inactive"))</f>
        <v/>
      </c>
    </row>
    <row r="150" customFormat="false" ht="15" hidden="false" customHeight="false" outlineLevel="0" collapsed="false">
      <c r="A150" s="1"/>
      <c r="B150" s="22"/>
      <c r="C150" s="18" t="str">
        <f aca="false">IF(OR(A150="",COUNTIF('Injection Sales'!$B$2:$B$501,A150)+COUNTIF('Protein Sales'!$B$2:$B$501,A150)+COUNTIF('Diet Support'!$B$2:$B$501,A150)=0),"",MIN(IF(COUNTIF('Injection Sales'!$B$2:$B$501,A150),_xlfn.MINIFS('Injection Sales'!$A$2:$A$501,'Injection Sales'!$B$2:$B$501,A150),99999),IF(COUNTIF('Protein Sales'!$B$2:$B$501,A150),_xlfn.MINIFS('Protein Sales'!$A$2:$A$501,'Protein Sales'!$B$2:$B$501,A150),99999),IF(COUNTIF('Diet Support'!$B$2:$B$501,A150),_xlfn.MINIFS('Diet Support'!$A$2:$A$501,'Diet Support'!$B$2:$B$501,A150),99999)))</f>
        <v/>
      </c>
      <c r="D150" s="18" t="str">
        <f aca="false">IF(OR(A150="",COUNTIF('Injection Sales'!$B$2:$B$501,A150)+COUNTIF('Protein Sales'!$B$2:$B$501,A150)+COUNTIF('Diet Support'!$B$2:$B$501,A150)=0),"",MAX(_xlfn.MAXIFS('Injection Sales'!$A$2:$A$501,'Injection Sales'!$B$2:$B$501,A150),_xlfn.MAXIFS('Protein Sales'!$A$2:$A$501,'Protein Sales'!$B$2:$B$501,A150),_xlfn.MAXIFS('Diet Support'!$A$2:$A$501,'Diet Support'!$B$2:$B$501,A150)))</f>
        <v/>
      </c>
      <c r="E150" s="19" t="str">
        <f aca="false">IF(A150="","",COUNTIF('Injection Sales'!$B$2:$B$501,A150)+COUNTIF('Protein Sales'!$B$2:$B$501,A150)+COUNTIF('Diet Support'!$B$2:$B$501,A150))</f>
        <v/>
      </c>
      <c r="F150" s="20" t="str">
        <f aca="false">IF(A150="","",SUMIF('Injection Sales'!$B$2:$B$501,A150,'Injection Sales'!$G$2:$G$501)+SUMIF('Protein Sales'!$B$2:$B$501,A150,'Protein Sales'!$F$2:$F$501)+SUMIF('Diet Support'!$B$2:$B$501,A150,'Diet Support'!$E$2:$E$501))</f>
        <v/>
      </c>
      <c r="G150" s="21" t="str">
        <f aca="false">IF(OR(A150="",COUNTIF('Injection Sales'!$B$2:$B$501,A150)=0),"",IFERROR(LOOKUP(2,1/(('Injection Sales'!$B$2:$B$501=A150)*('Injection Sales'!$A$2:$A$501=_xlfn.MAXIFS('Injection Sales'!$A$2:$A$501,'Injection Sales'!$B$2:$B$501,A150))),'Injection Sales'!$E$2:$E$501),""))</f>
        <v/>
      </c>
      <c r="H150" s="21" t="str">
        <f aca="false">IF(OR(A150="",COUNTIF('Injection Sales'!$B$2:$B$501,A150)=0),"",IFERROR(LOOKUP(2,1/(('Injection Sales'!$B$2:$B$501=A150)*('Injection Sales'!$A$2:$A$501=_xlfn.MAXIFS('Injection Sales'!$A$2:$A$501,'Injection Sales'!$B$2:$B$501,A150))),'Injection Sales'!$H$2:$H$501),""))</f>
        <v/>
      </c>
      <c r="I150" s="21" t="str">
        <f aca="true">IF(OR(A150="",D150=""),"",IF(TODAY()-D150&lt;=Settings!$B$7,"Active","Inactive"))</f>
        <v/>
      </c>
    </row>
    <row r="151" customFormat="false" ht="15" hidden="false" customHeight="false" outlineLevel="0" collapsed="false">
      <c r="A151" s="1"/>
      <c r="B151" s="22"/>
      <c r="C151" s="18" t="str">
        <f aca="false">IF(OR(A151="",COUNTIF('Injection Sales'!$B$2:$B$501,A151)+COUNTIF('Protein Sales'!$B$2:$B$501,A151)+COUNTIF('Diet Support'!$B$2:$B$501,A151)=0),"",MIN(IF(COUNTIF('Injection Sales'!$B$2:$B$501,A151),_xlfn.MINIFS('Injection Sales'!$A$2:$A$501,'Injection Sales'!$B$2:$B$501,A151),99999),IF(COUNTIF('Protein Sales'!$B$2:$B$501,A151),_xlfn.MINIFS('Protein Sales'!$A$2:$A$501,'Protein Sales'!$B$2:$B$501,A151),99999),IF(COUNTIF('Diet Support'!$B$2:$B$501,A151),_xlfn.MINIFS('Diet Support'!$A$2:$A$501,'Diet Support'!$B$2:$B$501,A151),99999)))</f>
        <v/>
      </c>
      <c r="D151" s="18" t="str">
        <f aca="false">IF(OR(A151="",COUNTIF('Injection Sales'!$B$2:$B$501,A151)+COUNTIF('Protein Sales'!$B$2:$B$501,A151)+COUNTIF('Diet Support'!$B$2:$B$501,A151)=0),"",MAX(_xlfn.MAXIFS('Injection Sales'!$A$2:$A$501,'Injection Sales'!$B$2:$B$501,A151),_xlfn.MAXIFS('Protein Sales'!$A$2:$A$501,'Protein Sales'!$B$2:$B$501,A151),_xlfn.MAXIFS('Diet Support'!$A$2:$A$501,'Diet Support'!$B$2:$B$501,A151)))</f>
        <v/>
      </c>
      <c r="E151" s="19" t="str">
        <f aca="false">IF(A151="","",COUNTIF('Injection Sales'!$B$2:$B$501,A151)+COUNTIF('Protein Sales'!$B$2:$B$501,A151)+COUNTIF('Diet Support'!$B$2:$B$501,A151))</f>
        <v/>
      </c>
      <c r="F151" s="20" t="str">
        <f aca="false">IF(A151="","",SUMIF('Injection Sales'!$B$2:$B$501,A151,'Injection Sales'!$G$2:$G$501)+SUMIF('Protein Sales'!$B$2:$B$501,A151,'Protein Sales'!$F$2:$F$501)+SUMIF('Diet Support'!$B$2:$B$501,A151,'Diet Support'!$E$2:$E$501))</f>
        <v/>
      </c>
      <c r="G151" s="21" t="str">
        <f aca="false">IF(OR(A151="",COUNTIF('Injection Sales'!$B$2:$B$501,A151)=0),"",IFERROR(LOOKUP(2,1/(('Injection Sales'!$B$2:$B$501=A151)*('Injection Sales'!$A$2:$A$501=_xlfn.MAXIFS('Injection Sales'!$A$2:$A$501,'Injection Sales'!$B$2:$B$501,A151))),'Injection Sales'!$E$2:$E$501),""))</f>
        <v/>
      </c>
      <c r="H151" s="21" t="str">
        <f aca="false">IF(OR(A151="",COUNTIF('Injection Sales'!$B$2:$B$501,A151)=0),"",IFERROR(LOOKUP(2,1/(('Injection Sales'!$B$2:$B$501=A151)*('Injection Sales'!$A$2:$A$501=_xlfn.MAXIFS('Injection Sales'!$A$2:$A$501,'Injection Sales'!$B$2:$B$501,A151))),'Injection Sales'!$H$2:$H$501),""))</f>
        <v/>
      </c>
      <c r="I151" s="21" t="str">
        <f aca="true">IF(OR(A151="",D151=""),"",IF(TODAY()-D151&lt;=Settings!$B$7,"Active","Inactive"))</f>
        <v/>
      </c>
    </row>
    <row r="152" customFormat="false" ht="15" hidden="false" customHeight="false" outlineLevel="0" collapsed="false">
      <c r="A152" s="1"/>
      <c r="B152" s="22"/>
      <c r="C152" s="18" t="str">
        <f aca="false">IF(OR(A152="",COUNTIF('Injection Sales'!$B$2:$B$501,A152)+COUNTIF('Protein Sales'!$B$2:$B$501,A152)+COUNTIF('Diet Support'!$B$2:$B$501,A152)=0),"",MIN(IF(COUNTIF('Injection Sales'!$B$2:$B$501,A152),_xlfn.MINIFS('Injection Sales'!$A$2:$A$501,'Injection Sales'!$B$2:$B$501,A152),99999),IF(COUNTIF('Protein Sales'!$B$2:$B$501,A152),_xlfn.MINIFS('Protein Sales'!$A$2:$A$501,'Protein Sales'!$B$2:$B$501,A152),99999),IF(COUNTIF('Diet Support'!$B$2:$B$501,A152),_xlfn.MINIFS('Diet Support'!$A$2:$A$501,'Diet Support'!$B$2:$B$501,A152),99999)))</f>
        <v/>
      </c>
      <c r="D152" s="18" t="str">
        <f aca="false">IF(OR(A152="",COUNTIF('Injection Sales'!$B$2:$B$501,A152)+COUNTIF('Protein Sales'!$B$2:$B$501,A152)+COUNTIF('Diet Support'!$B$2:$B$501,A152)=0),"",MAX(_xlfn.MAXIFS('Injection Sales'!$A$2:$A$501,'Injection Sales'!$B$2:$B$501,A152),_xlfn.MAXIFS('Protein Sales'!$A$2:$A$501,'Protein Sales'!$B$2:$B$501,A152),_xlfn.MAXIFS('Diet Support'!$A$2:$A$501,'Diet Support'!$B$2:$B$501,A152)))</f>
        <v/>
      </c>
      <c r="E152" s="19" t="str">
        <f aca="false">IF(A152="","",COUNTIF('Injection Sales'!$B$2:$B$501,A152)+COUNTIF('Protein Sales'!$B$2:$B$501,A152)+COUNTIF('Diet Support'!$B$2:$B$501,A152))</f>
        <v/>
      </c>
      <c r="F152" s="20" t="str">
        <f aca="false">IF(A152="","",SUMIF('Injection Sales'!$B$2:$B$501,A152,'Injection Sales'!$G$2:$G$501)+SUMIF('Protein Sales'!$B$2:$B$501,A152,'Protein Sales'!$F$2:$F$501)+SUMIF('Diet Support'!$B$2:$B$501,A152,'Diet Support'!$E$2:$E$501))</f>
        <v/>
      </c>
      <c r="G152" s="21" t="str">
        <f aca="false">IF(OR(A152="",COUNTIF('Injection Sales'!$B$2:$B$501,A152)=0),"",IFERROR(LOOKUP(2,1/(('Injection Sales'!$B$2:$B$501=A152)*('Injection Sales'!$A$2:$A$501=_xlfn.MAXIFS('Injection Sales'!$A$2:$A$501,'Injection Sales'!$B$2:$B$501,A152))),'Injection Sales'!$E$2:$E$501),""))</f>
        <v/>
      </c>
      <c r="H152" s="21" t="str">
        <f aca="false">IF(OR(A152="",COUNTIF('Injection Sales'!$B$2:$B$501,A152)=0),"",IFERROR(LOOKUP(2,1/(('Injection Sales'!$B$2:$B$501=A152)*('Injection Sales'!$A$2:$A$501=_xlfn.MAXIFS('Injection Sales'!$A$2:$A$501,'Injection Sales'!$B$2:$B$501,A152))),'Injection Sales'!$H$2:$H$501),""))</f>
        <v/>
      </c>
      <c r="I152" s="21" t="str">
        <f aca="true">IF(OR(A152="",D152=""),"",IF(TODAY()-D152&lt;=Settings!$B$7,"Active","Inactive"))</f>
        <v/>
      </c>
    </row>
    <row r="153" customFormat="false" ht="15" hidden="false" customHeight="false" outlineLevel="0" collapsed="false">
      <c r="A153" s="1"/>
      <c r="B153" s="22"/>
      <c r="C153" s="18" t="str">
        <f aca="false">IF(OR(A153="",COUNTIF('Injection Sales'!$B$2:$B$501,A153)+COUNTIF('Protein Sales'!$B$2:$B$501,A153)+COUNTIF('Diet Support'!$B$2:$B$501,A153)=0),"",MIN(IF(COUNTIF('Injection Sales'!$B$2:$B$501,A153),_xlfn.MINIFS('Injection Sales'!$A$2:$A$501,'Injection Sales'!$B$2:$B$501,A153),99999),IF(COUNTIF('Protein Sales'!$B$2:$B$501,A153),_xlfn.MINIFS('Protein Sales'!$A$2:$A$501,'Protein Sales'!$B$2:$B$501,A153),99999),IF(COUNTIF('Diet Support'!$B$2:$B$501,A153),_xlfn.MINIFS('Diet Support'!$A$2:$A$501,'Diet Support'!$B$2:$B$501,A153),99999)))</f>
        <v/>
      </c>
      <c r="D153" s="18" t="str">
        <f aca="false">IF(OR(A153="",COUNTIF('Injection Sales'!$B$2:$B$501,A153)+COUNTIF('Protein Sales'!$B$2:$B$501,A153)+COUNTIF('Diet Support'!$B$2:$B$501,A153)=0),"",MAX(_xlfn.MAXIFS('Injection Sales'!$A$2:$A$501,'Injection Sales'!$B$2:$B$501,A153),_xlfn.MAXIFS('Protein Sales'!$A$2:$A$501,'Protein Sales'!$B$2:$B$501,A153),_xlfn.MAXIFS('Diet Support'!$A$2:$A$501,'Diet Support'!$B$2:$B$501,A153)))</f>
        <v/>
      </c>
      <c r="E153" s="19" t="str">
        <f aca="false">IF(A153="","",COUNTIF('Injection Sales'!$B$2:$B$501,A153)+COUNTIF('Protein Sales'!$B$2:$B$501,A153)+COUNTIF('Diet Support'!$B$2:$B$501,A153))</f>
        <v/>
      </c>
      <c r="F153" s="20" t="str">
        <f aca="false">IF(A153="","",SUMIF('Injection Sales'!$B$2:$B$501,A153,'Injection Sales'!$G$2:$G$501)+SUMIF('Protein Sales'!$B$2:$B$501,A153,'Protein Sales'!$F$2:$F$501)+SUMIF('Diet Support'!$B$2:$B$501,A153,'Diet Support'!$E$2:$E$501))</f>
        <v/>
      </c>
      <c r="G153" s="21" t="str">
        <f aca="false">IF(OR(A153="",COUNTIF('Injection Sales'!$B$2:$B$501,A153)=0),"",IFERROR(LOOKUP(2,1/(('Injection Sales'!$B$2:$B$501=A153)*('Injection Sales'!$A$2:$A$501=_xlfn.MAXIFS('Injection Sales'!$A$2:$A$501,'Injection Sales'!$B$2:$B$501,A153))),'Injection Sales'!$E$2:$E$501),""))</f>
        <v/>
      </c>
      <c r="H153" s="21" t="str">
        <f aca="false">IF(OR(A153="",COUNTIF('Injection Sales'!$B$2:$B$501,A153)=0),"",IFERROR(LOOKUP(2,1/(('Injection Sales'!$B$2:$B$501=A153)*('Injection Sales'!$A$2:$A$501=_xlfn.MAXIFS('Injection Sales'!$A$2:$A$501,'Injection Sales'!$B$2:$B$501,A153))),'Injection Sales'!$H$2:$H$501),""))</f>
        <v/>
      </c>
      <c r="I153" s="21" t="str">
        <f aca="true">IF(OR(A153="",D153=""),"",IF(TODAY()-D153&lt;=Settings!$B$7,"Active","Inactive"))</f>
        <v/>
      </c>
    </row>
    <row r="154" customFormat="false" ht="15" hidden="false" customHeight="false" outlineLevel="0" collapsed="false">
      <c r="A154" s="1"/>
      <c r="B154" s="22"/>
      <c r="C154" s="18" t="str">
        <f aca="false">IF(OR(A154="",COUNTIF('Injection Sales'!$B$2:$B$501,A154)+COUNTIF('Protein Sales'!$B$2:$B$501,A154)+COUNTIF('Diet Support'!$B$2:$B$501,A154)=0),"",MIN(IF(COUNTIF('Injection Sales'!$B$2:$B$501,A154),_xlfn.MINIFS('Injection Sales'!$A$2:$A$501,'Injection Sales'!$B$2:$B$501,A154),99999),IF(COUNTIF('Protein Sales'!$B$2:$B$501,A154),_xlfn.MINIFS('Protein Sales'!$A$2:$A$501,'Protein Sales'!$B$2:$B$501,A154),99999),IF(COUNTIF('Diet Support'!$B$2:$B$501,A154),_xlfn.MINIFS('Diet Support'!$A$2:$A$501,'Diet Support'!$B$2:$B$501,A154),99999)))</f>
        <v/>
      </c>
      <c r="D154" s="18" t="str">
        <f aca="false">IF(OR(A154="",COUNTIF('Injection Sales'!$B$2:$B$501,A154)+COUNTIF('Protein Sales'!$B$2:$B$501,A154)+COUNTIF('Diet Support'!$B$2:$B$501,A154)=0),"",MAX(_xlfn.MAXIFS('Injection Sales'!$A$2:$A$501,'Injection Sales'!$B$2:$B$501,A154),_xlfn.MAXIFS('Protein Sales'!$A$2:$A$501,'Protein Sales'!$B$2:$B$501,A154),_xlfn.MAXIFS('Diet Support'!$A$2:$A$501,'Diet Support'!$B$2:$B$501,A154)))</f>
        <v/>
      </c>
      <c r="E154" s="19" t="str">
        <f aca="false">IF(A154="","",COUNTIF('Injection Sales'!$B$2:$B$501,A154)+COUNTIF('Protein Sales'!$B$2:$B$501,A154)+COUNTIF('Diet Support'!$B$2:$B$501,A154))</f>
        <v/>
      </c>
      <c r="F154" s="20" t="str">
        <f aca="false">IF(A154="","",SUMIF('Injection Sales'!$B$2:$B$501,A154,'Injection Sales'!$G$2:$G$501)+SUMIF('Protein Sales'!$B$2:$B$501,A154,'Protein Sales'!$F$2:$F$501)+SUMIF('Diet Support'!$B$2:$B$501,A154,'Diet Support'!$E$2:$E$501))</f>
        <v/>
      </c>
      <c r="G154" s="21" t="str">
        <f aca="false">IF(OR(A154="",COUNTIF('Injection Sales'!$B$2:$B$501,A154)=0),"",IFERROR(LOOKUP(2,1/(('Injection Sales'!$B$2:$B$501=A154)*('Injection Sales'!$A$2:$A$501=_xlfn.MAXIFS('Injection Sales'!$A$2:$A$501,'Injection Sales'!$B$2:$B$501,A154))),'Injection Sales'!$E$2:$E$501),""))</f>
        <v/>
      </c>
      <c r="H154" s="21" t="str">
        <f aca="false">IF(OR(A154="",COUNTIF('Injection Sales'!$B$2:$B$501,A154)=0),"",IFERROR(LOOKUP(2,1/(('Injection Sales'!$B$2:$B$501=A154)*('Injection Sales'!$A$2:$A$501=_xlfn.MAXIFS('Injection Sales'!$A$2:$A$501,'Injection Sales'!$B$2:$B$501,A154))),'Injection Sales'!$H$2:$H$501),""))</f>
        <v/>
      </c>
      <c r="I154" s="21" t="str">
        <f aca="true">IF(OR(A154="",D154=""),"",IF(TODAY()-D154&lt;=Settings!$B$7,"Active","Inactive"))</f>
        <v/>
      </c>
    </row>
    <row r="155" customFormat="false" ht="15" hidden="false" customHeight="false" outlineLevel="0" collapsed="false">
      <c r="A155" s="1"/>
      <c r="B155" s="22"/>
      <c r="C155" s="18" t="str">
        <f aca="false">IF(OR(A155="",COUNTIF('Injection Sales'!$B$2:$B$501,A155)+COUNTIF('Protein Sales'!$B$2:$B$501,A155)+COUNTIF('Diet Support'!$B$2:$B$501,A155)=0),"",MIN(IF(COUNTIF('Injection Sales'!$B$2:$B$501,A155),_xlfn.MINIFS('Injection Sales'!$A$2:$A$501,'Injection Sales'!$B$2:$B$501,A155),99999),IF(COUNTIF('Protein Sales'!$B$2:$B$501,A155),_xlfn.MINIFS('Protein Sales'!$A$2:$A$501,'Protein Sales'!$B$2:$B$501,A155),99999),IF(COUNTIF('Diet Support'!$B$2:$B$501,A155),_xlfn.MINIFS('Diet Support'!$A$2:$A$501,'Diet Support'!$B$2:$B$501,A155),99999)))</f>
        <v/>
      </c>
      <c r="D155" s="18" t="str">
        <f aca="false">IF(OR(A155="",COUNTIF('Injection Sales'!$B$2:$B$501,A155)+COUNTIF('Protein Sales'!$B$2:$B$501,A155)+COUNTIF('Diet Support'!$B$2:$B$501,A155)=0),"",MAX(_xlfn.MAXIFS('Injection Sales'!$A$2:$A$501,'Injection Sales'!$B$2:$B$501,A155),_xlfn.MAXIFS('Protein Sales'!$A$2:$A$501,'Protein Sales'!$B$2:$B$501,A155),_xlfn.MAXIFS('Diet Support'!$A$2:$A$501,'Diet Support'!$B$2:$B$501,A155)))</f>
        <v/>
      </c>
      <c r="E155" s="19" t="str">
        <f aca="false">IF(A155="","",COUNTIF('Injection Sales'!$B$2:$B$501,A155)+COUNTIF('Protein Sales'!$B$2:$B$501,A155)+COUNTIF('Diet Support'!$B$2:$B$501,A155))</f>
        <v/>
      </c>
      <c r="F155" s="20" t="str">
        <f aca="false">IF(A155="","",SUMIF('Injection Sales'!$B$2:$B$501,A155,'Injection Sales'!$G$2:$G$501)+SUMIF('Protein Sales'!$B$2:$B$501,A155,'Protein Sales'!$F$2:$F$501)+SUMIF('Diet Support'!$B$2:$B$501,A155,'Diet Support'!$E$2:$E$501))</f>
        <v/>
      </c>
      <c r="G155" s="21" t="str">
        <f aca="false">IF(OR(A155="",COUNTIF('Injection Sales'!$B$2:$B$501,A155)=0),"",IFERROR(LOOKUP(2,1/(('Injection Sales'!$B$2:$B$501=A155)*('Injection Sales'!$A$2:$A$501=_xlfn.MAXIFS('Injection Sales'!$A$2:$A$501,'Injection Sales'!$B$2:$B$501,A155))),'Injection Sales'!$E$2:$E$501),""))</f>
        <v/>
      </c>
      <c r="H155" s="21" t="str">
        <f aca="false">IF(OR(A155="",COUNTIF('Injection Sales'!$B$2:$B$501,A155)=0),"",IFERROR(LOOKUP(2,1/(('Injection Sales'!$B$2:$B$501=A155)*('Injection Sales'!$A$2:$A$501=_xlfn.MAXIFS('Injection Sales'!$A$2:$A$501,'Injection Sales'!$B$2:$B$501,A155))),'Injection Sales'!$H$2:$H$501),""))</f>
        <v/>
      </c>
      <c r="I155" s="21" t="str">
        <f aca="true">IF(OR(A155="",D155=""),"",IF(TODAY()-D155&lt;=Settings!$B$7,"Active","Inactive"))</f>
        <v/>
      </c>
    </row>
    <row r="156" customFormat="false" ht="15" hidden="false" customHeight="false" outlineLevel="0" collapsed="false">
      <c r="A156" s="1"/>
      <c r="B156" s="22"/>
      <c r="C156" s="18" t="str">
        <f aca="false">IF(OR(A156="",COUNTIF('Injection Sales'!$B$2:$B$501,A156)+COUNTIF('Protein Sales'!$B$2:$B$501,A156)+COUNTIF('Diet Support'!$B$2:$B$501,A156)=0),"",MIN(IF(COUNTIF('Injection Sales'!$B$2:$B$501,A156),_xlfn.MINIFS('Injection Sales'!$A$2:$A$501,'Injection Sales'!$B$2:$B$501,A156),99999),IF(COUNTIF('Protein Sales'!$B$2:$B$501,A156),_xlfn.MINIFS('Protein Sales'!$A$2:$A$501,'Protein Sales'!$B$2:$B$501,A156),99999),IF(COUNTIF('Diet Support'!$B$2:$B$501,A156),_xlfn.MINIFS('Diet Support'!$A$2:$A$501,'Diet Support'!$B$2:$B$501,A156),99999)))</f>
        <v/>
      </c>
      <c r="D156" s="18" t="str">
        <f aca="false">IF(OR(A156="",COUNTIF('Injection Sales'!$B$2:$B$501,A156)+COUNTIF('Protein Sales'!$B$2:$B$501,A156)+COUNTIF('Diet Support'!$B$2:$B$501,A156)=0),"",MAX(_xlfn.MAXIFS('Injection Sales'!$A$2:$A$501,'Injection Sales'!$B$2:$B$501,A156),_xlfn.MAXIFS('Protein Sales'!$A$2:$A$501,'Protein Sales'!$B$2:$B$501,A156),_xlfn.MAXIFS('Diet Support'!$A$2:$A$501,'Diet Support'!$B$2:$B$501,A156)))</f>
        <v/>
      </c>
      <c r="E156" s="19" t="str">
        <f aca="false">IF(A156="","",COUNTIF('Injection Sales'!$B$2:$B$501,A156)+COUNTIF('Protein Sales'!$B$2:$B$501,A156)+COUNTIF('Diet Support'!$B$2:$B$501,A156))</f>
        <v/>
      </c>
      <c r="F156" s="20" t="str">
        <f aca="false">IF(A156="","",SUMIF('Injection Sales'!$B$2:$B$501,A156,'Injection Sales'!$G$2:$G$501)+SUMIF('Protein Sales'!$B$2:$B$501,A156,'Protein Sales'!$F$2:$F$501)+SUMIF('Diet Support'!$B$2:$B$501,A156,'Diet Support'!$E$2:$E$501))</f>
        <v/>
      </c>
      <c r="G156" s="21" t="str">
        <f aca="false">IF(OR(A156="",COUNTIF('Injection Sales'!$B$2:$B$501,A156)=0),"",IFERROR(LOOKUP(2,1/(('Injection Sales'!$B$2:$B$501=A156)*('Injection Sales'!$A$2:$A$501=_xlfn.MAXIFS('Injection Sales'!$A$2:$A$501,'Injection Sales'!$B$2:$B$501,A156))),'Injection Sales'!$E$2:$E$501),""))</f>
        <v/>
      </c>
      <c r="H156" s="21" t="str">
        <f aca="false">IF(OR(A156="",COUNTIF('Injection Sales'!$B$2:$B$501,A156)=0),"",IFERROR(LOOKUP(2,1/(('Injection Sales'!$B$2:$B$501=A156)*('Injection Sales'!$A$2:$A$501=_xlfn.MAXIFS('Injection Sales'!$A$2:$A$501,'Injection Sales'!$B$2:$B$501,A156))),'Injection Sales'!$H$2:$H$501),""))</f>
        <v/>
      </c>
      <c r="I156" s="21" t="str">
        <f aca="true">IF(OR(A156="",D156=""),"",IF(TODAY()-D156&lt;=Settings!$B$7,"Active","Inactive"))</f>
        <v/>
      </c>
    </row>
    <row r="157" customFormat="false" ht="15" hidden="false" customHeight="false" outlineLevel="0" collapsed="false">
      <c r="A157" s="1"/>
      <c r="B157" s="22"/>
      <c r="C157" s="18" t="str">
        <f aca="false">IF(OR(A157="",COUNTIF('Injection Sales'!$B$2:$B$501,A157)+COUNTIF('Protein Sales'!$B$2:$B$501,A157)+COUNTIF('Diet Support'!$B$2:$B$501,A157)=0),"",MIN(IF(COUNTIF('Injection Sales'!$B$2:$B$501,A157),_xlfn.MINIFS('Injection Sales'!$A$2:$A$501,'Injection Sales'!$B$2:$B$501,A157),99999),IF(COUNTIF('Protein Sales'!$B$2:$B$501,A157),_xlfn.MINIFS('Protein Sales'!$A$2:$A$501,'Protein Sales'!$B$2:$B$501,A157),99999),IF(COUNTIF('Diet Support'!$B$2:$B$501,A157),_xlfn.MINIFS('Diet Support'!$A$2:$A$501,'Diet Support'!$B$2:$B$501,A157),99999)))</f>
        <v/>
      </c>
      <c r="D157" s="18" t="str">
        <f aca="false">IF(OR(A157="",COUNTIF('Injection Sales'!$B$2:$B$501,A157)+COUNTIF('Protein Sales'!$B$2:$B$501,A157)+COUNTIF('Diet Support'!$B$2:$B$501,A157)=0),"",MAX(_xlfn.MAXIFS('Injection Sales'!$A$2:$A$501,'Injection Sales'!$B$2:$B$501,A157),_xlfn.MAXIFS('Protein Sales'!$A$2:$A$501,'Protein Sales'!$B$2:$B$501,A157),_xlfn.MAXIFS('Diet Support'!$A$2:$A$501,'Diet Support'!$B$2:$B$501,A157)))</f>
        <v/>
      </c>
      <c r="E157" s="19" t="str">
        <f aca="false">IF(A157="","",COUNTIF('Injection Sales'!$B$2:$B$501,A157)+COUNTIF('Protein Sales'!$B$2:$B$501,A157)+COUNTIF('Diet Support'!$B$2:$B$501,A157))</f>
        <v/>
      </c>
      <c r="F157" s="20" t="str">
        <f aca="false">IF(A157="","",SUMIF('Injection Sales'!$B$2:$B$501,A157,'Injection Sales'!$G$2:$G$501)+SUMIF('Protein Sales'!$B$2:$B$501,A157,'Protein Sales'!$F$2:$F$501)+SUMIF('Diet Support'!$B$2:$B$501,A157,'Diet Support'!$E$2:$E$501))</f>
        <v/>
      </c>
      <c r="G157" s="21" t="str">
        <f aca="false">IF(OR(A157="",COUNTIF('Injection Sales'!$B$2:$B$501,A157)=0),"",IFERROR(LOOKUP(2,1/(('Injection Sales'!$B$2:$B$501=A157)*('Injection Sales'!$A$2:$A$501=_xlfn.MAXIFS('Injection Sales'!$A$2:$A$501,'Injection Sales'!$B$2:$B$501,A157))),'Injection Sales'!$E$2:$E$501),""))</f>
        <v/>
      </c>
      <c r="H157" s="21" t="str">
        <f aca="false">IF(OR(A157="",COUNTIF('Injection Sales'!$B$2:$B$501,A157)=0),"",IFERROR(LOOKUP(2,1/(('Injection Sales'!$B$2:$B$501=A157)*('Injection Sales'!$A$2:$A$501=_xlfn.MAXIFS('Injection Sales'!$A$2:$A$501,'Injection Sales'!$B$2:$B$501,A157))),'Injection Sales'!$H$2:$H$501),""))</f>
        <v/>
      </c>
      <c r="I157" s="21" t="str">
        <f aca="true">IF(OR(A157="",D157=""),"",IF(TODAY()-D157&lt;=Settings!$B$7,"Active","Inactive"))</f>
        <v/>
      </c>
    </row>
    <row r="158" customFormat="false" ht="15" hidden="false" customHeight="false" outlineLevel="0" collapsed="false">
      <c r="A158" s="1"/>
      <c r="B158" s="22"/>
      <c r="C158" s="18" t="str">
        <f aca="false">IF(OR(A158="",COUNTIF('Injection Sales'!$B$2:$B$501,A158)+COUNTIF('Protein Sales'!$B$2:$B$501,A158)+COUNTIF('Diet Support'!$B$2:$B$501,A158)=0),"",MIN(IF(COUNTIF('Injection Sales'!$B$2:$B$501,A158),_xlfn.MINIFS('Injection Sales'!$A$2:$A$501,'Injection Sales'!$B$2:$B$501,A158),99999),IF(COUNTIF('Protein Sales'!$B$2:$B$501,A158),_xlfn.MINIFS('Protein Sales'!$A$2:$A$501,'Protein Sales'!$B$2:$B$501,A158),99999),IF(COUNTIF('Diet Support'!$B$2:$B$501,A158),_xlfn.MINIFS('Diet Support'!$A$2:$A$501,'Diet Support'!$B$2:$B$501,A158),99999)))</f>
        <v/>
      </c>
      <c r="D158" s="18" t="str">
        <f aca="false">IF(OR(A158="",COUNTIF('Injection Sales'!$B$2:$B$501,A158)+COUNTIF('Protein Sales'!$B$2:$B$501,A158)+COUNTIF('Diet Support'!$B$2:$B$501,A158)=0),"",MAX(_xlfn.MAXIFS('Injection Sales'!$A$2:$A$501,'Injection Sales'!$B$2:$B$501,A158),_xlfn.MAXIFS('Protein Sales'!$A$2:$A$501,'Protein Sales'!$B$2:$B$501,A158),_xlfn.MAXIFS('Diet Support'!$A$2:$A$501,'Diet Support'!$B$2:$B$501,A158)))</f>
        <v/>
      </c>
      <c r="E158" s="19" t="str">
        <f aca="false">IF(A158="","",COUNTIF('Injection Sales'!$B$2:$B$501,A158)+COUNTIF('Protein Sales'!$B$2:$B$501,A158)+COUNTIF('Diet Support'!$B$2:$B$501,A158))</f>
        <v/>
      </c>
      <c r="F158" s="20" t="str">
        <f aca="false">IF(A158="","",SUMIF('Injection Sales'!$B$2:$B$501,A158,'Injection Sales'!$G$2:$G$501)+SUMIF('Protein Sales'!$B$2:$B$501,A158,'Protein Sales'!$F$2:$F$501)+SUMIF('Diet Support'!$B$2:$B$501,A158,'Diet Support'!$E$2:$E$501))</f>
        <v/>
      </c>
      <c r="G158" s="21" t="str">
        <f aca="false">IF(OR(A158="",COUNTIF('Injection Sales'!$B$2:$B$501,A158)=0),"",IFERROR(LOOKUP(2,1/(('Injection Sales'!$B$2:$B$501=A158)*('Injection Sales'!$A$2:$A$501=_xlfn.MAXIFS('Injection Sales'!$A$2:$A$501,'Injection Sales'!$B$2:$B$501,A158))),'Injection Sales'!$E$2:$E$501),""))</f>
        <v/>
      </c>
      <c r="H158" s="21" t="str">
        <f aca="false">IF(OR(A158="",COUNTIF('Injection Sales'!$B$2:$B$501,A158)=0),"",IFERROR(LOOKUP(2,1/(('Injection Sales'!$B$2:$B$501=A158)*('Injection Sales'!$A$2:$A$501=_xlfn.MAXIFS('Injection Sales'!$A$2:$A$501,'Injection Sales'!$B$2:$B$501,A158))),'Injection Sales'!$H$2:$H$501),""))</f>
        <v/>
      </c>
      <c r="I158" s="21" t="str">
        <f aca="true">IF(OR(A158="",D158=""),"",IF(TODAY()-D158&lt;=Settings!$B$7,"Active","Inactive"))</f>
        <v/>
      </c>
    </row>
    <row r="159" customFormat="false" ht="15" hidden="false" customHeight="false" outlineLevel="0" collapsed="false">
      <c r="A159" s="1"/>
      <c r="B159" s="22"/>
      <c r="C159" s="18" t="str">
        <f aca="false">IF(OR(A159="",COUNTIF('Injection Sales'!$B$2:$B$501,A159)+COUNTIF('Protein Sales'!$B$2:$B$501,A159)+COUNTIF('Diet Support'!$B$2:$B$501,A159)=0),"",MIN(IF(COUNTIF('Injection Sales'!$B$2:$B$501,A159),_xlfn.MINIFS('Injection Sales'!$A$2:$A$501,'Injection Sales'!$B$2:$B$501,A159),99999),IF(COUNTIF('Protein Sales'!$B$2:$B$501,A159),_xlfn.MINIFS('Protein Sales'!$A$2:$A$501,'Protein Sales'!$B$2:$B$501,A159),99999),IF(COUNTIF('Diet Support'!$B$2:$B$501,A159),_xlfn.MINIFS('Diet Support'!$A$2:$A$501,'Diet Support'!$B$2:$B$501,A159),99999)))</f>
        <v/>
      </c>
      <c r="D159" s="18" t="str">
        <f aca="false">IF(OR(A159="",COUNTIF('Injection Sales'!$B$2:$B$501,A159)+COUNTIF('Protein Sales'!$B$2:$B$501,A159)+COUNTIF('Diet Support'!$B$2:$B$501,A159)=0),"",MAX(_xlfn.MAXIFS('Injection Sales'!$A$2:$A$501,'Injection Sales'!$B$2:$B$501,A159),_xlfn.MAXIFS('Protein Sales'!$A$2:$A$501,'Protein Sales'!$B$2:$B$501,A159),_xlfn.MAXIFS('Diet Support'!$A$2:$A$501,'Diet Support'!$B$2:$B$501,A159)))</f>
        <v/>
      </c>
      <c r="E159" s="19" t="str">
        <f aca="false">IF(A159="","",COUNTIF('Injection Sales'!$B$2:$B$501,A159)+COUNTIF('Protein Sales'!$B$2:$B$501,A159)+COUNTIF('Diet Support'!$B$2:$B$501,A159))</f>
        <v/>
      </c>
      <c r="F159" s="20" t="str">
        <f aca="false">IF(A159="","",SUMIF('Injection Sales'!$B$2:$B$501,A159,'Injection Sales'!$G$2:$G$501)+SUMIF('Protein Sales'!$B$2:$B$501,A159,'Protein Sales'!$F$2:$F$501)+SUMIF('Diet Support'!$B$2:$B$501,A159,'Diet Support'!$E$2:$E$501))</f>
        <v/>
      </c>
      <c r="G159" s="21" t="str">
        <f aca="false">IF(OR(A159="",COUNTIF('Injection Sales'!$B$2:$B$501,A159)=0),"",IFERROR(LOOKUP(2,1/(('Injection Sales'!$B$2:$B$501=A159)*('Injection Sales'!$A$2:$A$501=_xlfn.MAXIFS('Injection Sales'!$A$2:$A$501,'Injection Sales'!$B$2:$B$501,A159))),'Injection Sales'!$E$2:$E$501),""))</f>
        <v/>
      </c>
      <c r="H159" s="21" t="str">
        <f aca="false">IF(OR(A159="",COUNTIF('Injection Sales'!$B$2:$B$501,A159)=0),"",IFERROR(LOOKUP(2,1/(('Injection Sales'!$B$2:$B$501=A159)*('Injection Sales'!$A$2:$A$501=_xlfn.MAXIFS('Injection Sales'!$A$2:$A$501,'Injection Sales'!$B$2:$B$501,A159))),'Injection Sales'!$H$2:$H$501),""))</f>
        <v/>
      </c>
      <c r="I159" s="21" t="str">
        <f aca="true">IF(OR(A159="",D159=""),"",IF(TODAY()-D159&lt;=Settings!$B$7,"Active","Inactive"))</f>
        <v/>
      </c>
    </row>
    <row r="160" customFormat="false" ht="15" hidden="false" customHeight="false" outlineLevel="0" collapsed="false">
      <c r="A160" s="1"/>
      <c r="B160" s="22"/>
      <c r="C160" s="18" t="str">
        <f aca="false">IF(OR(A160="",COUNTIF('Injection Sales'!$B$2:$B$501,A160)+COUNTIF('Protein Sales'!$B$2:$B$501,A160)+COUNTIF('Diet Support'!$B$2:$B$501,A160)=0),"",MIN(IF(COUNTIF('Injection Sales'!$B$2:$B$501,A160),_xlfn.MINIFS('Injection Sales'!$A$2:$A$501,'Injection Sales'!$B$2:$B$501,A160),99999),IF(COUNTIF('Protein Sales'!$B$2:$B$501,A160),_xlfn.MINIFS('Protein Sales'!$A$2:$A$501,'Protein Sales'!$B$2:$B$501,A160),99999),IF(COUNTIF('Diet Support'!$B$2:$B$501,A160),_xlfn.MINIFS('Diet Support'!$A$2:$A$501,'Diet Support'!$B$2:$B$501,A160),99999)))</f>
        <v/>
      </c>
      <c r="D160" s="18" t="str">
        <f aca="false">IF(OR(A160="",COUNTIF('Injection Sales'!$B$2:$B$501,A160)+COUNTIF('Protein Sales'!$B$2:$B$501,A160)+COUNTIF('Diet Support'!$B$2:$B$501,A160)=0),"",MAX(_xlfn.MAXIFS('Injection Sales'!$A$2:$A$501,'Injection Sales'!$B$2:$B$501,A160),_xlfn.MAXIFS('Protein Sales'!$A$2:$A$501,'Protein Sales'!$B$2:$B$501,A160),_xlfn.MAXIFS('Diet Support'!$A$2:$A$501,'Diet Support'!$B$2:$B$501,A160)))</f>
        <v/>
      </c>
      <c r="E160" s="19" t="str">
        <f aca="false">IF(A160="","",COUNTIF('Injection Sales'!$B$2:$B$501,A160)+COUNTIF('Protein Sales'!$B$2:$B$501,A160)+COUNTIF('Diet Support'!$B$2:$B$501,A160))</f>
        <v/>
      </c>
      <c r="F160" s="20" t="str">
        <f aca="false">IF(A160="","",SUMIF('Injection Sales'!$B$2:$B$501,A160,'Injection Sales'!$G$2:$G$501)+SUMIF('Protein Sales'!$B$2:$B$501,A160,'Protein Sales'!$F$2:$F$501)+SUMIF('Diet Support'!$B$2:$B$501,A160,'Diet Support'!$E$2:$E$501))</f>
        <v/>
      </c>
      <c r="G160" s="21" t="str">
        <f aca="false">IF(OR(A160="",COUNTIF('Injection Sales'!$B$2:$B$501,A160)=0),"",IFERROR(LOOKUP(2,1/(('Injection Sales'!$B$2:$B$501=A160)*('Injection Sales'!$A$2:$A$501=_xlfn.MAXIFS('Injection Sales'!$A$2:$A$501,'Injection Sales'!$B$2:$B$501,A160))),'Injection Sales'!$E$2:$E$501),""))</f>
        <v/>
      </c>
      <c r="H160" s="21" t="str">
        <f aca="false">IF(OR(A160="",COUNTIF('Injection Sales'!$B$2:$B$501,A160)=0),"",IFERROR(LOOKUP(2,1/(('Injection Sales'!$B$2:$B$501=A160)*('Injection Sales'!$A$2:$A$501=_xlfn.MAXIFS('Injection Sales'!$A$2:$A$501,'Injection Sales'!$B$2:$B$501,A160))),'Injection Sales'!$H$2:$H$501),""))</f>
        <v/>
      </c>
      <c r="I160" s="21" t="str">
        <f aca="true">IF(OR(A160="",D160=""),"",IF(TODAY()-D160&lt;=Settings!$B$7,"Active","Inactive"))</f>
        <v/>
      </c>
    </row>
    <row r="161" customFormat="false" ht="15" hidden="false" customHeight="false" outlineLevel="0" collapsed="false">
      <c r="A161" s="1"/>
      <c r="B161" s="22"/>
      <c r="C161" s="18" t="str">
        <f aca="false">IF(OR(A161="",COUNTIF('Injection Sales'!$B$2:$B$501,A161)+COUNTIF('Protein Sales'!$B$2:$B$501,A161)+COUNTIF('Diet Support'!$B$2:$B$501,A161)=0),"",MIN(IF(COUNTIF('Injection Sales'!$B$2:$B$501,A161),_xlfn.MINIFS('Injection Sales'!$A$2:$A$501,'Injection Sales'!$B$2:$B$501,A161),99999),IF(COUNTIF('Protein Sales'!$B$2:$B$501,A161),_xlfn.MINIFS('Protein Sales'!$A$2:$A$501,'Protein Sales'!$B$2:$B$501,A161),99999),IF(COUNTIF('Diet Support'!$B$2:$B$501,A161),_xlfn.MINIFS('Diet Support'!$A$2:$A$501,'Diet Support'!$B$2:$B$501,A161),99999)))</f>
        <v/>
      </c>
      <c r="D161" s="18" t="str">
        <f aca="false">IF(OR(A161="",COUNTIF('Injection Sales'!$B$2:$B$501,A161)+COUNTIF('Protein Sales'!$B$2:$B$501,A161)+COUNTIF('Diet Support'!$B$2:$B$501,A161)=0),"",MAX(_xlfn.MAXIFS('Injection Sales'!$A$2:$A$501,'Injection Sales'!$B$2:$B$501,A161),_xlfn.MAXIFS('Protein Sales'!$A$2:$A$501,'Protein Sales'!$B$2:$B$501,A161),_xlfn.MAXIFS('Diet Support'!$A$2:$A$501,'Diet Support'!$B$2:$B$501,A161)))</f>
        <v/>
      </c>
      <c r="E161" s="19" t="str">
        <f aca="false">IF(A161="","",COUNTIF('Injection Sales'!$B$2:$B$501,A161)+COUNTIF('Protein Sales'!$B$2:$B$501,A161)+COUNTIF('Diet Support'!$B$2:$B$501,A161))</f>
        <v/>
      </c>
      <c r="F161" s="20" t="str">
        <f aca="false">IF(A161="","",SUMIF('Injection Sales'!$B$2:$B$501,A161,'Injection Sales'!$G$2:$G$501)+SUMIF('Protein Sales'!$B$2:$B$501,A161,'Protein Sales'!$F$2:$F$501)+SUMIF('Diet Support'!$B$2:$B$501,A161,'Diet Support'!$E$2:$E$501))</f>
        <v/>
      </c>
      <c r="G161" s="21" t="str">
        <f aca="false">IF(OR(A161="",COUNTIF('Injection Sales'!$B$2:$B$501,A161)=0),"",IFERROR(LOOKUP(2,1/(('Injection Sales'!$B$2:$B$501=A161)*('Injection Sales'!$A$2:$A$501=_xlfn.MAXIFS('Injection Sales'!$A$2:$A$501,'Injection Sales'!$B$2:$B$501,A161))),'Injection Sales'!$E$2:$E$501),""))</f>
        <v/>
      </c>
      <c r="H161" s="21" t="str">
        <f aca="false">IF(OR(A161="",COUNTIF('Injection Sales'!$B$2:$B$501,A161)=0),"",IFERROR(LOOKUP(2,1/(('Injection Sales'!$B$2:$B$501=A161)*('Injection Sales'!$A$2:$A$501=_xlfn.MAXIFS('Injection Sales'!$A$2:$A$501,'Injection Sales'!$B$2:$B$501,A161))),'Injection Sales'!$H$2:$H$501),""))</f>
        <v/>
      </c>
      <c r="I161" s="21" t="str">
        <f aca="true">IF(OR(A161="",D161=""),"",IF(TODAY()-D161&lt;=Settings!$B$7,"Active","Inactive"))</f>
        <v/>
      </c>
    </row>
    <row r="162" customFormat="false" ht="15" hidden="false" customHeight="false" outlineLevel="0" collapsed="false">
      <c r="A162" s="1"/>
      <c r="B162" s="22"/>
      <c r="C162" s="18" t="str">
        <f aca="false">IF(OR(A162="",COUNTIF('Injection Sales'!$B$2:$B$501,A162)+COUNTIF('Protein Sales'!$B$2:$B$501,A162)+COUNTIF('Diet Support'!$B$2:$B$501,A162)=0),"",MIN(IF(COUNTIF('Injection Sales'!$B$2:$B$501,A162),_xlfn.MINIFS('Injection Sales'!$A$2:$A$501,'Injection Sales'!$B$2:$B$501,A162),99999),IF(COUNTIF('Protein Sales'!$B$2:$B$501,A162),_xlfn.MINIFS('Protein Sales'!$A$2:$A$501,'Protein Sales'!$B$2:$B$501,A162),99999),IF(COUNTIF('Diet Support'!$B$2:$B$501,A162),_xlfn.MINIFS('Diet Support'!$A$2:$A$501,'Diet Support'!$B$2:$B$501,A162),99999)))</f>
        <v/>
      </c>
      <c r="D162" s="18" t="str">
        <f aca="false">IF(OR(A162="",COUNTIF('Injection Sales'!$B$2:$B$501,A162)+COUNTIF('Protein Sales'!$B$2:$B$501,A162)+COUNTIF('Diet Support'!$B$2:$B$501,A162)=0),"",MAX(_xlfn.MAXIFS('Injection Sales'!$A$2:$A$501,'Injection Sales'!$B$2:$B$501,A162),_xlfn.MAXIFS('Protein Sales'!$A$2:$A$501,'Protein Sales'!$B$2:$B$501,A162),_xlfn.MAXIFS('Diet Support'!$A$2:$A$501,'Diet Support'!$B$2:$B$501,A162)))</f>
        <v/>
      </c>
      <c r="E162" s="19" t="str">
        <f aca="false">IF(A162="","",COUNTIF('Injection Sales'!$B$2:$B$501,A162)+COUNTIF('Protein Sales'!$B$2:$B$501,A162)+COUNTIF('Diet Support'!$B$2:$B$501,A162))</f>
        <v/>
      </c>
      <c r="F162" s="20" t="str">
        <f aca="false">IF(A162="","",SUMIF('Injection Sales'!$B$2:$B$501,A162,'Injection Sales'!$G$2:$G$501)+SUMIF('Protein Sales'!$B$2:$B$501,A162,'Protein Sales'!$F$2:$F$501)+SUMIF('Diet Support'!$B$2:$B$501,A162,'Diet Support'!$E$2:$E$501))</f>
        <v/>
      </c>
      <c r="G162" s="21" t="str">
        <f aca="false">IF(OR(A162="",COUNTIF('Injection Sales'!$B$2:$B$501,A162)=0),"",IFERROR(LOOKUP(2,1/(('Injection Sales'!$B$2:$B$501=A162)*('Injection Sales'!$A$2:$A$501=_xlfn.MAXIFS('Injection Sales'!$A$2:$A$501,'Injection Sales'!$B$2:$B$501,A162))),'Injection Sales'!$E$2:$E$501),""))</f>
        <v/>
      </c>
      <c r="H162" s="21" t="str">
        <f aca="false">IF(OR(A162="",COUNTIF('Injection Sales'!$B$2:$B$501,A162)=0),"",IFERROR(LOOKUP(2,1/(('Injection Sales'!$B$2:$B$501=A162)*('Injection Sales'!$A$2:$A$501=_xlfn.MAXIFS('Injection Sales'!$A$2:$A$501,'Injection Sales'!$B$2:$B$501,A162))),'Injection Sales'!$H$2:$H$501),""))</f>
        <v/>
      </c>
      <c r="I162" s="21" t="str">
        <f aca="true">IF(OR(A162="",D162=""),"",IF(TODAY()-D162&lt;=Settings!$B$7,"Active","Inactive"))</f>
        <v/>
      </c>
    </row>
    <row r="163" customFormat="false" ht="15" hidden="false" customHeight="false" outlineLevel="0" collapsed="false">
      <c r="A163" s="1"/>
      <c r="B163" s="22"/>
      <c r="C163" s="18" t="str">
        <f aca="false">IF(OR(A163="",COUNTIF('Injection Sales'!$B$2:$B$501,A163)+COUNTIF('Protein Sales'!$B$2:$B$501,A163)+COUNTIF('Diet Support'!$B$2:$B$501,A163)=0),"",MIN(IF(COUNTIF('Injection Sales'!$B$2:$B$501,A163),_xlfn.MINIFS('Injection Sales'!$A$2:$A$501,'Injection Sales'!$B$2:$B$501,A163),99999),IF(COUNTIF('Protein Sales'!$B$2:$B$501,A163),_xlfn.MINIFS('Protein Sales'!$A$2:$A$501,'Protein Sales'!$B$2:$B$501,A163),99999),IF(COUNTIF('Diet Support'!$B$2:$B$501,A163),_xlfn.MINIFS('Diet Support'!$A$2:$A$501,'Diet Support'!$B$2:$B$501,A163),99999)))</f>
        <v/>
      </c>
      <c r="D163" s="18" t="str">
        <f aca="false">IF(OR(A163="",COUNTIF('Injection Sales'!$B$2:$B$501,A163)+COUNTIF('Protein Sales'!$B$2:$B$501,A163)+COUNTIF('Diet Support'!$B$2:$B$501,A163)=0),"",MAX(_xlfn.MAXIFS('Injection Sales'!$A$2:$A$501,'Injection Sales'!$B$2:$B$501,A163),_xlfn.MAXIFS('Protein Sales'!$A$2:$A$501,'Protein Sales'!$B$2:$B$501,A163),_xlfn.MAXIFS('Diet Support'!$A$2:$A$501,'Diet Support'!$B$2:$B$501,A163)))</f>
        <v/>
      </c>
      <c r="E163" s="19" t="str">
        <f aca="false">IF(A163="","",COUNTIF('Injection Sales'!$B$2:$B$501,A163)+COUNTIF('Protein Sales'!$B$2:$B$501,A163)+COUNTIF('Diet Support'!$B$2:$B$501,A163))</f>
        <v/>
      </c>
      <c r="F163" s="20" t="str">
        <f aca="false">IF(A163="","",SUMIF('Injection Sales'!$B$2:$B$501,A163,'Injection Sales'!$G$2:$G$501)+SUMIF('Protein Sales'!$B$2:$B$501,A163,'Protein Sales'!$F$2:$F$501)+SUMIF('Diet Support'!$B$2:$B$501,A163,'Diet Support'!$E$2:$E$501))</f>
        <v/>
      </c>
      <c r="G163" s="21" t="str">
        <f aca="false">IF(OR(A163="",COUNTIF('Injection Sales'!$B$2:$B$501,A163)=0),"",IFERROR(LOOKUP(2,1/(('Injection Sales'!$B$2:$B$501=A163)*('Injection Sales'!$A$2:$A$501=_xlfn.MAXIFS('Injection Sales'!$A$2:$A$501,'Injection Sales'!$B$2:$B$501,A163))),'Injection Sales'!$E$2:$E$501),""))</f>
        <v/>
      </c>
      <c r="H163" s="21" t="str">
        <f aca="false">IF(OR(A163="",COUNTIF('Injection Sales'!$B$2:$B$501,A163)=0),"",IFERROR(LOOKUP(2,1/(('Injection Sales'!$B$2:$B$501=A163)*('Injection Sales'!$A$2:$A$501=_xlfn.MAXIFS('Injection Sales'!$A$2:$A$501,'Injection Sales'!$B$2:$B$501,A163))),'Injection Sales'!$H$2:$H$501),""))</f>
        <v/>
      </c>
      <c r="I163" s="21" t="str">
        <f aca="true">IF(OR(A163="",D163=""),"",IF(TODAY()-D163&lt;=Settings!$B$7,"Active","Inactive"))</f>
        <v/>
      </c>
    </row>
    <row r="164" customFormat="false" ht="15" hidden="false" customHeight="false" outlineLevel="0" collapsed="false">
      <c r="A164" s="1"/>
      <c r="B164" s="22"/>
      <c r="C164" s="18" t="str">
        <f aca="false">IF(OR(A164="",COUNTIF('Injection Sales'!$B$2:$B$501,A164)+COUNTIF('Protein Sales'!$B$2:$B$501,A164)+COUNTIF('Diet Support'!$B$2:$B$501,A164)=0),"",MIN(IF(COUNTIF('Injection Sales'!$B$2:$B$501,A164),_xlfn.MINIFS('Injection Sales'!$A$2:$A$501,'Injection Sales'!$B$2:$B$501,A164),99999),IF(COUNTIF('Protein Sales'!$B$2:$B$501,A164),_xlfn.MINIFS('Protein Sales'!$A$2:$A$501,'Protein Sales'!$B$2:$B$501,A164),99999),IF(COUNTIF('Diet Support'!$B$2:$B$501,A164),_xlfn.MINIFS('Diet Support'!$A$2:$A$501,'Diet Support'!$B$2:$B$501,A164),99999)))</f>
        <v/>
      </c>
      <c r="D164" s="18" t="str">
        <f aca="false">IF(OR(A164="",COUNTIF('Injection Sales'!$B$2:$B$501,A164)+COUNTIF('Protein Sales'!$B$2:$B$501,A164)+COUNTIF('Diet Support'!$B$2:$B$501,A164)=0),"",MAX(_xlfn.MAXIFS('Injection Sales'!$A$2:$A$501,'Injection Sales'!$B$2:$B$501,A164),_xlfn.MAXIFS('Protein Sales'!$A$2:$A$501,'Protein Sales'!$B$2:$B$501,A164),_xlfn.MAXIFS('Diet Support'!$A$2:$A$501,'Diet Support'!$B$2:$B$501,A164)))</f>
        <v/>
      </c>
      <c r="E164" s="19" t="str">
        <f aca="false">IF(A164="","",COUNTIF('Injection Sales'!$B$2:$B$501,A164)+COUNTIF('Protein Sales'!$B$2:$B$501,A164)+COUNTIF('Diet Support'!$B$2:$B$501,A164))</f>
        <v/>
      </c>
      <c r="F164" s="20" t="str">
        <f aca="false">IF(A164="","",SUMIF('Injection Sales'!$B$2:$B$501,A164,'Injection Sales'!$G$2:$G$501)+SUMIF('Protein Sales'!$B$2:$B$501,A164,'Protein Sales'!$F$2:$F$501)+SUMIF('Diet Support'!$B$2:$B$501,A164,'Diet Support'!$E$2:$E$501))</f>
        <v/>
      </c>
      <c r="G164" s="21" t="str">
        <f aca="false">IF(OR(A164="",COUNTIF('Injection Sales'!$B$2:$B$501,A164)=0),"",IFERROR(LOOKUP(2,1/(('Injection Sales'!$B$2:$B$501=A164)*('Injection Sales'!$A$2:$A$501=_xlfn.MAXIFS('Injection Sales'!$A$2:$A$501,'Injection Sales'!$B$2:$B$501,A164))),'Injection Sales'!$E$2:$E$501),""))</f>
        <v/>
      </c>
      <c r="H164" s="21" t="str">
        <f aca="false">IF(OR(A164="",COUNTIF('Injection Sales'!$B$2:$B$501,A164)=0),"",IFERROR(LOOKUP(2,1/(('Injection Sales'!$B$2:$B$501=A164)*('Injection Sales'!$A$2:$A$501=_xlfn.MAXIFS('Injection Sales'!$A$2:$A$501,'Injection Sales'!$B$2:$B$501,A164))),'Injection Sales'!$H$2:$H$501),""))</f>
        <v/>
      </c>
      <c r="I164" s="21" t="str">
        <f aca="true">IF(OR(A164="",D164=""),"",IF(TODAY()-D164&lt;=Settings!$B$7,"Active","Inactive"))</f>
        <v/>
      </c>
    </row>
    <row r="165" customFormat="false" ht="15" hidden="false" customHeight="false" outlineLevel="0" collapsed="false">
      <c r="A165" s="1"/>
      <c r="B165" s="22"/>
      <c r="C165" s="18" t="str">
        <f aca="false">IF(OR(A165="",COUNTIF('Injection Sales'!$B$2:$B$501,A165)+COUNTIF('Protein Sales'!$B$2:$B$501,A165)+COUNTIF('Diet Support'!$B$2:$B$501,A165)=0),"",MIN(IF(COUNTIF('Injection Sales'!$B$2:$B$501,A165),_xlfn.MINIFS('Injection Sales'!$A$2:$A$501,'Injection Sales'!$B$2:$B$501,A165),99999),IF(COUNTIF('Protein Sales'!$B$2:$B$501,A165),_xlfn.MINIFS('Protein Sales'!$A$2:$A$501,'Protein Sales'!$B$2:$B$501,A165),99999),IF(COUNTIF('Diet Support'!$B$2:$B$501,A165),_xlfn.MINIFS('Diet Support'!$A$2:$A$501,'Diet Support'!$B$2:$B$501,A165),99999)))</f>
        <v/>
      </c>
      <c r="D165" s="18" t="str">
        <f aca="false">IF(OR(A165="",COUNTIF('Injection Sales'!$B$2:$B$501,A165)+COUNTIF('Protein Sales'!$B$2:$B$501,A165)+COUNTIF('Diet Support'!$B$2:$B$501,A165)=0),"",MAX(_xlfn.MAXIFS('Injection Sales'!$A$2:$A$501,'Injection Sales'!$B$2:$B$501,A165),_xlfn.MAXIFS('Protein Sales'!$A$2:$A$501,'Protein Sales'!$B$2:$B$501,A165),_xlfn.MAXIFS('Diet Support'!$A$2:$A$501,'Diet Support'!$B$2:$B$501,A165)))</f>
        <v/>
      </c>
      <c r="E165" s="19" t="str">
        <f aca="false">IF(A165="","",COUNTIF('Injection Sales'!$B$2:$B$501,A165)+COUNTIF('Protein Sales'!$B$2:$B$501,A165)+COUNTIF('Diet Support'!$B$2:$B$501,A165))</f>
        <v/>
      </c>
      <c r="F165" s="20" t="str">
        <f aca="false">IF(A165="","",SUMIF('Injection Sales'!$B$2:$B$501,A165,'Injection Sales'!$G$2:$G$501)+SUMIF('Protein Sales'!$B$2:$B$501,A165,'Protein Sales'!$F$2:$F$501)+SUMIF('Diet Support'!$B$2:$B$501,A165,'Diet Support'!$E$2:$E$501))</f>
        <v/>
      </c>
      <c r="G165" s="21" t="str">
        <f aca="false">IF(OR(A165="",COUNTIF('Injection Sales'!$B$2:$B$501,A165)=0),"",IFERROR(LOOKUP(2,1/(('Injection Sales'!$B$2:$B$501=A165)*('Injection Sales'!$A$2:$A$501=_xlfn.MAXIFS('Injection Sales'!$A$2:$A$501,'Injection Sales'!$B$2:$B$501,A165))),'Injection Sales'!$E$2:$E$501),""))</f>
        <v/>
      </c>
      <c r="H165" s="21" t="str">
        <f aca="false">IF(OR(A165="",COUNTIF('Injection Sales'!$B$2:$B$501,A165)=0),"",IFERROR(LOOKUP(2,1/(('Injection Sales'!$B$2:$B$501=A165)*('Injection Sales'!$A$2:$A$501=_xlfn.MAXIFS('Injection Sales'!$A$2:$A$501,'Injection Sales'!$B$2:$B$501,A165))),'Injection Sales'!$H$2:$H$501),""))</f>
        <v/>
      </c>
      <c r="I165" s="21" t="str">
        <f aca="true">IF(OR(A165="",D165=""),"",IF(TODAY()-D165&lt;=Settings!$B$7,"Active","Inactive"))</f>
        <v/>
      </c>
    </row>
    <row r="166" customFormat="false" ht="15" hidden="false" customHeight="false" outlineLevel="0" collapsed="false">
      <c r="A166" s="1"/>
      <c r="B166" s="22"/>
      <c r="C166" s="18" t="str">
        <f aca="false">IF(OR(A166="",COUNTIF('Injection Sales'!$B$2:$B$501,A166)+COUNTIF('Protein Sales'!$B$2:$B$501,A166)+COUNTIF('Diet Support'!$B$2:$B$501,A166)=0),"",MIN(IF(COUNTIF('Injection Sales'!$B$2:$B$501,A166),_xlfn.MINIFS('Injection Sales'!$A$2:$A$501,'Injection Sales'!$B$2:$B$501,A166),99999),IF(COUNTIF('Protein Sales'!$B$2:$B$501,A166),_xlfn.MINIFS('Protein Sales'!$A$2:$A$501,'Protein Sales'!$B$2:$B$501,A166),99999),IF(COUNTIF('Diet Support'!$B$2:$B$501,A166),_xlfn.MINIFS('Diet Support'!$A$2:$A$501,'Diet Support'!$B$2:$B$501,A166),99999)))</f>
        <v/>
      </c>
      <c r="D166" s="18" t="str">
        <f aca="false">IF(OR(A166="",COUNTIF('Injection Sales'!$B$2:$B$501,A166)+COUNTIF('Protein Sales'!$B$2:$B$501,A166)+COUNTIF('Diet Support'!$B$2:$B$501,A166)=0),"",MAX(_xlfn.MAXIFS('Injection Sales'!$A$2:$A$501,'Injection Sales'!$B$2:$B$501,A166),_xlfn.MAXIFS('Protein Sales'!$A$2:$A$501,'Protein Sales'!$B$2:$B$501,A166),_xlfn.MAXIFS('Diet Support'!$A$2:$A$501,'Diet Support'!$B$2:$B$501,A166)))</f>
        <v/>
      </c>
      <c r="E166" s="19" t="str">
        <f aca="false">IF(A166="","",COUNTIF('Injection Sales'!$B$2:$B$501,A166)+COUNTIF('Protein Sales'!$B$2:$B$501,A166)+COUNTIF('Diet Support'!$B$2:$B$501,A166))</f>
        <v/>
      </c>
      <c r="F166" s="20" t="str">
        <f aca="false">IF(A166="","",SUMIF('Injection Sales'!$B$2:$B$501,A166,'Injection Sales'!$G$2:$G$501)+SUMIF('Protein Sales'!$B$2:$B$501,A166,'Protein Sales'!$F$2:$F$501)+SUMIF('Diet Support'!$B$2:$B$501,A166,'Diet Support'!$E$2:$E$501))</f>
        <v/>
      </c>
      <c r="G166" s="21" t="str">
        <f aca="false">IF(OR(A166="",COUNTIF('Injection Sales'!$B$2:$B$501,A166)=0),"",IFERROR(LOOKUP(2,1/(('Injection Sales'!$B$2:$B$501=A166)*('Injection Sales'!$A$2:$A$501=_xlfn.MAXIFS('Injection Sales'!$A$2:$A$501,'Injection Sales'!$B$2:$B$501,A166))),'Injection Sales'!$E$2:$E$501),""))</f>
        <v/>
      </c>
      <c r="H166" s="21" t="str">
        <f aca="false">IF(OR(A166="",COUNTIF('Injection Sales'!$B$2:$B$501,A166)=0),"",IFERROR(LOOKUP(2,1/(('Injection Sales'!$B$2:$B$501=A166)*('Injection Sales'!$A$2:$A$501=_xlfn.MAXIFS('Injection Sales'!$A$2:$A$501,'Injection Sales'!$B$2:$B$501,A166))),'Injection Sales'!$H$2:$H$501),""))</f>
        <v/>
      </c>
      <c r="I166" s="21" t="str">
        <f aca="true">IF(OR(A166="",D166=""),"",IF(TODAY()-D166&lt;=Settings!$B$7,"Active","Inactive"))</f>
        <v/>
      </c>
    </row>
    <row r="167" customFormat="false" ht="15" hidden="false" customHeight="false" outlineLevel="0" collapsed="false">
      <c r="A167" s="1"/>
      <c r="B167" s="22"/>
      <c r="C167" s="18" t="str">
        <f aca="false">IF(OR(A167="",COUNTIF('Injection Sales'!$B$2:$B$501,A167)+COUNTIF('Protein Sales'!$B$2:$B$501,A167)+COUNTIF('Diet Support'!$B$2:$B$501,A167)=0),"",MIN(IF(COUNTIF('Injection Sales'!$B$2:$B$501,A167),_xlfn.MINIFS('Injection Sales'!$A$2:$A$501,'Injection Sales'!$B$2:$B$501,A167),99999),IF(COUNTIF('Protein Sales'!$B$2:$B$501,A167),_xlfn.MINIFS('Protein Sales'!$A$2:$A$501,'Protein Sales'!$B$2:$B$501,A167),99999),IF(COUNTIF('Diet Support'!$B$2:$B$501,A167),_xlfn.MINIFS('Diet Support'!$A$2:$A$501,'Diet Support'!$B$2:$B$501,A167),99999)))</f>
        <v/>
      </c>
      <c r="D167" s="18" t="str">
        <f aca="false">IF(OR(A167="",COUNTIF('Injection Sales'!$B$2:$B$501,A167)+COUNTIF('Protein Sales'!$B$2:$B$501,A167)+COUNTIF('Diet Support'!$B$2:$B$501,A167)=0),"",MAX(_xlfn.MAXIFS('Injection Sales'!$A$2:$A$501,'Injection Sales'!$B$2:$B$501,A167),_xlfn.MAXIFS('Protein Sales'!$A$2:$A$501,'Protein Sales'!$B$2:$B$501,A167),_xlfn.MAXIFS('Diet Support'!$A$2:$A$501,'Diet Support'!$B$2:$B$501,A167)))</f>
        <v/>
      </c>
      <c r="E167" s="19" t="str">
        <f aca="false">IF(A167="","",COUNTIF('Injection Sales'!$B$2:$B$501,A167)+COUNTIF('Protein Sales'!$B$2:$B$501,A167)+COUNTIF('Diet Support'!$B$2:$B$501,A167))</f>
        <v/>
      </c>
      <c r="F167" s="20" t="str">
        <f aca="false">IF(A167="","",SUMIF('Injection Sales'!$B$2:$B$501,A167,'Injection Sales'!$G$2:$G$501)+SUMIF('Protein Sales'!$B$2:$B$501,A167,'Protein Sales'!$F$2:$F$501)+SUMIF('Diet Support'!$B$2:$B$501,A167,'Diet Support'!$E$2:$E$501))</f>
        <v/>
      </c>
      <c r="G167" s="21" t="str">
        <f aca="false">IF(OR(A167="",COUNTIF('Injection Sales'!$B$2:$B$501,A167)=0),"",IFERROR(LOOKUP(2,1/(('Injection Sales'!$B$2:$B$501=A167)*('Injection Sales'!$A$2:$A$501=_xlfn.MAXIFS('Injection Sales'!$A$2:$A$501,'Injection Sales'!$B$2:$B$501,A167))),'Injection Sales'!$E$2:$E$501),""))</f>
        <v/>
      </c>
      <c r="H167" s="21" t="str">
        <f aca="false">IF(OR(A167="",COUNTIF('Injection Sales'!$B$2:$B$501,A167)=0),"",IFERROR(LOOKUP(2,1/(('Injection Sales'!$B$2:$B$501=A167)*('Injection Sales'!$A$2:$A$501=_xlfn.MAXIFS('Injection Sales'!$A$2:$A$501,'Injection Sales'!$B$2:$B$501,A167))),'Injection Sales'!$H$2:$H$501),""))</f>
        <v/>
      </c>
      <c r="I167" s="21" t="str">
        <f aca="true">IF(OR(A167="",D167=""),"",IF(TODAY()-D167&lt;=Settings!$B$7,"Active","Inactive"))</f>
        <v/>
      </c>
    </row>
    <row r="168" customFormat="false" ht="15" hidden="false" customHeight="false" outlineLevel="0" collapsed="false">
      <c r="A168" s="1"/>
      <c r="B168" s="22"/>
      <c r="C168" s="18" t="str">
        <f aca="false">IF(OR(A168="",COUNTIF('Injection Sales'!$B$2:$B$501,A168)+COUNTIF('Protein Sales'!$B$2:$B$501,A168)+COUNTIF('Diet Support'!$B$2:$B$501,A168)=0),"",MIN(IF(COUNTIF('Injection Sales'!$B$2:$B$501,A168),_xlfn.MINIFS('Injection Sales'!$A$2:$A$501,'Injection Sales'!$B$2:$B$501,A168),99999),IF(COUNTIF('Protein Sales'!$B$2:$B$501,A168),_xlfn.MINIFS('Protein Sales'!$A$2:$A$501,'Protein Sales'!$B$2:$B$501,A168),99999),IF(COUNTIF('Diet Support'!$B$2:$B$501,A168),_xlfn.MINIFS('Diet Support'!$A$2:$A$501,'Diet Support'!$B$2:$B$501,A168),99999)))</f>
        <v/>
      </c>
      <c r="D168" s="18" t="str">
        <f aca="false">IF(OR(A168="",COUNTIF('Injection Sales'!$B$2:$B$501,A168)+COUNTIF('Protein Sales'!$B$2:$B$501,A168)+COUNTIF('Diet Support'!$B$2:$B$501,A168)=0),"",MAX(_xlfn.MAXIFS('Injection Sales'!$A$2:$A$501,'Injection Sales'!$B$2:$B$501,A168),_xlfn.MAXIFS('Protein Sales'!$A$2:$A$501,'Protein Sales'!$B$2:$B$501,A168),_xlfn.MAXIFS('Diet Support'!$A$2:$A$501,'Diet Support'!$B$2:$B$501,A168)))</f>
        <v/>
      </c>
      <c r="E168" s="19" t="str">
        <f aca="false">IF(A168="","",COUNTIF('Injection Sales'!$B$2:$B$501,A168)+COUNTIF('Protein Sales'!$B$2:$B$501,A168)+COUNTIF('Diet Support'!$B$2:$B$501,A168))</f>
        <v/>
      </c>
      <c r="F168" s="20" t="str">
        <f aca="false">IF(A168="","",SUMIF('Injection Sales'!$B$2:$B$501,A168,'Injection Sales'!$G$2:$G$501)+SUMIF('Protein Sales'!$B$2:$B$501,A168,'Protein Sales'!$F$2:$F$501)+SUMIF('Diet Support'!$B$2:$B$501,A168,'Diet Support'!$E$2:$E$501))</f>
        <v/>
      </c>
      <c r="G168" s="21" t="str">
        <f aca="false">IF(OR(A168="",COUNTIF('Injection Sales'!$B$2:$B$501,A168)=0),"",IFERROR(LOOKUP(2,1/(('Injection Sales'!$B$2:$B$501=A168)*('Injection Sales'!$A$2:$A$501=_xlfn.MAXIFS('Injection Sales'!$A$2:$A$501,'Injection Sales'!$B$2:$B$501,A168))),'Injection Sales'!$E$2:$E$501),""))</f>
        <v/>
      </c>
      <c r="H168" s="21" t="str">
        <f aca="false">IF(OR(A168="",COUNTIF('Injection Sales'!$B$2:$B$501,A168)=0),"",IFERROR(LOOKUP(2,1/(('Injection Sales'!$B$2:$B$501=A168)*('Injection Sales'!$A$2:$A$501=_xlfn.MAXIFS('Injection Sales'!$A$2:$A$501,'Injection Sales'!$B$2:$B$501,A168))),'Injection Sales'!$H$2:$H$501),""))</f>
        <v/>
      </c>
      <c r="I168" s="21" t="str">
        <f aca="true">IF(OR(A168="",D168=""),"",IF(TODAY()-D168&lt;=Settings!$B$7,"Active","Inactive"))</f>
        <v/>
      </c>
    </row>
    <row r="169" customFormat="false" ht="15" hidden="false" customHeight="false" outlineLevel="0" collapsed="false">
      <c r="A169" s="1"/>
      <c r="B169" s="22"/>
      <c r="C169" s="18" t="str">
        <f aca="false">IF(OR(A169="",COUNTIF('Injection Sales'!$B$2:$B$501,A169)+COUNTIF('Protein Sales'!$B$2:$B$501,A169)+COUNTIF('Diet Support'!$B$2:$B$501,A169)=0),"",MIN(IF(COUNTIF('Injection Sales'!$B$2:$B$501,A169),_xlfn.MINIFS('Injection Sales'!$A$2:$A$501,'Injection Sales'!$B$2:$B$501,A169),99999),IF(COUNTIF('Protein Sales'!$B$2:$B$501,A169),_xlfn.MINIFS('Protein Sales'!$A$2:$A$501,'Protein Sales'!$B$2:$B$501,A169),99999),IF(COUNTIF('Diet Support'!$B$2:$B$501,A169),_xlfn.MINIFS('Diet Support'!$A$2:$A$501,'Diet Support'!$B$2:$B$501,A169),99999)))</f>
        <v/>
      </c>
      <c r="D169" s="18" t="str">
        <f aca="false">IF(OR(A169="",COUNTIF('Injection Sales'!$B$2:$B$501,A169)+COUNTIF('Protein Sales'!$B$2:$B$501,A169)+COUNTIF('Diet Support'!$B$2:$B$501,A169)=0),"",MAX(_xlfn.MAXIFS('Injection Sales'!$A$2:$A$501,'Injection Sales'!$B$2:$B$501,A169),_xlfn.MAXIFS('Protein Sales'!$A$2:$A$501,'Protein Sales'!$B$2:$B$501,A169),_xlfn.MAXIFS('Diet Support'!$A$2:$A$501,'Diet Support'!$B$2:$B$501,A169)))</f>
        <v/>
      </c>
      <c r="E169" s="19" t="str">
        <f aca="false">IF(A169="","",COUNTIF('Injection Sales'!$B$2:$B$501,A169)+COUNTIF('Protein Sales'!$B$2:$B$501,A169)+COUNTIF('Diet Support'!$B$2:$B$501,A169))</f>
        <v/>
      </c>
      <c r="F169" s="20" t="str">
        <f aca="false">IF(A169="","",SUMIF('Injection Sales'!$B$2:$B$501,A169,'Injection Sales'!$G$2:$G$501)+SUMIF('Protein Sales'!$B$2:$B$501,A169,'Protein Sales'!$F$2:$F$501)+SUMIF('Diet Support'!$B$2:$B$501,A169,'Diet Support'!$E$2:$E$501))</f>
        <v/>
      </c>
      <c r="G169" s="21" t="str">
        <f aca="false">IF(OR(A169="",COUNTIF('Injection Sales'!$B$2:$B$501,A169)=0),"",IFERROR(LOOKUP(2,1/(('Injection Sales'!$B$2:$B$501=A169)*('Injection Sales'!$A$2:$A$501=_xlfn.MAXIFS('Injection Sales'!$A$2:$A$501,'Injection Sales'!$B$2:$B$501,A169))),'Injection Sales'!$E$2:$E$501),""))</f>
        <v/>
      </c>
      <c r="H169" s="21" t="str">
        <f aca="false">IF(OR(A169="",COUNTIF('Injection Sales'!$B$2:$B$501,A169)=0),"",IFERROR(LOOKUP(2,1/(('Injection Sales'!$B$2:$B$501=A169)*('Injection Sales'!$A$2:$A$501=_xlfn.MAXIFS('Injection Sales'!$A$2:$A$501,'Injection Sales'!$B$2:$B$501,A169))),'Injection Sales'!$H$2:$H$501),""))</f>
        <v/>
      </c>
      <c r="I169" s="21" t="str">
        <f aca="true">IF(OR(A169="",D169=""),"",IF(TODAY()-D169&lt;=Settings!$B$7,"Active","Inactive"))</f>
        <v/>
      </c>
    </row>
    <row r="170" customFormat="false" ht="15" hidden="false" customHeight="false" outlineLevel="0" collapsed="false">
      <c r="A170" s="1"/>
      <c r="B170" s="22"/>
      <c r="C170" s="18" t="str">
        <f aca="false">IF(OR(A170="",COUNTIF('Injection Sales'!$B$2:$B$501,A170)+COUNTIF('Protein Sales'!$B$2:$B$501,A170)+COUNTIF('Diet Support'!$B$2:$B$501,A170)=0),"",MIN(IF(COUNTIF('Injection Sales'!$B$2:$B$501,A170),_xlfn.MINIFS('Injection Sales'!$A$2:$A$501,'Injection Sales'!$B$2:$B$501,A170),99999),IF(COUNTIF('Protein Sales'!$B$2:$B$501,A170),_xlfn.MINIFS('Protein Sales'!$A$2:$A$501,'Protein Sales'!$B$2:$B$501,A170),99999),IF(COUNTIF('Diet Support'!$B$2:$B$501,A170),_xlfn.MINIFS('Diet Support'!$A$2:$A$501,'Diet Support'!$B$2:$B$501,A170),99999)))</f>
        <v/>
      </c>
      <c r="D170" s="18" t="str">
        <f aca="false">IF(OR(A170="",COUNTIF('Injection Sales'!$B$2:$B$501,A170)+COUNTIF('Protein Sales'!$B$2:$B$501,A170)+COUNTIF('Diet Support'!$B$2:$B$501,A170)=0),"",MAX(_xlfn.MAXIFS('Injection Sales'!$A$2:$A$501,'Injection Sales'!$B$2:$B$501,A170),_xlfn.MAXIFS('Protein Sales'!$A$2:$A$501,'Protein Sales'!$B$2:$B$501,A170),_xlfn.MAXIFS('Diet Support'!$A$2:$A$501,'Diet Support'!$B$2:$B$501,A170)))</f>
        <v/>
      </c>
      <c r="E170" s="19" t="str">
        <f aca="false">IF(A170="","",COUNTIF('Injection Sales'!$B$2:$B$501,A170)+COUNTIF('Protein Sales'!$B$2:$B$501,A170)+COUNTIF('Diet Support'!$B$2:$B$501,A170))</f>
        <v/>
      </c>
      <c r="F170" s="20" t="str">
        <f aca="false">IF(A170="","",SUMIF('Injection Sales'!$B$2:$B$501,A170,'Injection Sales'!$G$2:$G$501)+SUMIF('Protein Sales'!$B$2:$B$501,A170,'Protein Sales'!$F$2:$F$501)+SUMIF('Diet Support'!$B$2:$B$501,A170,'Diet Support'!$E$2:$E$501))</f>
        <v/>
      </c>
      <c r="G170" s="21" t="str">
        <f aca="false">IF(OR(A170="",COUNTIF('Injection Sales'!$B$2:$B$501,A170)=0),"",IFERROR(LOOKUP(2,1/(('Injection Sales'!$B$2:$B$501=A170)*('Injection Sales'!$A$2:$A$501=_xlfn.MAXIFS('Injection Sales'!$A$2:$A$501,'Injection Sales'!$B$2:$B$501,A170))),'Injection Sales'!$E$2:$E$501),""))</f>
        <v/>
      </c>
      <c r="H170" s="21" t="str">
        <f aca="false">IF(OR(A170="",COUNTIF('Injection Sales'!$B$2:$B$501,A170)=0),"",IFERROR(LOOKUP(2,1/(('Injection Sales'!$B$2:$B$501=A170)*('Injection Sales'!$A$2:$A$501=_xlfn.MAXIFS('Injection Sales'!$A$2:$A$501,'Injection Sales'!$B$2:$B$501,A170))),'Injection Sales'!$H$2:$H$501),""))</f>
        <v/>
      </c>
      <c r="I170" s="21" t="str">
        <f aca="true">IF(OR(A170="",D170=""),"",IF(TODAY()-D170&lt;=Settings!$B$7,"Active","Inactive"))</f>
        <v/>
      </c>
    </row>
    <row r="171" customFormat="false" ht="15" hidden="false" customHeight="false" outlineLevel="0" collapsed="false">
      <c r="A171" s="1"/>
      <c r="B171" s="22"/>
      <c r="C171" s="18" t="str">
        <f aca="false">IF(OR(A171="",COUNTIF('Injection Sales'!$B$2:$B$501,A171)+COUNTIF('Protein Sales'!$B$2:$B$501,A171)+COUNTIF('Diet Support'!$B$2:$B$501,A171)=0),"",MIN(IF(COUNTIF('Injection Sales'!$B$2:$B$501,A171),_xlfn.MINIFS('Injection Sales'!$A$2:$A$501,'Injection Sales'!$B$2:$B$501,A171),99999),IF(COUNTIF('Protein Sales'!$B$2:$B$501,A171),_xlfn.MINIFS('Protein Sales'!$A$2:$A$501,'Protein Sales'!$B$2:$B$501,A171),99999),IF(COUNTIF('Diet Support'!$B$2:$B$501,A171),_xlfn.MINIFS('Diet Support'!$A$2:$A$501,'Diet Support'!$B$2:$B$501,A171),99999)))</f>
        <v/>
      </c>
      <c r="D171" s="18" t="str">
        <f aca="false">IF(OR(A171="",COUNTIF('Injection Sales'!$B$2:$B$501,A171)+COUNTIF('Protein Sales'!$B$2:$B$501,A171)+COUNTIF('Diet Support'!$B$2:$B$501,A171)=0),"",MAX(_xlfn.MAXIFS('Injection Sales'!$A$2:$A$501,'Injection Sales'!$B$2:$B$501,A171),_xlfn.MAXIFS('Protein Sales'!$A$2:$A$501,'Protein Sales'!$B$2:$B$501,A171),_xlfn.MAXIFS('Diet Support'!$A$2:$A$501,'Diet Support'!$B$2:$B$501,A171)))</f>
        <v/>
      </c>
      <c r="E171" s="19" t="str">
        <f aca="false">IF(A171="","",COUNTIF('Injection Sales'!$B$2:$B$501,A171)+COUNTIF('Protein Sales'!$B$2:$B$501,A171)+COUNTIF('Diet Support'!$B$2:$B$501,A171))</f>
        <v/>
      </c>
      <c r="F171" s="20" t="str">
        <f aca="false">IF(A171="","",SUMIF('Injection Sales'!$B$2:$B$501,A171,'Injection Sales'!$G$2:$G$501)+SUMIF('Protein Sales'!$B$2:$B$501,A171,'Protein Sales'!$F$2:$F$501)+SUMIF('Diet Support'!$B$2:$B$501,A171,'Diet Support'!$E$2:$E$501))</f>
        <v/>
      </c>
      <c r="G171" s="21" t="str">
        <f aca="false">IF(OR(A171="",COUNTIF('Injection Sales'!$B$2:$B$501,A171)=0),"",IFERROR(LOOKUP(2,1/(('Injection Sales'!$B$2:$B$501=A171)*('Injection Sales'!$A$2:$A$501=_xlfn.MAXIFS('Injection Sales'!$A$2:$A$501,'Injection Sales'!$B$2:$B$501,A171))),'Injection Sales'!$E$2:$E$501),""))</f>
        <v/>
      </c>
      <c r="H171" s="21" t="str">
        <f aca="false">IF(OR(A171="",COUNTIF('Injection Sales'!$B$2:$B$501,A171)=0),"",IFERROR(LOOKUP(2,1/(('Injection Sales'!$B$2:$B$501=A171)*('Injection Sales'!$A$2:$A$501=_xlfn.MAXIFS('Injection Sales'!$A$2:$A$501,'Injection Sales'!$B$2:$B$501,A171))),'Injection Sales'!$H$2:$H$501),""))</f>
        <v/>
      </c>
      <c r="I171" s="21" t="str">
        <f aca="true">IF(OR(A171="",D171=""),"",IF(TODAY()-D171&lt;=Settings!$B$7,"Active","Inactive"))</f>
        <v/>
      </c>
    </row>
    <row r="172" customFormat="false" ht="15" hidden="false" customHeight="false" outlineLevel="0" collapsed="false">
      <c r="A172" s="1"/>
      <c r="B172" s="22"/>
      <c r="C172" s="18" t="str">
        <f aca="false">IF(OR(A172="",COUNTIF('Injection Sales'!$B$2:$B$501,A172)+COUNTIF('Protein Sales'!$B$2:$B$501,A172)+COUNTIF('Diet Support'!$B$2:$B$501,A172)=0),"",MIN(IF(COUNTIF('Injection Sales'!$B$2:$B$501,A172),_xlfn.MINIFS('Injection Sales'!$A$2:$A$501,'Injection Sales'!$B$2:$B$501,A172),99999),IF(COUNTIF('Protein Sales'!$B$2:$B$501,A172),_xlfn.MINIFS('Protein Sales'!$A$2:$A$501,'Protein Sales'!$B$2:$B$501,A172),99999),IF(COUNTIF('Diet Support'!$B$2:$B$501,A172),_xlfn.MINIFS('Diet Support'!$A$2:$A$501,'Diet Support'!$B$2:$B$501,A172),99999)))</f>
        <v/>
      </c>
      <c r="D172" s="18" t="str">
        <f aca="false">IF(OR(A172="",COUNTIF('Injection Sales'!$B$2:$B$501,A172)+COUNTIF('Protein Sales'!$B$2:$B$501,A172)+COUNTIF('Diet Support'!$B$2:$B$501,A172)=0),"",MAX(_xlfn.MAXIFS('Injection Sales'!$A$2:$A$501,'Injection Sales'!$B$2:$B$501,A172),_xlfn.MAXIFS('Protein Sales'!$A$2:$A$501,'Protein Sales'!$B$2:$B$501,A172),_xlfn.MAXIFS('Diet Support'!$A$2:$A$501,'Diet Support'!$B$2:$B$501,A172)))</f>
        <v/>
      </c>
      <c r="E172" s="19" t="str">
        <f aca="false">IF(A172="","",COUNTIF('Injection Sales'!$B$2:$B$501,A172)+COUNTIF('Protein Sales'!$B$2:$B$501,A172)+COUNTIF('Diet Support'!$B$2:$B$501,A172))</f>
        <v/>
      </c>
      <c r="F172" s="20" t="str">
        <f aca="false">IF(A172="","",SUMIF('Injection Sales'!$B$2:$B$501,A172,'Injection Sales'!$G$2:$G$501)+SUMIF('Protein Sales'!$B$2:$B$501,A172,'Protein Sales'!$F$2:$F$501)+SUMIF('Diet Support'!$B$2:$B$501,A172,'Diet Support'!$E$2:$E$501))</f>
        <v/>
      </c>
      <c r="G172" s="21" t="str">
        <f aca="false">IF(OR(A172="",COUNTIF('Injection Sales'!$B$2:$B$501,A172)=0),"",IFERROR(LOOKUP(2,1/(('Injection Sales'!$B$2:$B$501=A172)*('Injection Sales'!$A$2:$A$501=_xlfn.MAXIFS('Injection Sales'!$A$2:$A$501,'Injection Sales'!$B$2:$B$501,A172))),'Injection Sales'!$E$2:$E$501),""))</f>
        <v/>
      </c>
      <c r="H172" s="21" t="str">
        <f aca="false">IF(OR(A172="",COUNTIF('Injection Sales'!$B$2:$B$501,A172)=0),"",IFERROR(LOOKUP(2,1/(('Injection Sales'!$B$2:$B$501=A172)*('Injection Sales'!$A$2:$A$501=_xlfn.MAXIFS('Injection Sales'!$A$2:$A$501,'Injection Sales'!$B$2:$B$501,A172))),'Injection Sales'!$H$2:$H$501),""))</f>
        <v/>
      </c>
      <c r="I172" s="21" t="str">
        <f aca="true">IF(OR(A172="",D172=""),"",IF(TODAY()-D172&lt;=Settings!$B$7,"Active","Inactive"))</f>
        <v/>
      </c>
    </row>
    <row r="173" customFormat="false" ht="15" hidden="false" customHeight="false" outlineLevel="0" collapsed="false">
      <c r="A173" s="1"/>
      <c r="B173" s="22"/>
      <c r="C173" s="18" t="str">
        <f aca="false">IF(OR(A173="",COUNTIF('Injection Sales'!$B$2:$B$501,A173)+COUNTIF('Protein Sales'!$B$2:$B$501,A173)+COUNTIF('Diet Support'!$B$2:$B$501,A173)=0),"",MIN(IF(COUNTIF('Injection Sales'!$B$2:$B$501,A173),_xlfn.MINIFS('Injection Sales'!$A$2:$A$501,'Injection Sales'!$B$2:$B$501,A173),99999),IF(COUNTIF('Protein Sales'!$B$2:$B$501,A173),_xlfn.MINIFS('Protein Sales'!$A$2:$A$501,'Protein Sales'!$B$2:$B$501,A173),99999),IF(COUNTIF('Diet Support'!$B$2:$B$501,A173),_xlfn.MINIFS('Diet Support'!$A$2:$A$501,'Diet Support'!$B$2:$B$501,A173),99999)))</f>
        <v/>
      </c>
      <c r="D173" s="18" t="str">
        <f aca="false">IF(OR(A173="",COUNTIF('Injection Sales'!$B$2:$B$501,A173)+COUNTIF('Protein Sales'!$B$2:$B$501,A173)+COUNTIF('Diet Support'!$B$2:$B$501,A173)=0),"",MAX(_xlfn.MAXIFS('Injection Sales'!$A$2:$A$501,'Injection Sales'!$B$2:$B$501,A173),_xlfn.MAXIFS('Protein Sales'!$A$2:$A$501,'Protein Sales'!$B$2:$B$501,A173),_xlfn.MAXIFS('Diet Support'!$A$2:$A$501,'Diet Support'!$B$2:$B$501,A173)))</f>
        <v/>
      </c>
      <c r="E173" s="19" t="str">
        <f aca="false">IF(A173="","",COUNTIF('Injection Sales'!$B$2:$B$501,A173)+COUNTIF('Protein Sales'!$B$2:$B$501,A173)+COUNTIF('Diet Support'!$B$2:$B$501,A173))</f>
        <v/>
      </c>
      <c r="F173" s="20" t="str">
        <f aca="false">IF(A173="","",SUMIF('Injection Sales'!$B$2:$B$501,A173,'Injection Sales'!$G$2:$G$501)+SUMIF('Protein Sales'!$B$2:$B$501,A173,'Protein Sales'!$F$2:$F$501)+SUMIF('Diet Support'!$B$2:$B$501,A173,'Diet Support'!$E$2:$E$501))</f>
        <v/>
      </c>
      <c r="G173" s="21" t="str">
        <f aca="false">IF(OR(A173="",COUNTIF('Injection Sales'!$B$2:$B$501,A173)=0),"",IFERROR(LOOKUP(2,1/(('Injection Sales'!$B$2:$B$501=A173)*('Injection Sales'!$A$2:$A$501=_xlfn.MAXIFS('Injection Sales'!$A$2:$A$501,'Injection Sales'!$B$2:$B$501,A173))),'Injection Sales'!$E$2:$E$501),""))</f>
        <v/>
      </c>
      <c r="H173" s="21" t="str">
        <f aca="false">IF(OR(A173="",COUNTIF('Injection Sales'!$B$2:$B$501,A173)=0),"",IFERROR(LOOKUP(2,1/(('Injection Sales'!$B$2:$B$501=A173)*('Injection Sales'!$A$2:$A$501=_xlfn.MAXIFS('Injection Sales'!$A$2:$A$501,'Injection Sales'!$B$2:$B$501,A173))),'Injection Sales'!$H$2:$H$501),""))</f>
        <v/>
      </c>
      <c r="I173" s="21" t="str">
        <f aca="true">IF(OR(A173="",D173=""),"",IF(TODAY()-D173&lt;=Settings!$B$7,"Active","Inactive"))</f>
        <v/>
      </c>
    </row>
    <row r="174" customFormat="false" ht="15" hidden="false" customHeight="false" outlineLevel="0" collapsed="false">
      <c r="A174" s="1"/>
      <c r="B174" s="22"/>
      <c r="C174" s="18" t="str">
        <f aca="false">IF(OR(A174="",COUNTIF('Injection Sales'!$B$2:$B$501,A174)+COUNTIF('Protein Sales'!$B$2:$B$501,A174)+COUNTIF('Diet Support'!$B$2:$B$501,A174)=0),"",MIN(IF(COUNTIF('Injection Sales'!$B$2:$B$501,A174),_xlfn.MINIFS('Injection Sales'!$A$2:$A$501,'Injection Sales'!$B$2:$B$501,A174),99999),IF(COUNTIF('Protein Sales'!$B$2:$B$501,A174),_xlfn.MINIFS('Protein Sales'!$A$2:$A$501,'Protein Sales'!$B$2:$B$501,A174),99999),IF(COUNTIF('Diet Support'!$B$2:$B$501,A174),_xlfn.MINIFS('Diet Support'!$A$2:$A$501,'Diet Support'!$B$2:$B$501,A174),99999)))</f>
        <v/>
      </c>
      <c r="D174" s="18" t="str">
        <f aca="false">IF(OR(A174="",COUNTIF('Injection Sales'!$B$2:$B$501,A174)+COUNTIF('Protein Sales'!$B$2:$B$501,A174)+COUNTIF('Diet Support'!$B$2:$B$501,A174)=0),"",MAX(_xlfn.MAXIFS('Injection Sales'!$A$2:$A$501,'Injection Sales'!$B$2:$B$501,A174),_xlfn.MAXIFS('Protein Sales'!$A$2:$A$501,'Protein Sales'!$B$2:$B$501,A174),_xlfn.MAXIFS('Diet Support'!$A$2:$A$501,'Diet Support'!$B$2:$B$501,A174)))</f>
        <v/>
      </c>
      <c r="E174" s="19" t="str">
        <f aca="false">IF(A174="","",COUNTIF('Injection Sales'!$B$2:$B$501,A174)+COUNTIF('Protein Sales'!$B$2:$B$501,A174)+COUNTIF('Diet Support'!$B$2:$B$501,A174))</f>
        <v/>
      </c>
      <c r="F174" s="20" t="str">
        <f aca="false">IF(A174="","",SUMIF('Injection Sales'!$B$2:$B$501,A174,'Injection Sales'!$G$2:$G$501)+SUMIF('Protein Sales'!$B$2:$B$501,A174,'Protein Sales'!$F$2:$F$501)+SUMIF('Diet Support'!$B$2:$B$501,A174,'Diet Support'!$E$2:$E$501))</f>
        <v/>
      </c>
      <c r="G174" s="21" t="str">
        <f aca="false">IF(OR(A174="",COUNTIF('Injection Sales'!$B$2:$B$501,A174)=0),"",IFERROR(LOOKUP(2,1/(('Injection Sales'!$B$2:$B$501=A174)*('Injection Sales'!$A$2:$A$501=_xlfn.MAXIFS('Injection Sales'!$A$2:$A$501,'Injection Sales'!$B$2:$B$501,A174))),'Injection Sales'!$E$2:$E$501),""))</f>
        <v/>
      </c>
      <c r="H174" s="21" t="str">
        <f aca="false">IF(OR(A174="",COUNTIF('Injection Sales'!$B$2:$B$501,A174)=0),"",IFERROR(LOOKUP(2,1/(('Injection Sales'!$B$2:$B$501=A174)*('Injection Sales'!$A$2:$A$501=_xlfn.MAXIFS('Injection Sales'!$A$2:$A$501,'Injection Sales'!$B$2:$B$501,A174))),'Injection Sales'!$H$2:$H$501),""))</f>
        <v/>
      </c>
      <c r="I174" s="21" t="str">
        <f aca="true">IF(OR(A174="",D174=""),"",IF(TODAY()-D174&lt;=Settings!$B$7,"Active","Inactive"))</f>
        <v/>
      </c>
    </row>
    <row r="175" customFormat="false" ht="15" hidden="false" customHeight="false" outlineLevel="0" collapsed="false">
      <c r="A175" s="1"/>
      <c r="B175" s="22"/>
      <c r="C175" s="18" t="str">
        <f aca="false">IF(OR(A175="",COUNTIF('Injection Sales'!$B$2:$B$501,A175)+COUNTIF('Protein Sales'!$B$2:$B$501,A175)+COUNTIF('Diet Support'!$B$2:$B$501,A175)=0),"",MIN(IF(COUNTIF('Injection Sales'!$B$2:$B$501,A175),_xlfn.MINIFS('Injection Sales'!$A$2:$A$501,'Injection Sales'!$B$2:$B$501,A175),99999),IF(COUNTIF('Protein Sales'!$B$2:$B$501,A175),_xlfn.MINIFS('Protein Sales'!$A$2:$A$501,'Protein Sales'!$B$2:$B$501,A175),99999),IF(COUNTIF('Diet Support'!$B$2:$B$501,A175),_xlfn.MINIFS('Diet Support'!$A$2:$A$501,'Diet Support'!$B$2:$B$501,A175),99999)))</f>
        <v/>
      </c>
      <c r="D175" s="18" t="str">
        <f aca="false">IF(OR(A175="",COUNTIF('Injection Sales'!$B$2:$B$501,A175)+COUNTIF('Protein Sales'!$B$2:$B$501,A175)+COUNTIF('Diet Support'!$B$2:$B$501,A175)=0),"",MAX(_xlfn.MAXIFS('Injection Sales'!$A$2:$A$501,'Injection Sales'!$B$2:$B$501,A175),_xlfn.MAXIFS('Protein Sales'!$A$2:$A$501,'Protein Sales'!$B$2:$B$501,A175),_xlfn.MAXIFS('Diet Support'!$A$2:$A$501,'Diet Support'!$B$2:$B$501,A175)))</f>
        <v/>
      </c>
      <c r="E175" s="19" t="str">
        <f aca="false">IF(A175="","",COUNTIF('Injection Sales'!$B$2:$B$501,A175)+COUNTIF('Protein Sales'!$B$2:$B$501,A175)+COUNTIF('Diet Support'!$B$2:$B$501,A175))</f>
        <v/>
      </c>
      <c r="F175" s="20" t="str">
        <f aca="false">IF(A175="","",SUMIF('Injection Sales'!$B$2:$B$501,A175,'Injection Sales'!$G$2:$G$501)+SUMIF('Protein Sales'!$B$2:$B$501,A175,'Protein Sales'!$F$2:$F$501)+SUMIF('Diet Support'!$B$2:$B$501,A175,'Diet Support'!$E$2:$E$501))</f>
        <v/>
      </c>
      <c r="G175" s="21" t="str">
        <f aca="false">IF(OR(A175="",COUNTIF('Injection Sales'!$B$2:$B$501,A175)=0),"",IFERROR(LOOKUP(2,1/(('Injection Sales'!$B$2:$B$501=A175)*('Injection Sales'!$A$2:$A$501=_xlfn.MAXIFS('Injection Sales'!$A$2:$A$501,'Injection Sales'!$B$2:$B$501,A175))),'Injection Sales'!$E$2:$E$501),""))</f>
        <v/>
      </c>
      <c r="H175" s="21" t="str">
        <f aca="false">IF(OR(A175="",COUNTIF('Injection Sales'!$B$2:$B$501,A175)=0),"",IFERROR(LOOKUP(2,1/(('Injection Sales'!$B$2:$B$501=A175)*('Injection Sales'!$A$2:$A$501=_xlfn.MAXIFS('Injection Sales'!$A$2:$A$501,'Injection Sales'!$B$2:$B$501,A175))),'Injection Sales'!$H$2:$H$501),""))</f>
        <v/>
      </c>
      <c r="I175" s="21" t="str">
        <f aca="true">IF(OR(A175="",D175=""),"",IF(TODAY()-D175&lt;=Settings!$B$7,"Active","Inactive"))</f>
        <v/>
      </c>
    </row>
    <row r="176" customFormat="false" ht="15" hidden="false" customHeight="false" outlineLevel="0" collapsed="false">
      <c r="A176" s="1"/>
      <c r="B176" s="22"/>
      <c r="C176" s="18" t="str">
        <f aca="false">IF(OR(A176="",COUNTIF('Injection Sales'!$B$2:$B$501,A176)+COUNTIF('Protein Sales'!$B$2:$B$501,A176)+COUNTIF('Diet Support'!$B$2:$B$501,A176)=0),"",MIN(IF(COUNTIF('Injection Sales'!$B$2:$B$501,A176),_xlfn.MINIFS('Injection Sales'!$A$2:$A$501,'Injection Sales'!$B$2:$B$501,A176),99999),IF(COUNTIF('Protein Sales'!$B$2:$B$501,A176),_xlfn.MINIFS('Protein Sales'!$A$2:$A$501,'Protein Sales'!$B$2:$B$501,A176),99999),IF(COUNTIF('Diet Support'!$B$2:$B$501,A176),_xlfn.MINIFS('Diet Support'!$A$2:$A$501,'Diet Support'!$B$2:$B$501,A176),99999)))</f>
        <v/>
      </c>
      <c r="D176" s="18" t="str">
        <f aca="false">IF(OR(A176="",COUNTIF('Injection Sales'!$B$2:$B$501,A176)+COUNTIF('Protein Sales'!$B$2:$B$501,A176)+COUNTIF('Diet Support'!$B$2:$B$501,A176)=0),"",MAX(_xlfn.MAXIFS('Injection Sales'!$A$2:$A$501,'Injection Sales'!$B$2:$B$501,A176),_xlfn.MAXIFS('Protein Sales'!$A$2:$A$501,'Protein Sales'!$B$2:$B$501,A176),_xlfn.MAXIFS('Diet Support'!$A$2:$A$501,'Diet Support'!$B$2:$B$501,A176)))</f>
        <v/>
      </c>
      <c r="E176" s="19" t="str">
        <f aca="false">IF(A176="","",COUNTIF('Injection Sales'!$B$2:$B$501,A176)+COUNTIF('Protein Sales'!$B$2:$B$501,A176)+COUNTIF('Diet Support'!$B$2:$B$501,A176))</f>
        <v/>
      </c>
      <c r="F176" s="20" t="str">
        <f aca="false">IF(A176="","",SUMIF('Injection Sales'!$B$2:$B$501,A176,'Injection Sales'!$G$2:$G$501)+SUMIF('Protein Sales'!$B$2:$B$501,A176,'Protein Sales'!$F$2:$F$501)+SUMIF('Diet Support'!$B$2:$B$501,A176,'Diet Support'!$E$2:$E$501))</f>
        <v/>
      </c>
      <c r="G176" s="21" t="str">
        <f aca="false">IF(OR(A176="",COUNTIF('Injection Sales'!$B$2:$B$501,A176)=0),"",IFERROR(LOOKUP(2,1/(('Injection Sales'!$B$2:$B$501=A176)*('Injection Sales'!$A$2:$A$501=_xlfn.MAXIFS('Injection Sales'!$A$2:$A$501,'Injection Sales'!$B$2:$B$501,A176))),'Injection Sales'!$E$2:$E$501),""))</f>
        <v/>
      </c>
      <c r="H176" s="21" t="str">
        <f aca="false">IF(OR(A176="",COUNTIF('Injection Sales'!$B$2:$B$501,A176)=0),"",IFERROR(LOOKUP(2,1/(('Injection Sales'!$B$2:$B$501=A176)*('Injection Sales'!$A$2:$A$501=_xlfn.MAXIFS('Injection Sales'!$A$2:$A$501,'Injection Sales'!$B$2:$B$501,A176))),'Injection Sales'!$H$2:$H$501),""))</f>
        <v/>
      </c>
      <c r="I176" s="21" t="str">
        <f aca="true">IF(OR(A176="",D176=""),"",IF(TODAY()-D176&lt;=Settings!$B$7,"Active","Inactive"))</f>
        <v/>
      </c>
    </row>
    <row r="177" customFormat="false" ht="15" hidden="false" customHeight="false" outlineLevel="0" collapsed="false">
      <c r="A177" s="1"/>
      <c r="B177" s="22"/>
      <c r="C177" s="18" t="str">
        <f aca="false">IF(OR(A177="",COUNTIF('Injection Sales'!$B$2:$B$501,A177)+COUNTIF('Protein Sales'!$B$2:$B$501,A177)+COUNTIF('Diet Support'!$B$2:$B$501,A177)=0),"",MIN(IF(COUNTIF('Injection Sales'!$B$2:$B$501,A177),_xlfn.MINIFS('Injection Sales'!$A$2:$A$501,'Injection Sales'!$B$2:$B$501,A177),99999),IF(COUNTIF('Protein Sales'!$B$2:$B$501,A177),_xlfn.MINIFS('Protein Sales'!$A$2:$A$501,'Protein Sales'!$B$2:$B$501,A177),99999),IF(COUNTIF('Diet Support'!$B$2:$B$501,A177),_xlfn.MINIFS('Diet Support'!$A$2:$A$501,'Diet Support'!$B$2:$B$501,A177),99999)))</f>
        <v/>
      </c>
      <c r="D177" s="18" t="str">
        <f aca="false">IF(OR(A177="",COUNTIF('Injection Sales'!$B$2:$B$501,A177)+COUNTIF('Protein Sales'!$B$2:$B$501,A177)+COUNTIF('Diet Support'!$B$2:$B$501,A177)=0),"",MAX(_xlfn.MAXIFS('Injection Sales'!$A$2:$A$501,'Injection Sales'!$B$2:$B$501,A177),_xlfn.MAXIFS('Protein Sales'!$A$2:$A$501,'Protein Sales'!$B$2:$B$501,A177),_xlfn.MAXIFS('Diet Support'!$A$2:$A$501,'Diet Support'!$B$2:$B$501,A177)))</f>
        <v/>
      </c>
      <c r="E177" s="19" t="str">
        <f aca="false">IF(A177="","",COUNTIF('Injection Sales'!$B$2:$B$501,A177)+COUNTIF('Protein Sales'!$B$2:$B$501,A177)+COUNTIF('Diet Support'!$B$2:$B$501,A177))</f>
        <v/>
      </c>
      <c r="F177" s="20" t="str">
        <f aca="false">IF(A177="","",SUMIF('Injection Sales'!$B$2:$B$501,A177,'Injection Sales'!$G$2:$G$501)+SUMIF('Protein Sales'!$B$2:$B$501,A177,'Protein Sales'!$F$2:$F$501)+SUMIF('Diet Support'!$B$2:$B$501,A177,'Diet Support'!$E$2:$E$501))</f>
        <v/>
      </c>
      <c r="G177" s="21" t="str">
        <f aca="false">IF(OR(A177="",COUNTIF('Injection Sales'!$B$2:$B$501,A177)=0),"",IFERROR(LOOKUP(2,1/(('Injection Sales'!$B$2:$B$501=A177)*('Injection Sales'!$A$2:$A$501=_xlfn.MAXIFS('Injection Sales'!$A$2:$A$501,'Injection Sales'!$B$2:$B$501,A177))),'Injection Sales'!$E$2:$E$501),""))</f>
        <v/>
      </c>
      <c r="H177" s="21" t="str">
        <f aca="false">IF(OR(A177="",COUNTIF('Injection Sales'!$B$2:$B$501,A177)=0),"",IFERROR(LOOKUP(2,1/(('Injection Sales'!$B$2:$B$501=A177)*('Injection Sales'!$A$2:$A$501=_xlfn.MAXIFS('Injection Sales'!$A$2:$A$501,'Injection Sales'!$B$2:$B$501,A177))),'Injection Sales'!$H$2:$H$501),""))</f>
        <v/>
      </c>
      <c r="I177" s="21" t="str">
        <f aca="true">IF(OR(A177="",D177=""),"",IF(TODAY()-D177&lt;=Settings!$B$7,"Active","Inactive"))</f>
        <v/>
      </c>
    </row>
    <row r="178" customFormat="false" ht="15" hidden="false" customHeight="false" outlineLevel="0" collapsed="false">
      <c r="A178" s="1"/>
      <c r="B178" s="22"/>
      <c r="C178" s="18" t="str">
        <f aca="false">IF(OR(A178="",COUNTIF('Injection Sales'!$B$2:$B$501,A178)+COUNTIF('Protein Sales'!$B$2:$B$501,A178)+COUNTIF('Diet Support'!$B$2:$B$501,A178)=0),"",MIN(IF(COUNTIF('Injection Sales'!$B$2:$B$501,A178),_xlfn.MINIFS('Injection Sales'!$A$2:$A$501,'Injection Sales'!$B$2:$B$501,A178),99999),IF(COUNTIF('Protein Sales'!$B$2:$B$501,A178),_xlfn.MINIFS('Protein Sales'!$A$2:$A$501,'Protein Sales'!$B$2:$B$501,A178),99999),IF(COUNTIF('Diet Support'!$B$2:$B$501,A178),_xlfn.MINIFS('Diet Support'!$A$2:$A$501,'Diet Support'!$B$2:$B$501,A178),99999)))</f>
        <v/>
      </c>
      <c r="D178" s="18" t="str">
        <f aca="false">IF(OR(A178="",COUNTIF('Injection Sales'!$B$2:$B$501,A178)+COUNTIF('Protein Sales'!$B$2:$B$501,A178)+COUNTIF('Diet Support'!$B$2:$B$501,A178)=0),"",MAX(_xlfn.MAXIFS('Injection Sales'!$A$2:$A$501,'Injection Sales'!$B$2:$B$501,A178),_xlfn.MAXIFS('Protein Sales'!$A$2:$A$501,'Protein Sales'!$B$2:$B$501,A178),_xlfn.MAXIFS('Diet Support'!$A$2:$A$501,'Diet Support'!$B$2:$B$501,A178)))</f>
        <v/>
      </c>
      <c r="E178" s="19" t="str">
        <f aca="false">IF(A178="","",COUNTIF('Injection Sales'!$B$2:$B$501,A178)+COUNTIF('Protein Sales'!$B$2:$B$501,A178)+COUNTIF('Diet Support'!$B$2:$B$501,A178))</f>
        <v/>
      </c>
      <c r="F178" s="20" t="str">
        <f aca="false">IF(A178="","",SUMIF('Injection Sales'!$B$2:$B$501,A178,'Injection Sales'!$G$2:$G$501)+SUMIF('Protein Sales'!$B$2:$B$501,A178,'Protein Sales'!$F$2:$F$501)+SUMIF('Diet Support'!$B$2:$B$501,A178,'Diet Support'!$E$2:$E$501))</f>
        <v/>
      </c>
      <c r="G178" s="21" t="str">
        <f aca="false">IF(OR(A178="",COUNTIF('Injection Sales'!$B$2:$B$501,A178)=0),"",IFERROR(LOOKUP(2,1/(('Injection Sales'!$B$2:$B$501=A178)*('Injection Sales'!$A$2:$A$501=_xlfn.MAXIFS('Injection Sales'!$A$2:$A$501,'Injection Sales'!$B$2:$B$501,A178))),'Injection Sales'!$E$2:$E$501),""))</f>
        <v/>
      </c>
      <c r="H178" s="21" t="str">
        <f aca="false">IF(OR(A178="",COUNTIF('Injection Sales'!$B$2:$B$501,A178)=0),"",IFERROR(LOOKUP(2,1/(('Injection Sales'!$B$2:$B$501=A178)*('Injection Sales'!$A$2:$A$501=_xlfn.MAXIFS('Injection Sales'!$A$2:$A$501,'Injection Sales'!$B$2:$B$501,A178))),'Injection Sales'!$H$2:$H$501),""))</f>
        <v/>
      </c>
      <c r="I178" s="21" t="str">
        <f aca="true">IF(OR(A178="",D178=""),"",IF(TODAY()-D178&lt;=Settings!$B$7,"Active","Inactive"))</f>
        <v/>
      </c>
    </row>
    <row r="179" customFormat="false" ht="15" hidden="false" customHeight="false" outlineLevel="0" collapsed="false">
      <c r="A179" s="1"/>
      <c r="B179" s="22"/>
      <c r="C179" s="18" t="str">
        <f aca="false">IF(OR(A179="",COUNTIF('Injection Sales'!$B$2:$B$501,A179)+COUNTIF('Protein Sales'!$B$2:$B$501,A179)+COUNTIF('Diet Support'!$B$2:$B$501,A179)=0),"",MIN(IF(COUNTIF('Injection Sales'!$B$2:$B$501,A179),_xlfn.MINIFS('Injection Sales'!$A$2:$A$501,'Injection Sales'!$B$2:$B$501,A179),99999),IF(COUNTIF('Protein Sales'!$B$2:$B$501,A179),_xlfn.MINIFS('Protein Sales'!$A$2:$A$501,'Protein Sales'!$B$2:$B$501,A179),99999),IF(COUNTIF('Diet Support'!$B$2:$B$501,A179),_xlfn.MINIFS('Diet Support'!$A$2:$A$501,'Diet Support'!$B$2:$B$501,A179),99999)))</f>
        <v/>
      </c>
      <c r="D179" s="18" t="str">
        <f aca="false">IF(OR(A179="",COUNTIF('Injection Sales'!$B$2:$B$501,A179)+COUNTIF('Protein Sales'!$B$2:$B$501,A179)+COUNTIF('Diet Support'!$B$2:$B$501,A179)=0),"",MAX(_xlfn.MAXIFS('Injection Sales'!$A$2:$A$501,'Injection Sales'!$B$2:$B$501,A179),_xlfn.MAXIFS('Protein Sales'!$A$2:$A$501,'Protein Sales'!$B$2:$B$501,A179),_xlfn.MAXIFS('Diet Support'!$A$2:$A$501,'Diet Support'!$B$2:$B$501,A179)))</f>
        <v/>
      </c>
      <c r="E179" s="19" t="str">
        <f aca="false">IF(A179="","",COUNTIF('Injection Sales'!$B$2:$B$501,A179)+COUNTIF('Protein Sales'!$B$2:$B$501,A179)+COUNTIF('Diet Support'!$B$2:$B$501,A179))</f>
        <v/>
      </c>
      <c r="F179" s="20" t="str">
        <f aca="false">IF(A179="","",SUMIF('Injection Sales'!$B$2:$B$501,A179,'Injection Sales'!$G$2:$G$501)+SUMIF('Protein Sales'!$B$2:$B$501,A179,'Protein Sales'!$F$2:$F$501)+SUMIF('Diet Support'!$B$2:$B$501,A179,'Diet Support'!$E$2:$E$501))</f>
        <v/>
      </c>
      <c r="G179" s="21" t="str">
        <f aca="false">IF(OR(A179="",COUNTIF('Injection Sales'!$B$2:$B$501,A179)=0),"",IFERROR(LOOKUP(2,1/(('Injection Sales'!$B$2:$B$501=A179)*('Injection Sales'!$A$2:$A$501=_xlfn.MAXIFS('Injection Sales'!$A$2:$A$501,'Injection Sales'!$B$2:$B$501,A179))),'Injection Sales'!$E$2:$E$501),""))</f>
        <v/>
      </c>
      <c r="H179" s="21" t="str">
        <f aca="false">IF(OR(A179="",COUNTIF('Injection Sales'!$B$2:$B$501,A179)=0),"",IFERROR(LOOKUP(2,1/(('Injection Sales'!$B$2:$B$501=A179)*('Injection Sales'!$A$2:$A$501=_xlfn.MAXIFS('Injection Sales'!$A$2:$A$501,'Injection Sales'!$B$2:$B$501,A179))),'Injection Sales'!$H$2:$H$501),""))</f>
        <v/>
      </c>
      <c r="I179" s="21" t="str">
        <f aca="true">IF(OR(A179="",D179=""),"",IF(TODAY()-D179&lt;=Settings!$B$7,"Active","Inactive"))</f>
        <v/>
      </c>
    </row>
    <row r="180" customFormat="false" ht="15" hidden="false" customHeight="false" outlineLevel="0" collapsed="false">
      <c r="A180" s="1"/>
      <c r="B180" s="22"/>
      <c r="C180" s="18" t="str">
        <f aca="false">IF(OR(A180="",COUNTIF('Injection Sales'!$B$2:$B$501,A180)+COUNTIF('Protein Sales'!$B$2:$B$501,A180)+COUNTIF('Diet Support'!$B$2:$B$501,A180)=0),"",MIN(IF(COUNTIF('Injection Sales'!$B$2:$B$501,A180),_xlfn.MINIFS('Injection Sales'!$A$2:$A$501,'Injection Sales'!$B$2:$B$501,A180),99999),IF(COUNTIF('Protein Sales'!$B$2:$B$501,A180),_xlfn.MINIFS('Protein Sales'!$A$2:$A$501,'Protein Sales'!$B$2:$B$501,A180),99999),IF(COUNTIF('Diet Support'!$B$2:$B$501,A180),_xlfn.MINIFS('Diet Support'!$A$2:$A$501,'Diet Support'!$B$2:$B$501,A180),99999)))</f>
        <v/>
      </c>
      <c r="D180" s="18" t="str">
        <f aca="false">IF(OR(A180="",COUNTIF('Injection Sales'!$B$2:$B$501,A180)+COUNTIF('Protein Sales'!$B$2:$B$501,A180)+COUNTIF('Diet Support'!$B$2:$B$501,A180)=0),"",MAX(_xlfn.MAXIFS('Injection Sales'!$A$2:$A$501,'Injection Sales'!$B$2:$B$501,A180),_xlfn.MAXIFS('Protein Sales'!$A$2:$A$501,'Protein Sales'!$B$2:$B$501,A180),_xlfn.MAXIFS('Diet Support'!$A$2:$A$501,'Diet Support'!$B$2:$B$501,A180)))</f>
        <v/>
      </c>
      <c r="E180" s="19" t="str">
        <f aca="false">IF(A180="","",COUNTIF('Injection Sales'!$B$2:$B$501,A180)+COUNTIF('Protein Sales'!$B$2:$B$501,A180)+COUNTIF('Diet Support'!$B$2:$B$501,A180))</f>
        <v/>
      </c>
      <c r="F180" s="20" t="str">
        <f aca="false">IF(A180="","",SUMIF('Injection Sales'!$B$2:$B$501,A180,'Injection Sales'!$G$2:$G$501)+SUMIF('Protein Sales'!$B$2:$B$501,A180,'Protein Sales'!$F$2:$F$501)+SUMIF('Diet Support'!$B$2:$B$501,A180,'Diet Support'!$E$2:$E$501))</f>
        <v/>
      </c>
      <c r="G180" s="21" t="str">
        <f aca="false">IF(OR(A180="",COUNTIF('Injection Sales'!$B$2:$B$501,A180)=0),"",IFERROR(LOOKUP(2,1/(('Injection Sales'!$B$2:$B$501=A180)*('Injection Sales'!$A$2:$A$501=_xlfn.MAXIFS('Injection Sales'!$A$2:$A$501,'Injection Sales'!$B$2:$B$501,A180))),'Injection Sales'!$E$2:$E$501),""))</f>
        <v/>
      </c>
      <c r="H180" s="21" t="str">
        <f aca="false">IF(OR(A180="",COUNTIF('Injection Sales'!$B$2:$B$501,A180)=0),"",IFERROR(LOOKUP(2,1/(('Injection Sales'!$B$2:$B$501=A180)*('Injection Sales'!$A$2:$A$501=_xlfn.MAXIFS('Injection Sales'!$A$2:$A$501,'Injection Sales'!$B$2:$B$501,A180))),'Injection Sales'!$H$2:$H$501),""))</f>
        <v/>
      </c>
      <c r="I180" s="21" t="str">
        <f aca="true">IF(OR(A180="",D180=""),"",IF(TODAY()-D180&lt;=Settings!$B$7,"Active","Inactive"))</f>
        <v/>
      </c>
    </row>
    <row r="181" customFormat="false" ht="15" hidden="false" customHeight="false" outlineLevel="0" collapsed="false">
      <c r="A181" s="1"/>
      <c r="B181" s="22"/>
      <c r="C181" s="18" t="str">
        <f aca="false">IF(OR(A181="",COUNTIF('Injection Sales'!$B$2:$B$501,A181)+COUNTIF('Protein Sales'!$B$2:$B$501,A181)+COUNTIF('Diet Support'!$B$2:$B$501,A181)=0),"",MIN(IF(COUNTIF('Injection Sales'!$B$2:$B$501,A181),_xlfn.MINIFS('Injection Sales'!$A$2:$A$501,'Injection Sales'!$B$2:$B$501,A181),99999),IF(COUNTIF('Protein Sales'!$B$2:$B$501,A181),_xlfn.MINIFS('Protein Sales'!$A$2:$A$501,'Protein Sales'!$B$2:$B$501,A181),99999),IF(COUNTIF('Diet Support'!$B$2:$B$501,A181),_xlfn.MINIFS('Diet Support'!$A$2:$A$501,'Diet Support'!$B$2:$B$501,A181),99999)))</f>
        <v/>
      </c>
      <c r="D181" s="18" t="str">
        <f aca="false">IF(OR(A181="",COUNTIF('Injection Sales'!$B$2:$B$501,A181)+COUNTIF('Protein Sales'!$B$2:$B$501,A181)+COUNTIF('Diet Support'!$B$2:$B$501,A181)=0),"",MAX(_xlfn.MAXIFS('Injection Sales'!$A$2:$A$501,'Injection Sales'!$B$2:$B$501,A181),_xlfn.MAXIFS('Protein Sales'!$A$2:$A$501,'Protein Sales'!$B$2:$B$501,A181),_xlfn.MAXIFS('Diet Support'!$A$2:$A$501,'Diet Support'!$B$2:$B$501,A181)))</f>
        <v/>
      </c>
      <c r="E181" s="19" t="str">
        <f aca="false">IF(A181="","",COUNTIF('Injection Sales'!$B$2:$B$501,A181)+COUNTIF('Protein Sales'!$B$2:$B$501,A181)+COUNTIF('Diet Support'!$B$2:$B$501,A181))</f>
        <v/>
      </c>
      <c r="F181" s="20" t="str">
        <f aca="false">IF(A181="","",SUMIF('Injection Sales'!$B$2:$B$501,A181,'Injection Sales'!$G$2:$G$501)+SUMIF('Protein Sales'!$B$2:$B$501,A181,'Protein Sales'!$F$2:$F$501)+SUMIF('Diet Support'!$B$2:$B$501,A181,'Diet Support'!$E$2:$E$501))</f>
        <v/>
      </c>
      <c r="G181" s="21" t="str">
        <f aca="false">IF(OR(A181="",COUNTIF('Injection Sales'!$B$2:$B$501,A181)=0),"",IFERROR(LOOKUP(2,1/(('Injection Sales'!$B$2:$B$501=A181)*('Injection Sales'!$A$2:$A$501=_xlfn.MAXIFS('Injection Sales'!$A$2:$A$501,'Injection Sales'!$B$2:$B$501,A181))),'Injection Sales'!$E$2:$E$501),""))</f>
        <v/>
      </c>
      <c r="H181" s="21" t="str">
        <f aca="false">IF(OR(A181="",COUNTIF('Injection Sales'!$B$2:$B$501,A181)=0),"",IFERROR(LOOKUP(2,1/(('Injection Sales'!$B$2:$B$501=A181)*('Injection Sales'!$A$2:$A$501=_xlfn.MAXIFS('Injection Sales'!$A$2:$A$501,'Injection Sales'!$B$2:$B$501,A181))),'Injection Sales'!$H$2:$H$501),""))</f>
        <v/>
      </c>
      <c r="I181" s="21" t="str">
        <f aca="true">IF(OR(A181="",D181=""),"",IF(TODAY()-D181&lt;=Settings!$B$7,"Active","Inactive"))</f>
        <v/>
      </c>
    </row>
    <row r="182" customFormat="false" ht="15" hidden="false" customHeight="false" outlineLevel="0" collapsed="false">
      <c r="A182" s="1"/>
      <c r="B182" s="22"/>
      <c r="C182" s="18" t="str">
        <f aca="false">IF(OR(A182="",COUNTIF('Injection Sales'!$B$2:$B$501,A182)+COUNTIF('Protein Sales'!$B$2:$B$501,A182)+COUNTIF('Diet Support'!$B$2:$B$501,A182)=0),"",MIN(IF(COUNTIF('Injection Sales'!$B$2:$B$501,A182),_xlfn.MINIFS('Injection Sales'!$A$2:$A$501,'Injection Sales'!$B$2:$B$501,A182),99999),IF(COUNTIF('Protein Sales'!$B$2:$B$501,A182),_xlfn.MINIFS('Protein Sales'!$A$2:$A$501,'Protein Sales'!$B$2:$B$501,A182),99999),IF(COUNTIF('Diet Support'!$B$2:$B$501,A182),_xlfn.MINIFS('Diet Support'!$A$2:$A$501,'Diet Support'!$B$2:$B$501,A182),99999)))</f>
        <v/>
      </c>
      <c r="D182" s="18" t="str">
        <f aca="false">IF(OR(A182="",COUNTIF('Injection Sales'!$B$2:$B$501,A182)+COUNTIF('Protein Sales'!$B$2:$B$501,A182)+COUNTIF('Diet Support'!$B$2:$B$501,A182)=0),"",MAX(_xlfn.MAXIFS('Injection Sales'!$A$2:$A$501,'Injection Sales'!$B$2:$B$501,A182),_xlfn.MAXIFS('Protein Sales'!$A$2:$A$501,'Protein Sales'!$B$2:$B$501,A182),_xlfn.MAXIFS('Diet Support'!$A$2:$A$501,'Diet Support'!$B$2:$B$501,A182)))</f>
        <v/>
      </c>
      <c r="E182" s="19" t="str">
        <f aca="false">IF(A182="","",COUNTIF('Injection Sales'!$B$2:$B$501,A182)+COUNTIF('Protein Sales'!$B$2:$B$501,A182)+COUNTIF('Diet Support'!$B$2:$B$501,A182))</f>
        <v/>
      </c>
      <c r="F182" s="20" t="str">
        <f aca="false">IF(A182="","",SUMIF('Injection Sales'!$B$2:$B$501,A182,'Injection Sales'!$G$2:$G$501)+SUMIF('Protein Sales'!$B$2:$B$501,A182,'Protein Sales'!$F$2:$F$501)+SUMIF('Diet Support'!$B$2:$B$501,A182,'Diet Support'!$E$2:$E$501))</f>
        <v/>
      </c>
      <c r="G182" s="21" t="str">
        <f aca="false">IF(OR(A182="",COUNTIF('Injection Sales'!$B$2:$B$501,A182)=0),"",IFERROR(LOOKUP(2,1/(('Injection Sales'!$B$2:$B$501=A182)*('Injection Sales'!$A$2:$A$501=_xlfn.MAXIFS('Injection Sales'!$A$2:$A$501,'Injection Sales'!$B$2:$B$501,A182))),'Injection Sales'!$E$2:$E$501),""))</f>
        <v/>
      </c>
      <c r="H182" s="21" t="str">
        <f aca="false">IF(OR(A182="",COUNTIF('Injection Sales'!$B$2:$B$501,A182)=0),"",IFERROR(LOOKUP(2,1/(('Injection Sales'!$B$2:$B$501=A182)*('Injection Sales'!$A$2:$A$501=_xlfn.MAXIFS('Injection Sales'!$A$2:$A$501,'Injection Sales'!$B$2:$B$501,A182))),'Injection Sales'!$H$2:$H$501),""))</f>
        <v/>
      </c>
      <c r="I182" s="21" t="str">
        <f aca="true">IF(OR(A182="",D182=""),"",IF(TODAY()-D182&lt;=Settings!$B$7,"Active","Inactive"))</f>
        <v/>
      </c>
    </row>
    <row r="183" customFormat="false" ht="15" hidden="false" customHeight="false" outlineLevel="0" collapsed="false">
      <c r="A183" s="1"/>
      <c r="B183" s="22"/>
      <c r="C183" s="18" t="str">
        <f aca="false">IF(OR(A183="",COUNTIF('Injection Sales'!$B$2:$B$501,A183)+COUNTIF('Protein Sales'!$B$2:$B$501,A183)+COUNTIF('Diet Support'!$B$2:$B$501,A183)=0),"",MIN(IF(COUNTIF('Injection Sales'!$B$2:$B$501,A183),_xlfn.MINIFS('Injection Sales'!$A$2:$A$501,'Injection Sales'!$B$2:$B$501,A183),99999),IF(COUNTIF('Protein Sales'!$B$2:$B$501,A183),_xlfn.MINIFS('Protein Sales'!$A$2:$A$501,'Protein Sales'!$B$2:$B$501,A183),99999),IF(COUNTIF('Diet Support'!$B$2:$B$501,A183),_xlfn.MINIFS('Diet Support'!$A$2:$A$501,'Diet Support'!$B$2:$B$501,A183),99999)))</f>
        <v/>
      </c>
      <c r="D183" s="18" t="str">
        <f aca="false">IF(OR(A183="",COUNTIF('Injection Sales'!$B$2:$B$501,A183)+COUNTIF('Protein Sales'!$B$2:$B$501,A183)+COUNTIF('Diet Support'!$B$2:$B$501,A183)=0),"",MAX(_xlfn.MAXIFS('Injection Sales'!$A$2:$A$501,'Injection Sales'!$B$2:$B$501,A183),_xlfn.MAXIFS('Protein Sales'!$A$2:$A$501,'Protein Sales'!$B$2:$B$501,A183),_xlfn.MAXIFS('Diet Support'!$A$2:$A$501,'Diet Support'!$B$2:$B$501,A183)))</f>
        <v/>
      </c>
      <c r="E183" s="19" t="str">
        <f aca="false">IF(A183="","",COUNTIF('Injection Sales'!$B$2:$B$501,A183)+COUNTIF('Protein Sales'!$B$2:$B$501,A183)+COUNTIF('Diet Support'!$B$2:$B$501,A183))</f>
        <v/>
      </c>
      <c r="F183" s="20" t="str">
        <f aca="false">IF(A183="","",SUMIF('Injection Sales'!$B$2:$B$501,A183,'Injection Sales'!$G$2:$G$501)+SUMIF('Protein Sales'!$B$2:$B$501,A183,'Protein Sales'!$F$2:$F$501)+SUMIF('Diet Support'!$B$2:$B$501,A183,'Diet Support'!$E$2:$E$501))</f>
        <v/>
      </c>
      <c r="G183" s="21" t="str">
        <f aca="false">IF(OR(A183="",COUNTIF('Injection Sales'!$B$2:$B$501,A183)=0),"",IFERROR(LOOKUP(2,1/(('Injection Sales'!$B$2:$B$501=A183)*('Injection Sales'!$A$2:$A$501=_xlfn.MAXIFS('Injection Sales'!$A$2:$A$501,'Injection Sales'!$B$2:$B$501,A183))),'Injection Sales'!$E$2:$E$501),""))</f>
        <v/>
      </c>
      <c r="H183" s="21" t="str">
        <f aca="false">IF(OR(A183="",COUNTIF('Injection Sales'!$B$2:$B$501,A183)=0),"",IFERROR(LOOKUP(2,1/(('Injection Sales'!$B$2:$B$501=A183)*('Injection Sales'!$A$2:$A$501=_xlfn.MAXIFS('Injection Sales'!$A$2:$A$501,'Injection Sales'!$B$2:$B$501,A183))),'Injection Sales'!$H$2:$H$501),""))</f>
        <v/>
      </c>
      <c r="I183" s="21" t="str">
        <f aca="true">IF(OR(A183="",D183=""),"",IF(TODAY()-D183&lt;=Settings!$B$7,"Active","Inactive"))</f>
        <v/>
      </c>
    </row>
    <row r="184" customFormat="false" ht="15" hidden="false" customHeight="false" outlineLevel="0" collapsed="false">
      <c r="A184" s="1"/>
      <c r="B184" s="22"/>
      <c r="C184" s="18" t="str">
        <f aca="false">IF(OR(A184="",COUNTIF('Injection Sales'!$B$2:$B$501,A184)+COUNTIF('Protein Sales'!$B$2:$B$501,A184)+COUNTIF('Diet Support'!$B$2:$B$501,A184)=0),"",MIN(IF(COUNTIF('Injection Sales'!$B$2:$B$501,A184),_xlfn.MINIFS('Injection Sales'!$A$2:$A$501,'Injection Sales'!$B$2:$B$501,A184),99999),IF(COUNTIF('Protein Sales'!$B$2:$B$501,A184),_xlfn.MINIFS('Protein Sales'!$A$2:$A$501,'Protein Sales'!$B$2:$B$501,A184),99999),IF(COUNTIF('Diet Support'!$B$2:$B$501,A184),_xlfn.MINIFS('Diet Support'!$A$2:$A$501,'Diet Support'!$B$2:$B$501,A184),99999)))</f>
        <v/>
      </c>
      <c r="D184" s="18" t="str">
        <f aca="false">IF(OR(A184="",COUNTIF('Injection Sales'!$B$2:$B$501,A184)+COUNTIF('Protein Sales'!$B$2:$B$501,A184)+COUNTIF('Diet Support'!$B$2:$B$501,A184)=0),"",MAX(_xlfn.MAXIFS('Injection Sales'!$A$2:$A$501,'Injection Sales'!$B$2:$B$501,A184),_xlfn.MAXIFS('Protein Sales'!$A$2:$A$501,'Protein Sales'!$B$2:$B$501,A184),_xlfn.MAXIFS('Diet Support'!$A$2:$A$501,'Diet Support'!$B$2:$B$501,A184)))</f>
        <v/>
      </c>
      <c r="E184" s="19" t="str">
        <f aca="false">IF(A184="","",COUNTIF('Injection Sales'!$B$2:$B$501,A184)+COUNTIF('Protein Sales'!$B$2:$B$501,A184)+COUNTIF('Diet Support'!$B$2:$B$501,A184))</f>
        <v/>
      </c>
      <c r="F184" s="20" t="str">
        <f aca="false">IF(A184="","",SUMIF('Injection Sales'!$B$2:$B$501,A184,'Injection Sales'!$G$2:$G$501)+SUMIF('Protein Sales'!$B$2:$B$501,A184,'Protein Sales'!$F$2:$F$501)+SUMIF('Diet Support'!$B$2:$B$501,A184,'Diet Support'!$E$2:$E$501))</f>
        <v/>
      </c>
      <c r="G184" s="21" t="str">
        <f aca="false">IF(OR(A184="",COUNTIF('Injection Sales'!$B$2:$B$501,A184)=0),"",IFERROR(LOOKUP(2,1/(('Injection Sales'!$B$2:$B$501=A184)*('Injection Sales'!$A$2:$A$501=_xlfn.MAXIFS('Injection Sales'!$A$2:$A$501,'Injection Sales'!$B$2:$B$501,A184))),'Injection Sales'!$E$2:$E$501),""))</f>
        <v/>
      </c>
      <c r="H184" s="21" t="str">
        <f aca="false">IF(OR(A184="",COUNTIF('Injection Sales'!$B$2:$B$501,A184)=0),"",IFERROR(LOOKUP(2,1/(('Injection Sales'!$B$2:$B$501=A184)*('Injection Sales'!$A$2:$A$501=_xlfn.MAXIFS('Injection Sales'!$A$2:$A$501,'Injection Sales'!$B$2:$B$501,A184))),'Injection Sales'!$H$2:$H$501),""))</f>
        <v/>
      </c>
      <c r="I184" s="21" t="str">
        <f aca="true">IF(OR(A184="",D184=""),"",IF(TODAY()-D184&lt;=Settings!$B$7,"Active","Inactive"))</f>
        <v/>
      </c>
    </row>
    <row r="185" customFormat="false" ht="15" hidden="false" customHeight="false" outlineLevel="0" collapsed="false">
      <c r="A185" s="1"/>
      <c r="B185" s="22"/>
      <c r="C185" s="18" t="str">
        <f aca="false">IF(OR(A185="",COUNTIF('Injection Sales'!$B$2:$B$501,A185)+COUNTIF('Protein Sales'!$B$2:$B$501,A185)+COUNTIF('Diet Support'!$B$2:$B$501,A185)=0),"",MIN(IF(COUNTIF('Injection Sales'!$B$2:$B$501,A185),_xlfn.MINIFS('Injection Sales'!$A$2:$A$501,'Injection Sales'!$B$2:$B$501,A185),99999),IF(COUNTIF('Protein Sales'!$B$2:$B$501,A185),_xlfn.MINIFS('Protein Sales'!$A$2:$A$501,'Protein Sales'!$B$2:$B$501,A185),99999),IF(COUNTIF('Diet Support'!$B$2:$B$501,A185),_xlfn.MINIFS('Diet Support'!$A$2:$A$501,'Diet Support'!$B$2:$B$501,A185),99999)))</f>
        <v/>
      </c>
      <c r="D185" s="18" t="str">
        <f aca="false">IF(OR(A185="",COUNTIF('Injection Sales'!$B$2:$B$501,A185)+COUNTIF('Protein Sales'!$B$2:$B$501,A185)+COUNTIF('Diet Support'!$B$2:$B$501,A185)=0),"",MAX(_xlfn.MAXIFS('Injection Sales'!$A$2:$A$501,'Injection Sales'!$B$2:$B$501,A185),_xlfn.MAXIFS('Protein Sales'!$A$2:$A$501,'Protein Sales'!$B$2:$B$501,A185),_xlfn.MAXIFS('Diet Support'!$A$2:$A$501,'Diet Support'!$B$2:$B$501,A185)))</f>
        <v/>
      </c>
      <c r="E185" s="19" t="str">
        <f aca="false">IF(A185="","",COUNTIF('Injection Sales'!$B$2:$B$501,A185)+COUNTIF('Protein Sales'!$B$2:$B$501,A185)+COUNTIF('Diet Support'!$B$2:$B$501,A185))</f>
        <v/>
      </c>
      <c r="F185" s="20" t="str">
        <f aca="false">IF(A185="","",SUMIF('Injection Sales'!$B$2:$B$501,A185,'Injection Sales'!$G$2:$G$501)+SUMIF('Protein Sales'!$B$2:$B$501,A185,'Protein Sales'!$F$2:$F$501)+SUMIF('Diet Support'!$B$2:$B$501,A185,'Diet Support'!$E$2:$E$501))</f>
        <v/>
      </c>
      <c r="G185" s="21" t="str">
        <f aca="false">IF(OR(A185="",COUNTIF('Injection Sales'!$B$2:$B$501,A185)=0),"",IFERROR(LOOKUP(2,1/(('Injection Sales'!$B$2:$B$501=A185)*('Injection Sales'!$A$2:$A$501=_xlfn.MAXIFS('Injection Sales'!$A$2:$A$501,'Injection Sales'!$B$2:$B$501,A185))),'Injection Sales'!$E$2:$E$501),""))</f>
        <v/>
      </c>
      <c r="H185" s="21" t="str">
        <f aca="false">IF(OR(A185="",COUNTIF('Injection Sales'!$B$2:$B$501,A185)=0),"",IFERROR(LOOKUP(2,1/(('Injection Sales'!$B$2:$B$501=A185)*('Injection Sales'!$A$2:$A$501=_xlfn.MAXIFS('Injection Sales'!$A$2:$A$501,'Injection Sales'!$B$2:$B$501,A185))),'Injection Sales'!$H$2:$H$501),""))</f>
        <v/>
      </c>
      <c r="I185" s="21" t="str">
        <f aca="true">IF(OR(A185="",D185=""),"",IF(TODAY()-D185&lt;=Settings!$B$7,"Active","Inactive"))</f>
        <v/>
      </c>
    </row>
    <row r="186" customFormat="false" ht="15" hidden="false" customHeight="false" outlineLevel="0" collapsed="false">
      <c r="A186" s="1"/>
      <c r="B186" s="22"/>
      <c r="C186" s="18" t="str">
        <f aca="false">IF(OR(A186="",COUNTIF('Injection Sales'!$B$2:$B$501,A186)+COUNTIF('Protein Sales'!$B$2:$B$501,A186)+COUNTIF('Diet Support'!$B$2:$B$501,A186)=0),"",MIN(IF(COUNTIF('Injection Sales'!$B$2:$B$501,A186),_xlfn.MINIFS('Injection Sales'!$A$2:$A$501,'Injection Sales'!$B$2:$B$501,A186),99999),IF(COUNTIF('Protein Sales'!$B$2:$B$501,A186),_xlfn.MINIFS('Protein Sales'!$A$2:$A$501,'Protein Sales'!$B$2:$B$501,A186),99999),IF(COUNTIF('Diet Support'!$B$2:$B$501,A186),_xlfn.MINIFS('Diet Support'!$A$2:$A$501,'Diet Support'!$B$2:$B$501,A186),99999)))</f>
        <v/>
      </c>
      <c r="D186" s="18" t="str">
        <f aca="false">IF(OR(A186="",COUNTIF('Injection Sales'!$B$2:$B$501,A186)+COUNTIF('Protein Sales'!$B$2:$B$501,A186)+COUNTIF('Diet Support'!$B$2:$B$501,A186)=0),"",MAX(_xlfn.MAXIFS('Injection Sales'!$A$2:$A$501,'Injection Sales'!$B$2:$B$501,A186),_xlfn.MAXIFS('Protein Sales'!$A$2:$A$501,'Protein Sales'!$B$2:$B$501,A186),_xlfn.MAXIFS('Diet Support'!$A$2:$A$501,'Diet Support'!$B$2:$B$501,A186)))</f>
        <v/>
      </c>
      <c r="E186" s="19" t="str">
        <f aca="false">IF(A186="","",COUNTIF('Injection Sales'!$B$2:$B$501,A186)+COUNTIF('Protein Sales'!$B$2:$B$501,A186)+COUNTIF('Diet Support'!$B$2:$B$501,A186))</f>
        <v/>
      </c>
      <c r="F186" s="20" t="str">
        <f aca="false">IF(A186="","",SUMIF('Injection Sales'!$B$2:$B$501,A186,'Injection Sales'!$G$2:$G$501)+SUMIF('Protein Sales'!$B$2:$B$501,A186,'Protein Sales'!$F$2:$F$501)+SUMIF('Diet Support'!$B$2:$B$501,A186,'Diet Support'!$E$2:$E$501))</f>
        <v/>
      </c>
      <c r="G186" s="21" t="str">
        <f aca="false">IF(OR(A186="",COUNTIF('Injection Sales'!$B$2:$B$501,A186)=0),"",IFERROR(LOOKUP(2,1/(('Injection Sales'!$B$2:$B$501=A186)*('Injection Sales'!$A$2:$A$501=_xlfn.MAXIFS('Injection Sales'!$A$2:$A$501,'Injection Sales'!$B$2:$B$501,A186))),'Injection Sales'!$E$2:$E$501),""))</f>
        <v/>
      </c>
      <c r="H186" s="21" t="str">
        <f aca="false">IF(OR(A186="",COUNTIF('Injection Sales'!$B$2:$B$501,A186)=0),"",IFERROR(LOOKUP(2,1/(('Injection Sales'!$B$2:$B$501=A186)*('Injection Sales'!$A$2:$A$501=_xlfn.MAXIFS('Injection Sales'!$A$2:$A$501,'Injection Sales'!$B$2:$B$501,A186))),'Injection Sales'!$H$2:$H$501),""))</f>
        <v/>
      </c>
      <c r="I186" s="21" t="str">
        <f aca="true">IF(OR(A186="",D186=""),"",IF(TODAY()-D186&lt;=Settings!$B$7,"Active","Inactive"))</f>
        <v/>
      </c>
    </row>
    <row r="187" customFormat="false" ht="15" hidden="false" customHeight="false" outlineLevel="0" collapsed="false">
      <c r="A187" s="1"/>
      <c r="B187" s="22"/>
      <c r="C187" s="18" t="str">
        <f aca="false">IF(OR(A187="",COUNTIF('Injection Sales'!$B$2:$B$501,A187)+COUNTIF('Protein Sales'!$B$2:$B$501,A187)+COUNTIF('Diet Support'!$B$2:$B$501,A187)=0),"",MIN(IF(COUNTIF('Injection Sales'!$B$2:$B$501,A187),_xlfn.MINIFS('Injection Sales'!$A$2:$A$501,'Injection Sales'!$B$2:$B$501,A187),99999),IF(COUNTIF('Protein Sales'!$B$2:$B$501,A187),_xlfn.MINIFS('Protein Sales'!$A$2:$A$501,'Protein Sales'!$B$2:$B$501,A187),99999),IF(COUNTIF('Diet Support'!$B$2:$B$501,A187),_xlfn.MINIFS('Diet Support'!$A$2:$A$501,'Diet Support'!$B$2:$B$501,A187),99999)))</f>
        <v/>
      </c>
      <c r="D187" s="18" t="str">
        <f aca="false">IF(OR(A187="",COUNTIF('Injection Sales'!$B$2:$B$501,A187)+COUNTIF('Protein Sales'!$B$2:$B$501,A187)+COUNTIF('Diet Support'!$B$2:$B$501,A187)=0),"",MAX(_xlfn.MAXIFS('Injection Sales'!$A$2:$A$501,'Injection Sales'!$B$2:$B$501,A187),_xlfn.MAXIFS('Protein Sales'!$A$2:$A$501,'Protein Sales'!$B$2:$B$501,A187),_xlfn.MAXIFS('Diet Support'!$A$2:$A$501,'Diet Support'!$B$2:$B$501,A187)))</f>
        <v/>
      </c>
      <c r="E187" s="19" t="str">
        <f aca="false">IF(A187="","",COUNTIF('Injection Sales'!$B$2:$B$501,A187)+COUNTIF('Protein Sales'!$B$2:$B$501,A187)+COUNTIF('Diet Support'!$B$2:$B$501,A187))</f>
        <v/>
      </c>
      <c r="F187" s="20" t="str">
        <f aca="false">IF(A187="","",SUMIF('Injection Sales'!$B$2:$B$501,A187,'Injection Sales'!$G$2:$G$501)+SUMIF('Protein Sales'!$B$2:$B$501,A187,'Protein Sales'!$F$2:$F$501)+SUMIF('Diet Support'!$B$2:$B$501,A187,'Diet Support'!$E$2:$E$501))</f>
        <v/>
      </c>
      <c r="G187" s="21" t="str">
        <f aca="false">IF(OR(A187="",COUNTIF('Injection Sales'!$B$2:$B$501,A187)=0),"",IFERROR(LOOKUP(2,1/(('Injection Sales'!$B$2:$B$501=A187)*('Injection Sales'!$A$2:$A$501=_xlfn.MAXIFS('Injection Sales'!$A$2:$A$501,'Injection Sales'!$B$2:$B$501,A187))),'Injection Sales'!$E$2:$E$501),""))</f>
        <v/>
      </c>
      <c r="H187" s="21" t="str">
        <f aca="false">IF(OR(A187="",COUNTIF('Injection Sales'!$B$2:$B$501,A187)=0),"",IFERROR(LOOKUP(2,1/(('Injection Sales'!$B$2:$B$501=A187)*('Injection Sales'!$A$2:$A$501=_xlfn.MAXIFS('Injection Sales'!$A$2:$A$501,'Injection Sales'!$B$2:$B$501,A187))),'Injection Sales'!$H$2:$H$501),""))</f>
        <v/>
      </c>
      <c r="I187" s="21" t="str">
        <f aca="true">IF(OR(A187="",D187=""),"",IF(TODAY()-D187&lt;=Settings!$B$7,"Active","Inactive"))</f>
        <v/>
      </c>
    </row>
    <row r="188" customFormat="false" ht="15" hidden="false" customHeight="false" outlineLevel="0" collapsed="false">
      <c r="A188" s="1"/>
      <c r="B188" s="22"/>
      <c r="C188" s="18" t="str">
        <f aca="false">IF(OR(A188="",COUNTIF('Injection Sales'!$B$2:$B$501,A188)+COUNTIF('Protein Sales'!$B$2:$B$501,A188)+COUNTIF('Diet Support'!$B$2:$B$501,A188)=0),"",MIN(IF(COUNTIF('Injection Sales'!$B$2:$B$501,A188),_xlfn.MINIFS('Injection Sales'!$A$2:$A$501,'Injection Sales'!$B$2:$B$501,A188),99999),IF(COUNTIF('Protein Sales'!$B$2:$B$501,A188),_xlfn.MINIFS('Protein Sales'!$A$2:$A$501,'Protein Sales'!$B$2:$B$501,A188),99999),IF(COUNTIF('Diet Support'!$B$2:$B$501,A188),_xlfn.MINIFS('Diet Support'!$A$2:$A$501,'Diet Support'!$B$2:$B$501,A188),99999)))</f>
        <v/>
      </c>
      <c r="D188" s="18" t="str">
        <f aca="false">IF(OR(A188="",COUNTIF('Injection Sales'!$B$2:$B$501,A188)+COUNTIF('Protein Sales'!$B$2:$B$501,A188)+COUNTIF('Diet Support'!$B$2:$B$501,A188)=0),"",MAX(_xlfn.MAXIFS('Injection Sales'!$A$2:$A$501,'Injection Sales'!$B$2:$B$501,A188),_xlfn.MAXIFS('Protein Sales'!$A$2:$A$501,'Protein Sales'!$B$2:$B$501,A188),_xlfn.MAXIFS('Diet Support'!$A$2:$A$501,'Diet Support'!$B$2:$B$501,A188)))</f>
        <v/>
      </c>
      <c r="E188" s="19" t="str">
        <f aca="false">IF(A188="","",COUNTIF('Injection Sales'!$B$2:$B$501,A188)+COUNTIF('Protein Sales'!$B$2:$B$501,A188)+COUNTIF('Diet Support'!$B$2:$B$501,A188))</f>
        <v/>
      </c>
      <c r="F188" s="20" t="str">
        <f aca="false">IF(A188="","",SUMIF('Injection Sales'!$B$2:$B$501,A188,'Injection Sales'!$G$2:$G$501)+SUMIF('Protein Sales'!$B$2:$B$501,A188,'Protein Sales'!$F$2:$F$501)+SUMIF('Diet Support'!$B$2:$B$501,A188,'Diet Support'!$E$2:$E$501))</f>
        <v/>
      </c>
      <c r="G188" s="21" t="str">
        <f aca="false">IF(OR(A188="",COUNTIF('Injection Sales'!$B$2:$B$501,A188)=0),"",IFERROR(LOOKUP(2,1/(('Injection Sales'!$B$2:$B$501=A188)*('Injection Sales'!$A$2:$A$501=_xlfn.MAXIFS('Injection Sales'!$A$2:$A$501,'Injection Sales'!$B$2:$B$501,A188))),'Injection Sales'!$E$2:$E$501),""))</f>
        <v/>
      </c>
      <c r="H188" s="21" t="str">
        <f aca="false">IF(OR(A188="",COUNTIF('Injection Sales'!$B$2:$B$501,A188)=0),"",IFERROR(LOOKUP(2,1/(('Injection Sales'!$B$2:$B$501=A188)*('Injection Sales'!$A$2:$A$501=_xlfn.MAXIFS('Injection Sales'!$A$2:$A$501,'Injection Sales'!$B$2:$B$501,A188))),'Injection Sales'!$H$2:$H$501),""))</f>
        <v/>
      </c>
      <c r="I188" s="21" t="str">
        <f aca="true">IF(OR(A188="",D188=""),"",IF(TODAY()-D188&lt;=Settings!$B$7,"Active","Inactive"))</f>
        <v/>
      </c>
    </row>
    <row r="189" customFormat="false" ht="15" hidden="false" customHeight="false" outlineLevel="0" collapsed="false">
      <c r="A189" s="1"/>
      <c r="B189" s="22"/>
      <c r="C189" s="18" t="str">
        <f aca="false">IF(OR(A189="",COUNTIF('Injection Sales'!$B$2:$B$501,A189)+COUNTIF('Protein Sales'!$B$2:$B$501,A189)+COUNTIF('Diet Support'!$B$2:$B$501,A189)=0),"",MIN(IF(COUNTIF('Injection Sales'!$B$2:$B$501,A189),_xlfn.MINIFS('Injection Sales'!$A$2:$A$501,'Injection Sales'!$B$2:$B$501,A189),99999),IF(COUNTIF('Protein Sales'!$B$2:$B$501,A189),_xlfn.MINIFS('Protein Sales'!$A$2:$A$501,'Protein Sales'!$B$2:$B$501,A189),99999),IF(COUNTIF('Diet Support'!$B$2:$B$501,A189),_xlfn.MINIFS('Diet Support'!$A$2:$A$501,'Diet Support'!$B$2:$B$501,A189),99999)))</f>
        <v/>
      </c>
      <c r="D189" s="18" t="str">
        <f aca="false">IF(OR(A189="",COUNTIF('Injection Sales'!$B$2:$B$501,A189)+COUNTIF('Protein Sales'!$B$2:$B$501,A189)+COUNTIF('Diet Support'!$B$2:$B$501,A189)=0),"",MAX(_xlfn.MAXIFS('Injection Sales'!$A$2:$A$501,'Injection Sales'!$B$2:$B$501,A189),_xlfn.MAXIFS('Protein Sales'!$A$2:$A$501,'Protein Sales'!$B$2:$B$501,A189),_xlfn.MAXIFS('Diet Support'!$A$2:$A$501,'Diet Support'!$B$2:$B$501,A189)))</f>
        <v/>
      </c>
      <c r="E189" s="19" t="str">
        <f aca="false">IF(A189="","",COUNTIF('Injection Sales'!$B$2:$B$501,A189)+COUNTIF('Protein Sales'!$B$2:$B$501,A189)+COUNTIF('Diet Support'!$B$2:$B$501,A189))</f>
        <v/>
      </c>
      <c r="F189" s="20" t="str">
        <f aca="false">IF(A189="","",SUMIF('Injection Sales'!$B$2:$B$501,A189,'Injection Sales'!$G$2:$G$501)+SUMIF('Protein Sales'!$B$2:$B$501,A189,'Protein Sales'!$F$2:$F$501)+SUMIF('Diet Support'!$B$2:$B$501,A189,'Diet Support'!$E$2:$E$501))</f>
        <v/>
      </c>
      <c r="G189" s="21" t="str">
        <f aca="false">IF(OR(A189="",COUNTIF('Injection Sales'!$B$2:$B$501,A189)=0),"",IFERROR(LOOKUP(2,1/(('Injection Sales'!$B$2:$B$501=A189)*('Injection Sales'!$A$2:$A$501=_xlfn.MAXIFS('Injection Sales'!$A$2:$A$501,'Injection Sales'!$B$2:$B$501,A189))),'Injection Sales'!$E$2:$E$501),""))</f>
        <v/>
      </c>
      <c r="H189" s="21" t="str">
        <f aca="false">IF(OR(A189="",COUNTIF('Injection Sales'!$B$2:$B$501,A189)=0),"",IFERROR(LOOKUP(2,1/(('Injection Sales'!$B$2:$B$501=A189)*('Injection Sales'!$A$2:$A$501=_xlfn.MAXIFS('Injection Sales'!$A$2:$A$501,'Injection Sales'!$B$2:$B$501,A189))),'Injection Sales'!$H$2:$H$501),""))</f>
        <v/>
      </c>
      <c r="I189" s="21" t="str">
        <f aca="true">IF(OR(A189="",D189=""),"",IF(TODAY()-D189&lt;=Settings!$B$7,"Active","Inactive"))</f>
        <v/>
      </c>
    </row>
    <row r="190" customFormat="false" ht="15" hidden="false" customHeight="false" outlineLevel="0" collapsed="false">
      <c r="A190" s="1"/>
      <c r="B190" s="22"/>
      <c r="C190" s="18" t="str">
        <f aca="false">IF(OR(A190="",COUNTIF('Injection Sales'!$B$2:$B$501,A190)+COUNTIF('Protein Sales'!$B$2:$B$501,A190)+COUNTIF('Diet Support'!$B$2:$B$501,A190)=0),"",MIN(IF(COUNTIF('Injection Sales'!$B$2:$B$501,A190),_xlfn.MINIFS('Injection Sales'!$A$2:$A$501,'Injection Sales'!$B$2:$B$501,A190),99999),IF(COUNTIF('Protein Sales'!$B$2:$B$501,A190),_xlfn.MINIFS('Protein Sales'!$A$2:$A$501,'Protein Sales'!$B$2:$B$501,A190),99999),IF(COUNTIF('Diet Support'!$B$2:$B$501,A190),_xlfn.MINIFS('Diet Support'!$A$2:$A$501,'Diet Support'!$B$2:$B$501,A190),99999)))</f>
        <v/>
      </c>
      <c r="D190" s="18" t="str">
        <f aca="false">IF(OR(A190="",COUNTIF('Injection Sales'!$B$2:$B$501,A190)+COUNTIF('Protein Sales'!$B$2:$B$501,A190)+COUNTIF('Diet Support'!$B$2:$B$501,A190)=0),"",MAX(_xlfn.MAXIFS('Injection Sales'!$A$2:$A$501,'Injection Sales'!$B$2:$B$501,A190),_xlfn.MAXIFS('Protein Sales'!$A$2:$A$501,'Protein Sales'!$B$2:$B$501,A190),_xlfn.MAXIFS('Diet Support'!$A$2:$A$501,'Diet Support'!$B$2:$B$501,A190)))</f>
        <v/>
      </c>
      <c r="E190" s="19" t="str">
        <f aca="false">IF(A190="","",COUNTIF('Injection Sales'!$B$2:$B$501,A190)+COUNTIF('Protein Sales'!$B$2:$B$501,A190)+COUNTIF('Diet Support'!$B$2:$B$501,A190))</f>
        <v/>
      </c>
      <c r="F190" s="20" t="str">
        <f aca="false">IF(A190="","",SUMIF('Injection Sales'!$B$2:$B$501,A190,'Injection Sales'!$G$2:$G$501)+SUMIF('Protein Sales'!$B$2:$B$501,A190,'Protein Sales'!$F$2:$F$501)+SUMIF('Diet Support'!$B$2:$B$501,A190,'Diet Support'!$E$2:$E$501))</f>
        <v/>
      </c>
      <c r="G190" s="21" t="str">
        <f aca="false">IF(OR(A190="",COUNTIF('Injection Sales'!$B$2:$B$501,A190)=0),"",IFERROR(LOOKUP(2,1/(('Injection Sales'!$B$2:$B$501=A190)*('Injection Sales'!$A$2:$A$501=_xlfn.MAXIFS('Injection Sales'!$A$2:$A$501,'Injection Sales'!$B$2:$B$501,A190))),'Injection Sales'!$E$2:$E$501),""))</f>
        <v/>
      </c>
      <c r="H190" s="21" t="str">
        <f aca="false">IF(OR(A190="",COUNTIF('Injection Sales'!$B$2:$B$501,A190)=0),"",IFERROR(LOOKUP(2,1/(('Injection Sales'!$B$2:$B$501=A190)*('Injection Sales'!$A$2:$A$501=_xlfn.MAXIFS('Injection Sales'!$A$2:$A$501,'Injection Sales'!$B$2:$B$501,A190))),'Injection Sales'!$H$2:$H$501),""))</f>
        <v/>
      </c>
      <c r="I190" s="21" t="str">
        <f aca="true">IF(OR(A190="",D190=""),"",IF(TODAY()-D190&lt;=Settings!$B$7,"Active","Inactive"))</f>
        <v/>
      </c>
    </row>
    <row r="191" customFormat="false" ht="15" hidden="false" customHeight="false" outlineLevel="0" collapsed="false">
      <c r="A191" s="1"/>
      <c r="B191" s="22"/>
      <c r="C191" s="18" t="str">
        <f aca="false">IF(OR(A191="",COUNTIF('Injection Sales'!$B$2:$B$501,A191)+COUNTIF('Protein Sales'!$B$2:$B$501,A191)+COUNTIF('Diet Support'!$B$2:$B$501,A191)=0),"",MIN(IF(COUNTIF('Injection Sales'!$B$2:$B$501,A191),_xlfn.MINIFS('Injection Sales'!$A$2:$A$501,'Injection Sales'!$B$2:$B$501,A191),99999),IF(COUNTIF('Protein Sales'!$B$2:$B$501,A191),_xlfn.MINIFS('Protein Sales'!$A$2:$A$501,'Protein Sales'!$B$2:$B$501,A191),99999),IF(COUNTIF('Diet Support'!$B$2:$B$501,A191),_xlfn.MINIFS('Diet Support'!$A$2:$A$501,'Diet Support'!$B$2:$B$501,A191),99999)))</f>
        <v/>
      </c>
      <c r="D191" s="18" t="str">
        <f aca="false">IF(OR(A191="",COUNTIF('Injection Sales'!$B$2:$B$501,A191)+COUNTIF('Protein Sales'!$B$2:$B$501,A191)+COUNTIF('Diet Support'!$B$2:$B$501,A191)=0),"",MAX(_xlfn.MAXIFS('Injection Sales'!$A$2:$A$501,'Injection Sales'!$B$2:$B$501,A191),_xlfn.MAXIFS('Protein Sales'!$A$2:$A$501,'Protein Sales'!$B$2:$B$501,A191),_xlfn.MAXIFS('Diet Support'!$A$2:$A$501,'Diet Support'!$B$2:$B$501,A191)))</f>
        <v/>
      </c>
      <c r="E191" s="19" t="str">
        <f aca="false">IF(A191="","",COUNTIF('Injection Sales'!$B$2:$B$501,A191)+COUNTIF('Protein Sales'!$B$2:$B$501,A191)+COUNTIF('Diet Support'!$B$2:$B$501,A191))</f>
        <v/>
      </c>
      <c r="F191" s="20" t="str">
        <f aca="false">IF(A191="","",SUMIF('Injection Sales'!$B$2:$B$501,A191,'Injection Sales'!$G$2:$G$501)+SUMIF('Protein Sales'!$B$2:$B$501,A191,'Protein Sales'!$F$2:$F$501)+SUMIF('Diet Support'!$B$2:$B$501,A191,'Diet Support'!$E$2:$E$501))</f>
        <v/>
      </c>
      <c r="G191" s="21" t="str">
        <f aca="false">IF(OR(A191="",COUNTIF('Injection Sales'!$B$2:$B$501,A191)=0),"",IFERROR(LOOKUP(2,1/(('Injection Sales'!$B$2:$B$501=A191)*('Injection Sales'!$A$2:$A$501=_xlfn.MAXIFS('Injection Sales'!$A$2:$A$501,'Injection Sales'!$B$2:$B$501,A191))),'Injection Sales'!$E$2:$E$501),""))</f>
        <v/>
      </c>
      <c r="H191" s="21" t="str">
        <f aca="false">IF(OR(A191="",COUNTIF('Injection Sales'!$B$2:$B$501,A191)=0),"",IFERROR(LOOKUP(2,1/(('Injection Sales'!$B$2:$B$501=A191)*('Injection Sales'!$A$2:$A$501=_xlfn.MAXIFS('Injection Sales'!$A$2:$A$501,'Injection Sales'!$B$2:$B$501,A191))),'Injection Sales'!$H$2:$H$501),""))</f>
        <v/>
      </c>
      <c r="I191" s="21" t="str">
        <f aca="true">IF(OR(A191="",D191=""),"",IF(TODAY()-D191&lt;=Settings!$B$7,"Active","Inactive"))</f>
        <v/>
      </c>
    </row>
    <row r="192" customFormat="false" ht="15" hidden="false" customHeight="false" outlineLevel="0" collapsed="false">
      <c r="A192" s="1"/>
      <c r="B192" s="22"/>
      <c r="C192" s="18" t="str">
        <f aca="false">IF(OR(A192="",COUNTIF('Injection Sales'!$B$2:$B$501,A192)+COUNTIF('Protein Sales'!$B$2:$B$501,A192)+COUNTIF('Diet Support'!$B$2:$B$501,A192)=0),"",MIN(IF(COUNTIF('Injection Sales'!$B$2:$B$501,A192),_xlfn.MINIFS('Injection Sales'!$A$2:$A$501,'Injection Sales'!$B$2:$B$501,A192),99999),IF(COUNTIF('Protein Sales'!$B$2:$B$501,A192),_xlfn.MINIFS('Protein Sales'!$A$2:$A$501,'Protein Sales'!$B$2:$B$501,A192),99999),IF(COUNTIF('Diet Support'!$B$2:$B$501,A192),_xlfn.MINIFS('Diet Support'!$A$2:$A$501,'Diet Support'!$B$2:$B$501,A192),99999)))</f>
        <v/>
      </c>
      <c r="D192" s="18" t="str">
        <f aca="false">IF(OR(A192="",COUNTIF('Injection Sales'!$B$2:$B$501,A192)+COUNTIF('Protein Sales'!$B$2:$B$501,A192)+COUNTIF('Diet Support'!$B$2:$B$501,A192)=0),"",MAX(_xlfn.MAXIFS('Injection Sales'!$A$2:$A$501,'Injection Sales'!$B$2:$B$501,A192),_xlfn.MAXIFS('Protein Sales'!$A$2:$A$501,'Protein Sales'!$B$2:$B$501,A192),_xlfn.MAXIFS('Diet Support'!$A$2:$A$501,'Diet Support'!$B$2:$B$501,A192)))</f>
        <v/>
      </c>
      <c r="E192" s="19" t="str">
        <f aca="false">IF(A192="","",COUNTIF('Injection Sales'!$B$2:$B$501,A192)+COUNTIF('Protein Sales'!$B$2:$B$501,A192)+COUNTIF('Diet Support'!$B$2:$B$501,A192))</f>
        <v/>
      </c>
      <c r="F192" s="20" t="str">
        <f aca="false">IF(A192="","",SUMIF('Injection Sales'!$B$2:$B$501,A192,'Injection Sales'!$G$2:$G$501)+SUMIF('Protein Sales'!$B$2:$B$501,A192,'Protein Sales'!$F$2:$F$501)+SUMIF('Diet Support'!$B$2:$B$501,A192,'Diet Support'!$E$2:$E$501))</f>
        <v/>
      </c>
      <c r="G192" s="21" t="str">
        <f aca="false">IF(OR(A192="",COUNTIF('Injection Sales'!$B$2:$B$501,A192)=0),"",IFERROR(LOOKUP(2,1/(('Injection Sales'!$B$2:$B$501=A192)*('Injection Sales'!$A$2:$A$501=_xlfn.MAXIFS('Injection Sales'!$A$2:$A$501,'Injection Sales'!$B$2:$B$501,A192))),'Injection Sales'!$E$2:$E$501),""))</f>
        <v/>
      </c>
      <c r="H192" s="21" t="str">
        <f aca="false">IF(OR(A192="",COUNTIF('Injection Sales'!$B$2:$B$501,A192)=0),"",IFERROR(LOOKUP(2,1/(('Injection Sales'!$B$2:$B$501=A192)*('Injection Sales'!$A$2:$A$501=_xlfn.MAXIFS('Injection Sales'!$A$2:$A$501,'Injection Sales'!$B$2:$B$501,A192))),'Injection Sales'!$H$2:$H$501),""))</f>
        <v/>
      </c>
      <c r="I192" s="21" t="str">
        <f aca="true">IF(OR(A192="",D192=""),"",IF(TODAY()-D192&lt;=Settings!$B$7,"Active","Inactive"))</f>
        <v/>
      </c>
    </row>
    <row r="193" customFormat="false" ht="15" hidden="false" customHeight="false" outlineLevel="0" collapsed="false">
      <c r="A193" s="1"/>
      <c r="B193" s="22"/>
      <c r="C193" s="18" t="str">
        <f aca="false">IF(OR(A193="",COUNTIF('Injection Sales'!$B$2:$B$501,A193)+COUNTIF('Protein Sales'!$B$2:$B$501,A193)+COUNTIF('Diet Support'!$B$2:$B$501,A193)=0),"",MIN(IF(COUNTIF('Injection Sales'!$B$2:$B$501,A193),_xlfn.MINIFS('Injection Sales'!$A$2:$A$501,'Injection Sales'!$B$2:$B$501,A193),99999),IF(COUNTIF('Protein Sales'!$B$2:$B$501,A193),_xlfn.MINIFS('Protein Sales'!$A$2:$A$501,'Protein Sales'!$B$2:$B$501,A193),99999),IF(COUNTIF('Diet Support'!$B$2:$B$501,A193),_xlfn.MINIFS('Diet Support'!$A$2:$A$501,'Diet Support'!$B$2:$B$501,A193),99999)))</f>
        <v/>
      </c>
      <c r="D193" s="18" t="str">
        <f aca="false">IF(OR(A193="",COUNTIF('Injection Sales'!$B$2:$B$501,A193)+COUNTIF('Protein Sales'!$B$2:$B$501,A193)+COUNTIF('Diet Support'!$B$2:$B$501,A193)=0),"",MAX(_xlfn.MAXIFS('Injection Sales'!$A$2:$A$501,'Injection Sales'!$B$2:$B$501,A193),_xlfn.MAXIFS('Protein Sales'!$A$2:$A$501,'Protein Sales'!$B$2:$B$501,A193),_xlfn.MAXIFS('Diet Support'!$A$2:$A$501,'Diet Support'!$B$2:$B$501,A193)))</f>
        <v/>
      </c>
      <c r="E193" s="19" t="str">
        <f aca="false">IF(A193="","",COUNTIF('Injection Sales'!$B$2:$B$501,A193)+COUNTIF('Protein Sales'!$B$2:$B$501,A193)+COUNTIF('Diet Support'!$B$2:$B$501,A193))</f>
        <v/>
      </c>
      <c r="F193" s="20" t="str">
        <f aca="false">IF(A193="","",SUMIF('Injection Sales'!$B$2:$B$501,A193,'Injection Sales'!$G$2:$G$501)+SUMIF('Protein Sales'!$B$2:$B$501,A193,'Protein Sales'!$F$2:$F$501)+SUMIF('Diet Support'!$B$2:$B$501,A193,'Diet Support'!$E$2:$E$501))</f>
        <v/>
      </c>
      <c r="G193" s="21" t="str">
        <f aca="false">IF(OR(A193="",COUNTIF('Injection Sales'!$B$2:$B$501,A193)=0),"",IFERROR(LOOKUP(2,1/(('Injection Sales'!$B$2:$B$501=A193)*('Injection Sales'!$A$2:$A$501=_xlfn.MAXIFS('Injection Sales'!$A$2:$A$501,'Injection Sales'!$B$2:$B$501,A193))),'Injection Sales'!$E$2:$E$501),""))</f>
        <v/>
      </c>
      <c r="H193" s="21" t="str">
        <f aca="false">IF(OR(A193="",COUNTIF('Injection Sales'!$B$2:$B$501,A193)=0),"",IFERROR(LOOKUP(2,1/(('Injection Sales'!$B$2:$B$501=A193)*('Injection Sales'!$A$2:$A$501=_xlfn.MAXIFS('Injection Sales'!$A$2:$A$501,'Injection Sales'!$B$2:$B$501,A193))),'Injection Sales'!$H$2:$H$501),""))</f>
        <v/>
      </c>
      <c r="I193" s="21" t="str">
        <f aca="true">IF(OR(A193="",D193=""),"",IF(TODAY()-D193&lt;=Settings!$B$7,"Active","Inactive"))</f>
        <v/>
      </c>
    </row>
    <row r="194" customFormat="false" ht="15" hidden="false" customHeight="false" outlineLevel="0" collapsed="false">
      <c r="A194" s="1"/>
      <c r="B194" s="22"/>
      <c r="C194" s="18" t="str">
        <f aca="false">IF(OR(A194="",COUNTIF('Injection Sales'!$B$2:$B$501,A194)+COUNTIF('Protein Sales'!$B$2:$B$501,A194)+COUNTIF('Diet Support'!$B$2:$B$501,A194)=0),"",MIN(IF(COUNTIF('Injection Sales'!$B$2:$B$501,A194),_xlfn.MINIFS('Injection Sales'!$A$2:$A$501,'Injection Sales'!$B$2:$B$501,A194),99999),IF(COUNTIF('Protein Sales'!$B$2:$B$501,A194),_xlfn.MINIFS('Protein Sales'!$A$2:$A$501,'Protein Sales'!$B$2:$B$501,A194),99999),IF(COUNTIF('Diet Support'!$B$2:$B$501,A194),_xlfn.MINIFS('Diet Support'!$A$2:$A$501,'Diet Support'!$B$2:$B$501,A194),99999)))</f>
        <v/>
      </c>
      <c r="D194" s="18" t="str">
        <f aca="false">IF(OR(A194="",COUNTIF('Injection Sales'!$B$2:$B$501,A194)+COUNTIF('Protein Sales'!$B$2:$B$501,A194)+COUNTIF('Diet Support'!$B$2:$B$501,A194)=0),"",MAX(_xlfn.MAXIFS('Injection Sales'!$A$2:$A$501,'Injection Sales'!$B$2:$B$501,A194),_xlfn.MAXIFS('Protein Sales'!$A$2:$A$501,'Protein Sales'!$B$2:$B$501,A194),_xlfn.MAXIFS('Diet Support'!$A$2:$A$501,'Diet Support'!$B$2:$B$501,A194)))</f>
        <v/>
      </c>
      <c r="E194" s="19" t="str">
        <f aca="false">IF(A194="","",COUNTIF('Injection Sales'!$B$2:$B$501,A194)+COUNTIF('Protein Sales'!$B$2:$B$501,A194)+COUNTIF('Diet Support'!$B$2:$B$501,A194))</f>
        <v/>
      </c>
      <c r="F194" s="20" t="str">
        <f aca="false">IF(A194="","",SUMIF('Injection Sales'!$B$2:$B$501,A194,'Injection Sales'!$G$2:$G$501)+SUMIF('Protein Sales'!$B$2:$B$501,A194,'Protein Sales'!$F$2:$F$501)+SUMIF('Diet Support'!$B$2:$B$501,A194,'Diet Support'!$E$2:$E$501))</f>
        <v/>
      </c>
      <c r="G194" s="21" t="str">
        <f aca="false">IF(OR(A194="",COUNTIF('Injection Sales'!$B$2:$B$501,A194)=0),"",IFERROR(LOOKUP(2,1/(('Injection Sales'!$B$2:$B$501=A194)*('Injection Sales'!$A$2:$A$501=_xlfn.MAXIFS('Injection Sales'!$A$2:$A$501,'Injection Sales'!$B$2:$B$501,A194))),'Injection Sales'!$E$2:$E$501),""))</f>
        <v/>
      </c>
      <c r="H194" s="21" t="str">
        <f aca="false">IF(OR(A194="",COUNTIF('Injection Sales'!$B$2:$B$501,A194)=0),"",IFERROR(LOOKUP(2,1/(('Injection Sales'!$B$2:$B$501=A194)*('Injection Sales'!$A$2:$A$501=_xlfn.MAXIFS('Injection Sales'!$A$2:$A$501,'Injection Sales'!$B$2:$B$501,A194))),'Injection Sales'!$H$2:$H$501),""))</f>
        <v/>
      </c>
      <c r="I194" s="21" t="str">
        <f aca="true">IF(OR(A194="",D194=""),"",IF(TODAY()-D194&lt;=Settings!$B$7,"Active","Inactive"))</f>
        <v/>
      </c>
    </row>
    <row r="195" customFormat="false" ht="15" hidden="false" customHeight="false" outlineLevel="0" collapsed="false">
      <c r="A195" s="1"/>
      <c r="B195" s="22"/>
      <c r="C195" s="18" t="str">
        <f aca="false">IF(OR(A195="",COUNTIF('Injection Sales'!$B$2:$B$501,A195)+COUNTIF('Protein Sales'!$B$2:$B$501,A195)+COUNTIF('Diet Support'!$B$2:$B$501,A195)=0),"",MIN(IF(COUNTIF('Injection Sales'!$B$2:$B$501,A195),_xlfn.MINIFS('Injection Sales'!$A$2:$A$501,'Injection Sales'!$B$2:$B$501,A195),99999),IF(COUNTIF('Protein Sales'!$B$2:$B$501,A195),_xlfn.MINIFS('Protein Sales'!$A$2:$A$501,'Protein Sales'!$B$2:$B$501,A195),99999),IF(COUNTIF('Diet Support'!$B$2:$B$501,A195),_xlfn.MINIFS('Diet Support'!$A$2:$A$501,'Diet Support'!$B$2:$B$501,A195),99999)))</f>
        <v/>
      </c>
      <c r="D195" s="18" t="str">
        <f aca="false">IF(OR(A195="",COUNTIF('Injection Sales'!$B$2:$B$501,A195)+COUNTIF('Protein Sales'!$B$2:$B$501,A195)+COUNTIF('Diet Support'!$B$2:$B$501,A195)=0),"",MAX(_xlfn.MAXIFS('Injection Sales'!$A$2:$A$501,'Injection Sales'!$B$2:$B$501,A195),_xlfn.MAXIFS('Protein Sales'!$A$2:$A$501,'Protein Sales'!$B$2:$B$501,A195),_xlfn.MAXIFS('Diet Support'!$A$2:$A$501,'Diet Support'!$B$2:$B$501,A195)))</f>
        <v/>
      </c>
      <c r="E195" s="19" t="str">
        <f aca="false">IF(A195="","",COUNTIF('Injection Sales'!$B$2:$B$501,A195)+COUNTIF('Protein Sales'!$B$2:$B$501,A195)+COUNTIF('Diet Support'!$B$2:$B$501,A195))</f>
        <v/>
      </c>
      <c r="F195" s="20" t="str">
        <f aca="false">IF(A195="","",SUMIF('Injection Sales'!$B$2:$B$501,A195,'Injection Sales'!$G$2:$G$501)+SUMIF('Protein Sales'!$B$2:$B$501,A195,'Protein Sales'!$F$2:$F$501)+SUMIF('Diet Support'!$B$2:$B$501,A195,'Diet Support'!$E$2:$E$501))</f>
        <v/>
      </c>
      <c r="G195" s="21" t="str">
        <f aca="false">IF(OR(A195="",COUNTIF('Injection Sales'!$B$2:$B$501,A195)=0),"",IFERROR(LOOKUP(2,1/(('Injection Sales'!$B$2:$B$501=A195)*('Injection Sales'!$A$2:$A$501=_xlfn.MAXIFS('Injection Sales'!$A$2:$A$501,'Injection Sales'!$B$2:$B$501,A195))),'Injection Sales'!$E$2:$E$501),""))</f>
        <v/>
      </c>
      <c r="H195" s="21" t="str">
        <f aca="false">IF(OR(A195="",COUNTIF('Injection Sales'!$B$2:$B$501,A195)=0),"",IFERROR(LOOKUP(2,1/(('Injection Sales'!$B$2:$B$501=A195)*('Injection Sales'!$A$2:$A$501=_xlfn.MAXIFS('Injection Sales'!$A$2:$A$501,'Injection Sales'!$B$2:$B$501,A195))),'Injection Sales'!$H$2:$H$501),""))</f>
        <v/>
      </c>
      <c r="I195" s="21" t="str">
        <f aca="true">IF(OR(A195="",D195=""),"",IF(TODAY()-D195&lt;=Settings!$B$7,"Active","Inactive"))</f>
        <v/>
      </c>
    </row>
    <row r="196" customFormat="false" ht="15" hidden="false" customHeight="false" outlineLevel="0" collapsed="false">
      <c r="A196" s="1"/>
      <c r="B196" s="22"/>
      <c r="C196" s="18" t="str">
        <f aca="false">IF(OR(A196="",COUNTIF('Injection Sales'!$B$2:$B$501,A196)+COUNTIF('Protein Sales'!$B$2:$B$501,A196)+COUNTIF('Diet Support'!$B$2:$B$501,A196)=0),"",MIN(IF(COUNTIF('Injection Sales'!$B$2:$B$501,A196),_xlfn.MINIFS('Injection Sales'!$A$2:$A$501,'Injection Sales'!$B$2:$B$501,A196),99999),IF(COUNTIF('Protein Sales'!$B$2:$B$501,A196),_xlfn.MINIFS('Protein Sales'!$A$2:$A$501,'Protein Sales'!$B$2:$B$501,A196),99999),IF(COUNTIF('Diet Support'!$B$2:$B$501,A196),_xlfn.MINIFS('Diet Support'!$A$2:$A$501,'Diet Support'!$B$2:$B$501,A196),99999)))</f>
        <v/>
      </c>
      <c r="D196" s="18" t="str">
        <f aca="false">IF(OR(A196="",COUNTIF('Injection Sales'!$B$2:$B$501,A196)+COUNTIF('Protein Sales'!$B$2:$B$501,A196)+COUNTIF('Diet Support'!$B$2:$B$501,A196)=0),"",MAX(_xlfn.MAXIFS('Injection Sales'!$A$2:$A$501,'Injection Sales'!$B$2:$B$501,A196),_xlfn.MAXIFS('Protein Sales'!$A$2:$A$501,'Protein Sales'!$B$2:$B$501,A196),_xlfn.MAXIFS('Diet Support'!$A$2:$A$501,'Diet Support'!$B$2:$B$501,A196)))</f>
        <v/>
      </c>
      <c r="E196" s="19" t="str">
        <f aca="false">IF(A196="","",COUNTIF('Injection Sales'!$B$2:$B$501,A196)+COUNTIF('Protein Sales'!$B$2:$B$501,A196)+COUNTIF('Diet Support'!$B$2:$B$501,A196))</f>
        <v/>
      </c>
      <c r="F196" s="20" t="str">
        <f aca="false">IF(A196="","",SUMIF('Injection Sales'!$B$2:$B$501,A196,'Injection Sales'!$G$2:$G$501)+SUMIF('Protein Sales'!$B$2:$B$501,A196,'Protein Sales'!$F$2:$F$501)+SUMIF('Diet Support'!$B$2:$B$501,A196,'Diet Support'!$E$2:$E$501))</f>
        <v/>
      </c>
      <c r="G196" s="21" t="str">
        <f aca="false">IF(OR(A196="",COUNTIF('Injection Sales'!$B$2:$B$501,A196)=0),"",IFERROR(LOOKUP(2,1/(('Injection Sales'!$B$2:$B$501=A196)*('Injection Sales'!$A$2:$A$501=_xlfn.MAXIFS('Injection Sales'!$A$2:$A$501,'Injection Sales'!$B$2:$B$501,A196))),'Injection Sales'!$E$2:$E$501),""))</f>
        <v/>
      </c>
      <c r="H196" s="21" t="str">
        <f aca="false">IF(OR(A196="",COUNTIF('Injection Sales'!$B$2:$B$501,A196)=0),"",IFERROR(LOOKUP(2,1/(('Injection Sales'!$B$2:$B$501=A196)*('Injection Sales'!$A$2:$A$501=_xlfn.MAXIFS('Injection Sales'!$A$2:$A$501,'Injection Sales'!$B$2:$B$501,A196))),'Injection Sales'!$H$2:$H$501),""))</f>
        <v/>
      </c>
      <c r="I196" s="21" t="str">
        <f aca="true">IF(OR(A196="",D196=""),"",IF(TODAY()-D196&lt;=Settings!$B$7,"Active","Inactive"))</f>
        <v/>
      </c>
    </row>
    <row r="197" customFormat="false" ht="15" hidden="false" customHeight="false" outlineLevel="0" collapsed="false">
      <c r="A197" s="1"/>
      <c r="B197" s="22"/>
      <c r="C197" s="18" t="str">
        <f aca="false">IF(OR(A197="",COUNTIF('Injection Sales'!$B$2:$B$501,A197)+COUNTIF('Protein Sales'!$B$2:$B$501,A197)+COUNTIF('Diet Support'!$B$2:$B$501,A197)=0),"",MIN(IF(COUNTIF('Injection Sales'!$B$2:$B$501,A197),_xlfn.MINIFS('Injection Sales'!$A$2:$A$501,'Injection Sales'!$B$2:$B$501,A197),99999),IF(COUNTIF('Protein Sales'!$B$2:$B$501,A197),_xlfn.MINIFS('Protein Sales'!$A$2:$A$501,'Protein Sales'!$B$2:$B$501,A197),99999),IF(COUNTIF('Diet Support'!$B$2:$B$501,A197),_xlfn.MINIFS('Diet Support'!$A$2:$A$501,'Diet Support'!$B$2:$B$501,A197),99999)))</f>
        <v/>
      </c>
      <c r="D197" s="18" t="str">
        <f aca="false">IF(OR(A197="",COUNTIF('Injection Sales'!$B$2:$B$501,A197)+COUNTIF('Protein Sales'!$B$2:$B$501,A197)+COUNTIF('Diet Support'!$B$2:$B$501,A197)=0),"",MAX(_xlfn.MAXIFS('Injection Sales'!$A$2:$A$501,'Injection Sales'!$B$2:$B$501,A197),_xlfn.MAXIFS('Protein Sales'!$A$2:$A$501,'Protein Sales'!$B$2:$B$501,A197),_xlfn.MAXIFS('Diet Support'!$A$2:$A$501,'Diet Support'!$B$2:$B$501,A197)))</f>
        <v/>
      </c>
      <c r="E197" s="19" t="str">
        <f aca="false">IF(A197="","",COUNTIF('Injection Sales'!$B$2:$B$501,A197)+COUNTIF('Protein Sales'!$B$2:$B$501,A197)+COUNTIF('Diet Support'!$B$2:$B$501,A197))</f>
        <v/>
      </c>
      <c r="F197" s="20" t="str">
        <f aca="false">IF(A197="","",SUMIF('Injection Sales'!$B$2:$B$501,A197,'Injection Sales'!$G$2:$G$501)+SUMIF('Protein Sales'!$B$2:$B$501,A197,'Protein Sales'!$F$2:$F$501)+SUMIF('Diet Support'!$B$2:$B$501,A197,'Diet Support'!$E$2:$E$501))</f>
        <v/>
      </c>
      <c r="G197" s="21" t="str">
        <f aca="false">IF(OR(A197="",COUNTIF('Injection Sales'!$B$2:$B$501,A197)=0),"",IFERROR(LOOKUP(2,1/(('Injection Sales'!$B$2:$B$501=A197)*('Injection Sales'!$A$2:$A$501=_xlfn.MAXIFS('Injection Sales'!$A$2:$A$501,'Injection Sales'!$B$2:$B$501,A197))),'Injection Sales'!$E$2:$E$501),""))</f>
        <v/>
      </c>
      <c r="H197" s="21" t="str">
        <f aca="false">IF(OR(A197="",COUNTIF('Injection Sales'!$B$2:$B$501,A197)=0),"",IFERROR(LOOKUP(2,1/(('Injection Sales'!$B$2:$B$501=A197)*('Injection Sales'!$A$2:$A$501=_xlfn.MAXIFS('Injection Sales'!$A$2:$A$501,'Injection Sales'!$B$2:$B$501,A197))),'Injection Sales'!$H$2:$H$501),""))</f>
        <v/>
      </c>
      <c r="I197" s="21" t="str">
        <f aca="true">IF(OR(A197="",D197=""),"",IF(TODAY()-D197&lt;=Settings!$B$7,"Active","Inactive"))</f>
        <v/>
      </c>
    </row>
    <row r="198" customFormat="false" ht="15" hidden="false" customHeight="false" outlineLevel="0" collapsed="false">
      <c r="A198" s="1"/>
      <c r="B198" s="22"/>
      <c r="C198" s="18" t="str">
        <f aca="false">IF(OR(A198="",COUNTIF('Injection Sales'!$B$2:$B$501,A198)+COUNTIF('Protein Sales'!$B$2:$B$501,A198)+COUNTIF('Diet Support'!$B$2:$B$501,A198)=0),"",MIN(IF(COUNTIF('Injection Sales'!$B$2:$B$501,A198),_xlfn.MINIFS('Injection Sales'!$A$2:$A$501,'Injection Sales'!$B$2:$B$501,A198),99999),IF(COUNTIF('Protein Sales'!$B$2:$B$501,A198),_xlfn.MINIFS('Protein Sales'!$A$2:$A$501,'Protein Sales'!$B$2:$B$501,A198),99999),IF(COUNTIF('Diet Support'!$B$2:$B$501,A198),_xlfn.MINIFS('Diet Support'!$A$2:$A$501,'Diet Support'!$B$2:$B$501,A198),99999)))</f>
        <v/>
      </c>
      <c r="D198" s="18" t="str">
        <f aca="false">IF(OR(A198="",COUNTIF('Injection Sales'!$B$2:$B$501,A198)+COUNTIF('Protein Sales'!$B$2:$B$501,A198)+COUNTIF('Diet Support'!$B$2:$B$501,A198)=0),"",MAX(_xlfn.MAXIFS('Injection Sales'!$A$2:$A$501,'Injection Sales'!$B$2:$B$501,A198),_xlfn.MAXIFS('Protein Sales'!$A$2:$A$501,'Protein Sales'!$B$2:$B$501,A198),_xlfn.MAXIFS('Diet Support'!$A$2:$A$501,'Diet Support'!$B$2:$B$501,A198)))</f>
        <v/>
      </c>
      <c r="E198" s="19" t="str">
        <f aca="false">IF(A198="","",COUNTIF('Injection Sales'!$B$2:$B$501,A198)+COUNTIF('Protein Sales'!$B$2:$B$501,A198)+COUNTIF('Diet Support'!$B$2:$B$501,A198))</f>
        <v/>
      </c>
      <c r="F198" s="20" t="str">
        <f aca="false">IF(A198="","",SUMIF('Injection Sales'!$B$2:$B$501,A198,'Injection Sales'!$G$2:$G$501)+SUMIF('Protein Sales'!$B$2:$B$501,A198,'Protein Sales'!$F$2:$F$501)+SUMIF('Diet Support'!$B$2:$B$501,A198,'Diet Support'!$E$2:$E$501))</f>
        <v/>
      </c>
      <c r="G198" s="21" t="str">
        <f aca="false">IF(OR(A198="",COUNTIF('Injection Sales'!$B$2:$B$501,A198)=0),"",IFERROR(LOOKUP(2,1/(('Injection Sales'!$B$2:$B$501=A198)*('Injection Sales'!$A$2:$A$501=_xlfn.MAXIFS('Injection Sales'!$A$2:$A$501,'Injection Sales'!$B$2:$B$501,A198))),'Injection Sales'!$E$2:$E$501),""))</f>
        <v/>
      </c>
      <c r="H198" s="21" t="str">
        <f aca="false">IF(OR(A198="",COUNTIF('Injection Sales'!$B$2:$B$501,A198)=0),"",IFERROR(LOOKUP(2,1/(('Injection Sales'!$B$2:$B$501=A198)*('Injection Sales'!$A$2:$A$501=_xlfn.MAXIFS('Injection Sales'!$A$2:$A$501,'Injection Sales'!$B$2:$B$501,A198))),'Injection Sales'!$H$2:$H$501),""))</f>
        <v/>
      </c>
      <c r="I198" s="21" t="str">
        <f aca="true">IF(OR(A198="",D198=""),"",IF(TODAY()-D198&lt;=Settings!$B$7,"Active","Inactive"))</f>
        <v/>
      </c>
    </row>
    <row r="199" customFormat="false" ht="15" hidden="false" customHeight="false" outlineLevel="0" collapsed="false">
      <c r="A199" s="1"/>
      <c r="B199" s="22"/>
      <c r="C199" s="18" t="str">
        <f aca="false">IF(OR(A199="",COUNTIF('Injection Sales'!$B$2:$B$501,A199)+COUNTIF('Protein Sales'!$B$2:$B$501,A199)+COUNTIF('Diet Support'!$B$2:$B$501,A199)=0),"",MIN(IF(COUNTIF('Injection Sales'!$B$2:$B$501,A199),_xlfn.MINIFS('Injection Sales'!$A$2:$A$501,'Injection Sales'!$B$2:$B$501,A199),99999),IF(COUNTIF('Protein Sales'!$B$2:$B$501,A199),_xlfn.MINIFS('Protein Sales'!$A$2:$A$501,'Protein Sales'!$B$2:$B$501,A199),99999),IF(COUNTIF('Diet Support'!$B$2:$B$501,A199),_xlfn.MINIFS('Diet Support'!$A$2:$A$501,'Diet Support'!$B$2:$B$501,A199),99999)))</f>
        <v/>
      </c>
      <c r="D199" s="18" t="str">
        <f aca="false">IF(OR(A199="",COUNTIF('Injection Sales'!$B$2:$B$501,A199)+COUNTIF('Protein Sales'!$B$2:$B$501,A199)+COUNTIF('Diet Support'!$B$2:$B$501,A199)=0),"",MAX(_xlfn.MAXIFS('Injection Sales'!$A$2:$A$501,'Injection Sales'!$B$2:$B$501,A199),_xlfn.MAXIFS('Protein Sales'!$A$2:$A$501,'Protein Sales'!$B$2:$B$501,A199),_xlfn.MAXIFS('Diet Support'!$A$2:$A$501,'Diet Support'!$B$2:$B$501,A199)))</f>
        <v/>
      </c>
      <c r="E199" s="19" t="str">
        <f aca="false">IF(A199="","",COUNTIF('Injection Sales'!$B$2:$B$501,A199)+COUNTIF('Protein Sales'!$B$2:$B$501,A199)+COUNTIF('Diet Support'!$B$2:$B$501,A199))</f>
        <v/>
      </c>
      <c r="F199" s="20" t="str">
        <f aca="false">IF(A199="","",SUMIF('Injection Sales'!$B$2:$B$501,A199,'Injection Sales'!$G$2:$G$501)+SUMIF('Protein Sales'!$B$2:$B$501,A199,'Protein Sales'!$F$2:$F$501)+SUMIF('Diet Support'!$B$2:$B$501,A199,'Diet Support'!$E$2:$E$501))</f>
        <v/>
      </c>
      <c r="G199" s="21" t="str">
        <f aca="false">IF(OR(A199="",COUNTIF('Injection Sales'!$B$2:$B$501,A199)=0),"",IFERROR(LOOKUP(2,1/(('Injection Sales'!$B$2:$B$501=A199)*('Injection Sales'!$A$2:$A$501=_xlfn.MAXIFS('Injection Sales'!$A$2:$A$501,'Injection Sales'!$B$2:$B$501,A199))),'Injection Sales'!$E$2:$E$501),""))</f>
        <v/>
      </c>
      <c r="H199" s="21" t="str">
        <f aca="false">IF(OR(A199="",COUNTIF('Injection Sales'!$B$2:$B$501,A199)=0),"",IFERROR(LOOKUP(2,1/(('Injection Sales'!$B$2:$B$501=A199)*('Injection Sales'!$A$2:$A$501=_xlfn.MAXIFS('Injection Sales'!$A$2:$A$501,'Injection Sales'!$B$2:$B$501,A199))),'Injection Sales'!$H$2:$H$501),""))</f>
        <v/>
      </c>
      <c r="I199" s="21" t="str">
        <f aca="true">IF(OR(A199="",D199=""),"",IF(TODAY()-D199&lt;=Settings!$B$7,"Active","Inactive"))</f>
        <v/>
      </c>
    </row>
    <row r="200" customFormat="false" ht="15" hidden="false" customHeight="false" outlineLevel="0" collapsed="false">
      <c r="A200" s="1"/>
      <c r="B200" s="22"/>
      <c r="C200" s="18" t="str">
        <f aca="false">IF(OR(A200="",COUNTIF('Injection Sales'!$B$2:$B$501,A200)+COUNTIF('Protein Sales'!$B$2:$B$501,A200)+COUNTIF('Diet Support'!$B$2:$B$501,A200)=0),"",MIN(IF(COUNTIF('Injection Sales'!$B$2:$B$501,A200),_xlfn.MINIFS('Injection Sales'!$A$2:$A$501,'Injection Sales'!$B$2:$B$501,A200),99999),IF(COUNTIF('Protein Sales'!$B$2:$B$501,A200),_xlfn.MINIFS('Protein Sales'!$A$2:$A$501,'Protein Sales'!$B$2:$B$501,A200),99999),IF(COUNTIF('Diet Support'!$B$2:$B$501,A200),_xlfn.MINIFS('Diet Support'!$A$2:$A$501,'Diet Support'!$B$2:$B$501,A200),99999)))</f>
        <v/>
      </c>
      <c r="D200" s="18" t="str">
        <f aca="false">IF(OR(A200="",COUNTIF('Injection Sales'!$B$2:$B$501,A200)+COUNTIF('Protein Sales'!$B$2:$B$501,A200)+COUNTIF('Diet Support'!$B$2:$B$501,A200)=0),"",MAX(_xlfn.MAXIFS('Injection Sales'!$A$2:$A$501,'Injection Sales'!$B$2:$B$501,A200),_xlfn.MAXIFS('Protein Sales'!$A$2:$A$501,'Protein Sales'!$B$2:$B$501,A200),_xlfn.MAXIFS('Diet Support'!$A$2:$A$501,'Diet Support'!$B$2:$B$501,A200)))</f>
        <v/>
      </c>
      <c r="E200" s="19" t="str">
        <f aca="false">IF(A200="","",COUNTIF('Injection Sales'!$B$2:$B$501,A200)+COUNTIF('Protein Sales'!$B$2:$B$501,A200)+COUNTIF('Diet Support'!$B$2:$B$501,A200))</f>
        <v/>
      </c>
      <c r="F200" s="20" t="str">
        <f aca="false">IF(A200="","",SUMIF('Injection Sales'!$B$2:$B$501,A200,'Injection Sales'!$G$2:$G$501)+SUMIF('Protein Sales'!$B$2:$B$501,A200,'Protein Sales'!$F$2:$F$501)+SUMIF('Diet Support'!$B$2:$B$501,A200,'Diet Support'!$E$2:$E$501))</f>
        <v/>
      </c>
      <c r="G200" s="21" t="str">
        <f aca="false">IF(OR(A200="",COUNTIF('Injection Sales'!$B$2:$B$501,A200)=0),"",IFERROR(LOOKUP(2,1/(('Injection Sales'!$B$2:$B$501=A200)*('Injection Sales'!$A$2:$A$501=_xlfn.MAXIFS('Injection Sales'!$A$2:$A$501,'Injection Sales'!$B$2:$B$501,A200))),'Injection Sales'!$E$2:$E$501),""))</f>
        <v/>
      </c>
      <c r="H200" s="21" t="str">
        <f aca="false">IF(OR(A200="",COUNTIF('Injection Sales'!$B$2:$B$501,A200)=0),"",IFERROR(LOOKUP(2,1/(('Injection Sales'!$B$2:$B$501=A200)*('Injection Sales'!$A$2:$A$501=_xlfn.MAXIFS('Injection Sales'!$A$2:$A$501,'Injection Sales'!$B$2:$B$501,A200))),'Injection Sales'!$H$2:$H$501),""))</f>
        <v/>
      </c>
      <c r="I200" s="21" t="str">
        <f aca="true">IF(OR(A200="",D200=""),"",IF(TODAY()-D200&lt;=Settings!$B$7,"Active","Inactive"))</f>
        <v/>
      </c>
    </row>
    <row r="201" customFormat="false" ht="15" hidden="false" customHeight="false" outlineLevel="0" collapsed="false">
      <c r="A201" s="1"/>
      <c r="B201" s="22"/>
      <c r="C201" s="18" t="str">
        <f aca="false">IF(OR(A201="",COUNTIF('Injection Sales'!$B$2:$B$501,A201)+COUNTIF('Protein Sales'!$B$2:$B$501,A201)+COUNTIF('Diet Support'!$B$2:$B$501,A201)=0),"",MIN(IF(COUNTIF('Injection Sales'!$B$2:$B$501,A201),_xlfn.MINIFS('Injection Sales'!$A$2:$A$501,'Injection Sales'!$B$2:$B$501,A201),99999),IF(COUNTIF('Protein Sales'!$B$2:$B$501,A201),_xlfn.MINIFS('Protein Sales'!$A$2:$A$501,'Protein Sales'!$B$2:$B$501,A201),99999),IF(COUNTIF('Diet Support'!$B$2:$B$501,A201),_xlfn.MINIFS('Diet Support'!$A$2:$A$501,'Diet Support'!$B$2:$B$501,A201),99999)))</f>
        <v/>
      </c>
      <c r="D201" s="18" t="str">
        <f aca="false">IF(OR(A201="",COUNTIF('Injection Sales'!$B$2:$B$501,A201)+COUNTIF('Protein Sales'!$B$2:$B$501,A201)+COUNTIF('Diet Support'!$B$2:$B$501,A201)=0),"",MAX(_xlfn.MAXIFS('Injection Sales'!$A$2:$A$501,'Injection Sales'!$B$2:$B$501,A201),_xlfn.MAXIFS('Protein Sales'!$A$2:$A$501,'Protein Sales'!$B$2:$B$501,A201),_xlfn.MAXIFS('Diet Support'!$A$2:$A$501,'Diet Support'!$B$2:$B$501,A201)))</f>
        <v/>
      </c>
      <c r="E201" s="19" t="str">
        <f aca="false">IF(A201="","",COUNTIF('Injection Sales'!$B$2:$B$501,A201)+COUNTIF('Protein Sales'!$B$2:$B$501,A201)+COUNTIF('Diet Support'!$B$2:$B$501,A201))</f>
        <v/>
      </c>
      <c r="F201" s="20" t="str">
        <f aca="false">IF(A201="","",SUMIF('Injection Sales'!$B$2:$B$501,A201,'Injection Sales'!$G$2:$G$501)+SUMIF('Protein Sales'!$B$2:$B$501,A201,'Protein Sales'!$F$2:$F$501)+SUMIF('Diet Support'!$B$2:$B$501,A201,'Diet Support'!$E$2:$E$501))</f>
        <v/>
      </c>
      <c r="G201" s="21" t="str">
        <f aca="false">IF(OR(A201="",COUNTIF('Injection Sales'!$B$2:$B$501,A201)=0),"",IFERROR(LOOKUP(2,1/(('Injection Sales'!$B$2:$B$501=A201)*('Injection Sales'!$A$2:$A$501=_xlfn.MAXIFS('Injection Sales'!$A$2:$A$501,'Injection Sales'!$B$2:$B$501,A201))),'Injection Sales'!$E$2:$E$501),""))</f>
        <v/>
      </c>
      <c r="H201" s="21" t="str">
        <f aca="false">IF(OR(A201="",COUNTIF('Injection Sales'!$B$2:$B$501,A201)=0),"",IFERROR(LOOKUP(2,1/(('Injection Sales'!$B$2:$B$501=A201)*('Injection Sales'!$A$2:$A$501=_xlfn.MAXIFS('Injection Sales'!$A$2:$A$501,'Injection Sales'!$B$2:$B$501,A201))),'Injection Sales'!$H$2:$H$501),""))</f>
        <v/>
      </c>
      <c r="I201" s="21" t="str">
        <f aca="true">IF(OR(A201="",D201=""),"",IF(TODAY()-D201&lt;=Settings!$B$7,"Active","Inactive"))</f>
        <v/>
      </c>
    </row>
    <row r="202" customFormat="false" ht="15" hidden="false" customHeight="false" outlineLevel="0" collapsed="false">
      <c r="A202" s="1"/>
      <c r="B202" s="22"/>
      <c r="C202" s="18" t="str">
        <f aca="false">IF(OR(A202="",COUNTIF('Injection Sales'!$B$2:$B$501,A202)+COUNTIF('Protein Sales'!$B$2:$B$501,A202)+COUNTIF('Diet Support'!$B$2:$B$501,A202)=0),"",MIN(IF(COUNTIF('Injection Sales'!$B$2:$B$501,A202),_xlfn.MINIFS('Injection Sales'!$A$2:$A$501,'Injection Sales'!$B$2:$B$501,A202),99999),IF(COUNTIF('Protein Sales'!$B$2:$B$501,A202),_xlfn.MINIFS('Protein Sales'!$A$2:$A$501,'Protein Sales'!$B$2:$B$501,A202),99999),IF(COUNTIF('Diet Support'!$B$2:$B$501,A202),_xlfn.MINIFS('Diet Support'!$A$2:$A$501,'Diet Support'!$B$2:$B$501,A202),99999)))</f>
        <v/>
      </c>
      <c r="D202" s="18" t="str">
        <f aca="false">IF(OR(A202="",COUNTIF('Injection Sales'!$B$2:$B$501,A202)+COUNTIF('Protein Sales'!$B$2:$B$501,A202)+COUNTIF('Diet Support'!$B$2:$B$501,A202)=0),"",MAX(_xlfn.MAXIFS('Injection Sales'!$A$2:$A$501,'Injection Sales'!$B$2:$B$501,A202),_xlfn.MAXIFS('Protein Sales'!$A$2:$A$501,'Protein Sales'!$B$2:$B$501,A202),_xlfn.MAXIFS('Diet Support'!$A$2:$A$501,'Diet Support'!$B$2:$B$501,A202)))</f>
        <v/>
      </c>
      <c r="E202" s="19" t="str">
        <f aca="false">IF(A202="","",COUNTIF('Injection Sales'!$B$2:$B$501,A202)+COUNTIF('Protein Sales'!$B$2:$B$501,A202)+COUNTIF('Diet Support'!$B$2:$B$501,A202))</f>
        <v/>
      </c>
      <c r="F202" s="20" t="str">
        <f aca="false">IF(A202="","",SUMIF('Injection Sales'!$B$2:$B$501,A202,'Injection Sales'!$G$2:$G$501)+SUMIF('Protein Sales'!$B$2:$B$501,A202,'Protein Sales'!$F$2:$F$501)+SUMIF('Diet Support'!$B$2:$B$501,A202,'Diet Support'!$E$2:$E$501))</f>
        <v/>
      </c>
      <c r="G202" s="21" t="str">
        <f aca="false">IF(OR(A202="",COUNTIF('Injection Sales'!$B$2:$B$501,A202)=0),"",IFERROR(LOOKUP(2,1/(('Injection Sales'!$B$2:$B$501=A202)*('Injection Sales'!$A$2:$A$501=_xlfn.MAXIFS('Injection Sales'!$A$2:$A$501,'Injection Sales'!$B$2:$B$501,A202))),'Injection Sales'!$E$2:$E$501),""))</f>
        <v/>
      </c>
      <c r="H202" s="21" t="str">
        <f aca="false">IF(OR(A202="",COUNTIF('Injection Sales'!$B$2:$B$501,A202)=0),"",IFERROR(LOOKUP(2,1/(('Injection Sales'!$B$2:$B$501=A202)*('Injection Sales'!$A$2:$A$501=_xlfn.MAXIFS('Injection Sales'!$A$2:$A$501,'Injection Sales'!$B$2:$B$501,A202))),'Injection Sales'!$H$2:$H$501),""))</f>
        <v/>
      </c>
      <c r="I202" s="21" t="str">
        <f aca="true">IF(OR(A202="",D202=""),"",IF(TODAY()-D202&lt;=Settings!$B$7,"Active","Inactive"))</f>
        <v/>
      </c>
    </row>
    <row r="203" customFormat="false" ht="15" hidden="false" customHeight="false" outlineLevel="0" collapsed="false">
      <c r="A203" s="1"/>
      <c r="B203" s="22"/>
      <c r="C203" s="18" t="str">
        <f aca="false">IF(OR(A203="",COUNTIF('Injection Sales'!$B$2:$B$501,A203)+COUNTIF('Protein Sales'!$B$2:$B$501,A203)+COUNTIF('Diet Support'!$B$2:$B$501,A203)=0),"",MIN(IF(COUNTIF('Injection Sales'!$B$2:$B$501,A203),_xlfn.MINIFS('Injection Sales'!$A$2:$A$501,'Injection Sales'!$B$2:$B$501,A203),99999),IF(COUNTIF('Protein Sales'!$B$2:$B$501,A203),_xlfn.MINIFS('Protein Sales'!$A$2:$A$501,'Protein Sales'!$B$2:$B$501,A203),99999),IF(COUNTIF('Diet Support'!$B$2:$B$501,A203),_xlfn.MINIFS('Diet Support'!$A$2:$A$501,'Diet Support'!$B$2:$B$501,A203),99999)))</f>
        <v/>
      </c>
      <c r="D203" s="18" t="str">
        <f aca="false">IF(OR(A203="",COUNTIF('Injection Sales'!$B$2:$B$501,A203)+COUNTIF('Protein Sales'!$B$2:$B$501,A203)+COUNTIF('Diet Support'!$B$2:$B$501,A203)=0),"",MAX(_xlfn.MAXIFS('Injection Sales'!$A$2:$A$501,'Injection Sales'!$B$2:$B$501,A203),_xlfn.MAXIFS('Protein Sales'!$A$2:$A$501,'Protein Sales'!$B$2:$B$501,A203),_xlfn.MAXIFS('Diet Support'!$A$2:$A$501,'Diet Support'!$B$2:$B$501,A203)))</f>
        <v/>
      </c>
      <c r="E203" s="19" t="str">
        <f aca="false">IF(A203="","",COUNTIF('Injection Sales'!$B$2:$B$501,A203)+COUNTIF('Protein Sales'!$B$2:$B$501,A203)+COUNTIF('Diet Support'!$B$2:$B$501,A203))</f>
        <v/>
      </c>
      <c r="F203" s="20" t="str">
        <f aca="false">IF(A203="","",SUMIF('Injection Sales'!$B$2:$B$501,A203,'Injection Sales'!$G$2:$G$501)+SUMIF('Protein Sales'!$B$2:$B$501,A203,'Protein Sales'!$F$2:$F$501)+SUMIF('Diet Support'!$B$2:$B$501,A203,'Diet Support'!$E$2:$E$501))</f>
        <v/>
      </c>
      <c r="G203" s="21" t="str">
        <f aca="false">IF(OR(A203="",COUNTIF('Injection Sales'!$B$2:$B$501,A203)=0),"",IFERROR(LOOKUP(2,1/(('Injection Sales'!$B$2:$B$501=A203)*('Injection Sales'!$A$2:$A$501=_xlfn.MAXIFS('Injection Sales'!$A$2:$A$501,'Injection Sales'!$B$2:$B$501,A203))),'Injection Sales'!$E$2:$E$501),""))</f>
        <v/>
      </c>
      <c r="H203" s="21" t="str">
        <f aca="false">IF(OR(A203="",COUNTIF('Injection Sales'!$B$2:$B$501,A203)=0),"",IFERROR(LOOKUP(2,1/(('Injection Sales'!$B$2:$B$501=A203)*('Injection Sales'!$A$2:$A$501=_xlfn.MAXIFS('Injection Sales'!$A$2:$A$501,'Injection Sales'!$B$2:$B$501,A203))),'Injection Sales'!$H$2:$H$501),""))</f>
        <v/>
      </c>
      <c r="I203" s="21" t="str">
        <f aca="true">IF(OR(A203="",D203=""),"",IF(TODAY()-D203&lt;=Settings!$B$7,"Active","Inactive"))</f>
        <v/>
      </c>
    </row>
    <row r="204" customFormat="false" ht="15" hidden="false" customHeight="false" outlineLevel="0" collapsed="false">
      <c r="A204" s="1"/>
      <c r="B204" s="22"/>
      <c r="C204" s="18" t="str">
        <f aca="false">IF(OR(A204="",COUNTIF('Injection Sales'!$B$2:$B$501,A204)+COUNTIF('Protein Sales'!$B$2:$B$501,A204)+COUNTIF('Diet Support'!$B$2:$B$501,A204)=0),"",MIN(IF(COUNTIF('Injection Sales'!$B$2:$B$501,A204),_xlfn.MINIFS('Injection Sales'!$A$2:$A$501,'Injection Sales'!$B$2:$B$501,A204),99999),IF(COUNTIF('Protein Sales'!$B$2:$B$501,A204),_xlfn.MINIFS('Protein Sales'!$A$2:$A$501,'Protein Sales'!$B$2:$B$501,A204),99999),IF(COUNTIF('Diet Support'!$B$2:$B$501,A204),_xlfn.MINIFS('Diet Support'!$A$2:$A$501,'Diet Support'!$B$2:$B$501,A204),99999)))</f>
        <v/>
      </c>
      <c r="D204" s="18" t="str">
        <f aca="false">IF(OR(A204="",COUNTIF('Injection Sales'!$B$2:$B$501,A204)+COUNTIF('Protein Sales'!$B$2:$B$501,A204)+COUNTIF('Diet Support'!$B$2:$B$501,A204)=0),"",MAX(_xlfn.MAXIFS('Injection Sales'!$A$2:$A$501,'Injection Sales'!$B$2:$B$501,A204),_xlfn.MAXIFS('Protein Sales'!$A$2:$A$501,'Protein Sales'!$B$2:$B$501,A204),_xlfn.MAXIFS('Diet Support'!$A$2:$A$501,'Diet Support'!$B$2:$B$501,A204)))</f>
        <v/>
      </c>
      <c r="E204" s="19" t="str">
        <f aca="false">IF(A204="","",COUNTIF('Injection Sales'!$B$2:$B$501,A204)+COUNTIF('Protein Sales'!$B$2:$B$501,A204)+COUNTIF('Diet Support'!$B$2:$B$501,A204))</f>
        <v/>
      </c>
      <c r="F204" s="20" t="str">
        <f aca="false">IF(A204="","",SUMIF('Injection Sales'!$B$2:$B$501,A204,'Injection Sales'!$G$2:$G$501)+SUMIF('Protein Sales'!$B$2:$B$501,A204,'Protein Sales'!$F$2:$F$501)+SUMIF('Diet Support'!$B$2:$B$501,A204,'Diet Support'!$E$2:$E$501))</f>
        <v/>
      </c>
      <c r="G204" s="21" t="str">
        <f aca="false">IF(OR(A204="",COUNTIF('Injection Sales'!$B$2:$B$501,A204)=0),"",IFERROR(LOOKUP(2,1/(('Injection Sales'!$B$2:$B$501=A204)*('Injection Sales'!$A$2:$A$501=_xlfn.MAXIFS('Injection Sales'!$A$2:$A$501,'Injection Sales'!$B$2:$B$501,A204))),'Injection Sales'!$E$2:$E$501),""))</f>
        <v/>
      </c>
      <c r="H204" s="21" t="str">
        <f aca="false">IF(OR(A204="",COUNTIF('Injection Sales'!$B$2:$B$501,A204)=0),"",IFERROR(LOOKUP(2,1/(('Injection Sales'!$B$2:$B$501=A204)*('Injection Sales'!$A$2:$A$501=_xlfn.MAXIFS('Injection Sales'!$A$2:$A$501,'Injection Sales'!$B$2:$B$501,A204))),'Injection Sales'!$H$2:$H$501),""))</f>
        <v/>
      </c>
      <c r="I204" s="21" t="str">
        <f aca="true">IF(OR(A204="",D204=""),"",IF(TODAY()-D204&lt;=Settings!$B$7,"Active","Inactive"))</f>
        <v/>
      </c>
    </row>
    <row r="205" customFormat="false" ht="15" hidden="false" customHeight="false" outlineLevel="0" collapsed="false">
      <c r="A205" s="1"/>
      <c r="B205" s="22"/>
      <c r="C205" s="18" t="str">
        <f aca="false">IF(OR(A205="",COUNTIF('Injection Sales'!$B$2:$B$501,A205)+COUNTIF('Protein Sales'!$B$2:$B$501,A205)+COUNTIF('Diet Support'!$B$2:$B$501,A205)=0),"",MIN(IF(COUNTIF('Injection Sales'!$B$2:$B$501,A205),_xlfn.MINIFS('Injection Sales'!$A$2:$A$501,'Injection Sales'!$B$2:$B$501,A205),99999),IF(COUNTIF('Protein Sales'!$B$2:$B$501,A205),_xlfn.MINIFS('Protein Sales'!$A$2:$A$501,'Protein Sales'!$B$2:$B$501,A205),99999),IF(COUNTIF('Diet Support'!$B$2:$B$501,A205),_xlfn.MINIFS('Diet Support'!$A$2:$A$501,'Diet Support'!$B$2:$B$501,A205),99999)))</f>
        <v/>
      </c>
      <c r="D205" s="18" t="str">
        <f aca="false">IF(OR(A205="",COUNTIF('Injection Sales'!$B$2:$B$501,A205)+COUNTIF('Protein Sales'!$B$2:$B$501,A205)+COUNTIF('Diet Support'!$B$2:$B$501,A205)=0),"",MAX(_xlfn.MAXIFS('Injection Sales'!$A$2:$A$501,'Injection Sales'!$B$2:$B$501,A205),_xlfn.MAXIFS('Protein Sales'!$A$2:$A$501,'Protein Sales'!$B$2:$B$501,A205),_xlfn.MAXIFS('Diet Support'!$A$2:$A$501,'Diet Support'!$B$2:$B$501,A205)))</f>
        <v/>
      </c>
      <c r="E205" s="19" t="str">
        <f aca="false">IF(A205="","",COUNTIF('Injection Sales'!$B$2:$B$501,A205)+COUNTIF('Protein Sales'!$B$2:$B$501,A205)+COUNTIF('Diet Support'!$B$2:$B$501,A205))</f>
        <v/>
      </c>
      <c r="F205" s="20" t="str">
        <f aca="false">IF(A205="","",SUMIF('Injection Sales'!$B$2:$B$501,A205,'Injection Sales'!$G$2:$G$501)+SUMIF('Protein Sales'!$B$2:$B$501,A205,'Protein Sales'!$F$2:$F$501)+SUMIF('Diet Support'!$B$2:$B$501,A205,'Diet Support'!$E$2:$E$501))</f>
        <v/>
      </c>
      <c r="G205" s="21" t="str">
        <f aca="false">IF(OR(A205="",COUNTIF('Injection Sales'!$B$2:$B$501,A205)=0),"",IFERROR(LOOKUP(2,1/(('Injection Sales'!$B$2:$B$501=A205)*('Injection Sales'!$A$2:$A$501=_xlfn.MAXIFS('Injection Sales'!$A$2:$A$501,'Injection Sales'!$B$2:$B$501,A205))),'Injection Sales'!$E$2:$E$501),""))</f>
        <v/>
      </c>
      <c r="H205" s="21" t="str">
        <f aca="false">IF(OR(A205="",COUNTIF('Injection Sales'!$B$2:$B$501,A205)=0),"",IFERROR(LOOKUP(2,1/(('Injection Sales'!$B$2:$B$501=A205)*('Injection Sales'!$A$2:$A$501=_xlfn.MAXIFS('Injection Sales'!$A$2:$A$501,'Injection Sales'!$B$2:$B$501,A205))),'Injection Sales'!$H$2:$H$501),""))</f>
        <v/>
      </c>
      <c r="I205" s="21" t="str">
        <f aca="true">IF(OR(A205="",D205=""),"",IF(TODAY()-D205&lt;=Settings!$B$7,"Active","Inactive"))</f>
        <v/>
      </c>
    </row>
    <row r="206" customFormat="false" ht="15" hidden="false" customHeight="false" outlineLevel="0" collapsed="false">
      <c r="A206" s="1"/>
      <c r="B206" s="22"/>
      <c r="C206" s="18" t="str">
        <f aca="false">IF(OR(A206="",COUNTIF('Injection Sales'!$B$2:$B$501,A206)+COUNTIF('Protein Sales'!$B$2:$B$501,A206)+COUNTIF('Diet Support'!$B$2:$B$501,A206)=0),"",MIN(IF(COUNTIF('Injection Sales'!$B$2:$B$501,A206),_xlfn.MINIFS('Injection Sales'!$A$2:$A$501,'Injection Sales'!$B$2:$B$501,A206),99999),IF(COUNTIF('Protein Sales'!$B$2:$B$501,A206),_xlfn.MINIFS('Protein Sales'!$A$2:$A$501,'Protein Sales'!$B$2:$B$501,A206),99999),IF(COUNTIF('Diet Support'!$B$2:$B$501,A206),_xlfn.MINIFS('Diet Support'!$A$2:$A$501,'Diet Support'!$B$2:$B$501,A206),99999)))</f>
        <v/>
      </c>
      <c r="D206" s="18" t="str">
        <f aca="false">IF(OR(A206="",COUNTIF('Injection Sales'!$B$2:$B$501,A206)+COUNTIF('Protein Sales'!$B$2:$B$501,A206)+COUNTIF('Diet Support'!$B$2:$B$501,A206)=0),"",MAX(_xlfn.MAXIFS('Injection Sales'!$A$2:$A$501,'Injection Sales'!$B$2:$B$501,A206),_xlfn.MAXIFS('Protein Sales'!$A$2:$A$501,'Protein Sales'!$B$2:$B$501,A206),_xlfn.MAXIFS('Diet Support'!$A$2:$A$501,'Diet Support'!$B$2:$B$501,A206)))</f>
        <v/>
      </c>
      <c r="E206" s="19" t="str">
        <f aca="false">IF(A206="","",COUNTIF('Injection Sales'!$B$2:$B$501,A206)+COUNTIF('Protein Sales'!$B$2:$B$501,A206)+COUNTIF('Diet Support'!$B$2:$B$501,A206))</f>
        <v/>
      </c>
      <c r="F206" s="20" t="str">
        <f aca="false">IF(A206="","",SUMIF('Injection Sales'!$B$2:$B$501,A206,'Injection Sales'!$G$2:$G$501)+SUMIF('Protein Sales'!$B$2:$B$501,A206,'Protein Sales'!$F$2:$F$501)+SUMIF('Diet Support'!$B$2:$B$501,A206,'Diet Support'!$E$2:$E$501))</f>
        <v/>
      </c>
      <c r="G206" s="21" t="str">
        <f aca="false">IF(OR(A206="",COUNTIF('Injection Sales'!$B$2:$B$501,A206)=0),"",IFERROR(LOOKUP(2,1/(('Injection Sales'!$B$2:$B$501=A206)*('Injection Sales'!$A$2:$A$501=_xlfn.MAXIFS('Injection Sales'!$A$2:$A$501,'Injection Sales'!$B$2:$B$501,A206))),'Injection Sales'!$E$2:$E$501),""))</f>
        <v/>
      </c>
      <c r="H206" s="21" t="str">
        <f aca="false">IF(OR(A206="",COUNTIF('Injection Sales'!$B$2:$B$501,A206)=0),"",IFERROR(LOOKUP(2,1/(('Injection Sales'!$B$2:$B$501=A206)*('Injection Sales'!$A$2:$A$501=_xlfn.MAXIFS('Injection Sales'!$A$2:$A$501,'Injection Sales'!$B$2:$B$501,A206))),'Injection Sales'!$H$2:$H$501),""))</f>
        <v/>
      </c>
      <c r="I206" s="21" t="str">
        <f aca="true">IF(OR(A206="",D206=""),"",IF(TODAY()-D206&lt;=Settings!$B$7,"Active","Inactive"))</f>
        <v/>
      </c>
    </row>
    <row r="207" customFormat="false" ht="15" hidden="false" customHeight="false" outlineLevel="0" collapsed="false">
      <c r="A207" s="1"/>
      <c r="B207" s="22"/>
      <c r="C207" s="18" t="str">
        <f aca="false">IF(OR(A207="",COUNTIF('Injection Sales'!$B$2:$B$501,A207)+COUNTIF('Protein Sales'!$B$2:$B$501,A207)+COUNTIF('Diet Support'!$B$2:$B$501,A207)=0),"",MIN(IF(COUNTIF('Injection Sales'!$B$2:$B$501,A207),_xlfn.MINIFS('Injection Sales'!$A$2:$A$501,'Injection Sales'!$B$2:$B$501,A207),99999),IF(COUNTIF('Protein Sales'!$B$2:$B$501,A207),_xlfn.MINIFS('Protein Sales'!$A$2:$A$501,'Protein Sales'!$B$2:$B$501,A207),99999),IF(COUNTIF('Diet Support'!$B$2:$B$501,A207),_xlfn.MINIFS('Diet Support'!$A$2:$A$501,'Diet Support'!$B$2:$B$501,A207),99999)))</f>
        <v/>
      </c>
      <c r="D207" s="18" t="str">
        <f aca="false">IF(OR(A207="",COUNTIF('Injection Sales'!$B$2:$B$501,A207)+COUNTIF('Protein Sales'!$B$2:$B$501,A207)+COUNTIF('Diet Support'!$B$2:$B$501,A207)=0),"",MAX(_xlfn.MAXIFS('Injection Sales'!$A$2:$A$501,'Injection Sales'!$B$2:$B$501,A207),_xlfn.MAXIFS('Protein Sales'!$A$2:$A$501,'Protein Sales'!$B$2:$B$501,A207),_xlfn.MAXIFS('Diet Support'!$A$2:$A$501,'Diet Support'!$B$2:$B$501,A207)))</f>
        <v/>
      </c>
      <c r="E207" s="19" t="str">
        <f aca="false">IF(A207="","",COUNTIF('Injection Sales'!$B$2:$B$501,A207)+COUNTIF('Protein Sales'!$B$2:$B$501,A207)+COUNTIF('Diet Support'!$B$2:$B$501,A207))</f>
        <v/>
      </c>
      <c r="F207" s="20" t="str">
        <f aca="false">IF(A207="","",SUMIF('Injection Sales'!$B$2:$B$501,A207,'Injection Sales'!$G$2:$G$501)+SUMIF('Protein Sales'!$B$2:$B$501,A207,'Protein Sales'!$F$2:$F$501)+SUMIF('Diet Support'!$B$2:$B$501,A207,'Diet Support'!$E$2:$E$501))</f>
        <v/>
      </c>
      <c r="G207" s="21" t="str">
        <f aca="false">IF(OR(A207="",COUNTIF('Injection Sales'!$B$2:$B$501,A207)=0),"",IFERROR(LOOKUP(2,1/(('Injection Sales'!$B$2:$B$501=A207)*('Injection Sales'!$A$2:$A$501=_xlfn.MAXIFS('Injection Sales'!$A$2:$A$501,'Injection Sales'!$B$2:$B$501,A207))),'Injection Sales'!$E$2:$E$501),""))</f>
        <v/>
      </c>
      <c r="H207" s="21" t="str">
        <f aca="false">IF(OR(A207="",COUNTIF('Injection Sales'!$B$2:$B$501,A207)=0),"",IFERROR(LOOKUP(2,1/(('Injection Sales'!$B$2:$B$501=A207)*('Injection Sales'!$A$2:$A$501=_xlfn.MAXIFS('Injection Sales'!$A$2:$A$501,'Injection Sales'!$B$2:$B$501,A207))),'Injection Sales'!$H$2:$H$501),""))</f>
        <v/>
      </c>
      <c r="I207" s="21" t="str">
        <f aca="true">IF(OR(A207="",D207=""),"",IF(TODAY()-D207&lt;=Settings!$B$7,"Active","Inactive"))</f>
        <v/>
      </c>
    </row>
    <row r="208" customFormat="false" ht="15" hidden="false" customHeight="false" outlineLevel="0" collapsed="false">
      <c r="A208" s="1"/>
      <c r="B208" s="22"/>
      <c r="C208" s="18" t="str">
        <f aca="false">IF(OR(A208="",COUNTIF('Injection Sales'!$B$2:$B$501,A208)+COUNTIF('Protein Sales'!$B$2:$B$501,A208)+COUNTIF('Diet Support'!$B$2:$B$501,A208)=0),"",MIN(IF(COUNTIF('Injection Sales'!$B$2:$B$501,A208),_xlfn.MINIFS('Injection Sales'!$A$2:$A$501,'Injection Sales'!$B$2:$B$501,A208),99999),IF(COUNTIF('Protein Sales'!$B$2:$B$501,A208),_xlfn.MINIFS('Protein Sales'!$A$2:$A$501,'Protein Sales'!$B$2:$B$501,A208),99999),IF(COUNTIF('Diet Support'!$B$2:$B$501,A208),_xlfn.MINIFS('Diet Support'!$A$2:$A$501,'Diet Support'!$B$2:$B$501,A208),99999)))</f>
        <v/>
      </c>
      <c r="D208" s="18" t="str">
        <f aca="false">IF(OR(A208="",COUNTIF('Injection Sales'!$B$2:$B$501,A208)+COUNTIF('Protein Sales'!$B$2:$B$501,A208)+COUNTIF('Diet Support'!$B$2:$B$501,A208)=0),"",MAX(_xlfn.MAXIFS('Injection Sales'!$A$2:$A$501,'Injection Sales'!$B$2:$B$501,A208),_xlfn.MAXIFS('Protein Sales'!$A$2:$A$501,'Protein Sales'!$B$2:$B$501,A208),_xlfn.MAXIFS('Diet Support'!$A$2:$A$501,'Diet Support'!$B$2:$B$501,A208)))</f>
        <v/>
      </c>
      <c r="E208" s="19" t="str">
        <f aca="false">IF(A208="","",COUNTIF('Injection Sales'!$B$2:$B$501,A208)+COUNTIF('Protein Sales'!$B$2:$B$501,A208)+COUNTIF('Diet Support'!$B$2:$B$501,A208))</f>
        <v/>
      </c>
      <c r="F208" s="20" t="str">
        <f aca="false">IF(A208="","",SUMIF('Injection Sales'!$B$2:$B$501,A208,'Injection Sales'!$G$2:$G$501)+SUMIF('Protein Sales'!$B$2:$B$501,A208,'Protein Sales'!$F$2:$F$501)+SUMIF('Diet Support'!$B$2:$B$501,A208,'Diet Support'!$E$2:$E$501))</f>
        <v/>
      </c>
      <c r="G208" s="21" t="str">
        <f aca="false">IF(OR(A208="",COUNTIF('Injection Sales'!$B$2:$B$501,A208)=0),"",IFERROR(LOOKUP(2,1/(('Injection Sales'!$B$2:$B$501=A208)*('Injection Sales'!$A$2:$A$501=_xlfn.MAXIFS('Injection Sales'!$A$2:$A$501,'Injection Sales'!$B$2:$B$501,A208))),'Injection Sales'!$E$2:$E$501),""))</f>
        <v/>
      </c>
      <c r="H208" s="21" t="str">
        <f aca="false">IF(OR(A208="",COUNTIF('Injection Sales'!$B$2:$B$501,A208)=0),"",IFERROR(LOOKUP(2,1/(('Injection Sales'!$B$2:$B$501=A208)*('Injection Sales'!$A$2:$A$501=_xlfn.MAXIFS('Injection Sales'!$A$2:$A$501,'Injection Sales'!$B$2:$B$501,A208))),'Injection Sales'!$H$2:$H$501),""))</f>
        <v/>
      </c>
      <c r="I208" s="21" t="str">
        <f aca="true">IF(OR(A208="",D208=""),"",IF(TODAY()-D208&lt;=Settings!$B$7,"Active","Inactive"))</f>
        <v/>
      </c>
    </row>
    <row r="209" customFormat="false" ht="15" hidden="false" customHeight="false" outlineLevel="0" collapsed="false">
      <c r="A209" s="1"/>
      <c r="B209" s="22"/>
      <c r="C209" s="18" t="str">
        <f aca="false">IF(OR(A209="",COUNTIF('Injection Sales'!$B$2:$B$501,A209)+COUNTIF('Protein Sales'!$B$2:$B$501,A209)+COUNTIF('Diet Support'!$B$2:$B$501,A209)=0),"",MIN(IF(COUNTIF('Injection Sales'!$B$2:$B$501,A209),_xlfn.MINIFS('Injection Sales'!$A$2:$A$501,'Injection Sales'!$B$2:$B$501,A209),99999),IF(COUNTIF('Protein Sales'!$B$2:$B$501,A209),_xlfn.MINIFS('Protein Sales'!$A$2:$A$501,'Protein Sales'!$B$2:$B$501,A209),99999),IF(COUNTIF('Diet Support'!$B$2:$B$501,A209),_xlfn.MINIFS('Diet Support'!$A$2:$A$501,'Diet Support'!$B$2:$B$501,A209),99999)))</f>
        <v/>
      </c>
      <c r="D209" s="18" t="str">
        <f aca="false">IF(OR(A209="",COUNTIF('Injection Sales'!$B$2:$B$501,A209)+COUNTIF('Protein Sales'!$B$2:$B$501,A209)+COUNTIF('Diet Support'!$B$2:$B$501,A209)=0),"",MAX(_xlfn.MAXIFS('Injection Sales'!$A$2:$A$501,'Injection Sales'!$B$2:$B$501,A209),_xlfn.MAXIFS('Protein Sales'!$A$2:$A$501,'Protein Sales'!$B$2:$B$501,A209),_xlfn.MAXIFS('Diet Support'!$A$2:$A$501,'Diet Support'!$B$2:$B$501,A209)))</f>
        <v/>
      </c>
      <c r="E209" s="19" t="str">
        <f aca="false">IF(A209="","",COUNTIF('Injection Sales'!$B$2:$B$501,A209)+COUNTIF('Protein Sales'!$B$2:$B$501,A209)+COUNTIF('Diet Support'!$B$2:$B$501,A209))</f>
        <v/>
      </c>
      <c r="F209" s="20" t="str">
        <f aca="false">IF(A209="","",SUMIF('Injection Sales'!$B$2:$B$501,A209,'Injection Sales'!$G$2:$G$501)+SUMIF('Protein Sales'!$B$2:$B$501,A209,'Protein Sales'!$F$2:$F$501)+SUMIF('Diet Support'!$B$2:$B$501,A209,'Diet Support'!$E$2:$E$501))</f>
        <v/>
      </c>
      <c r="G209" s="21" t="str">
        <f aca="false">IF(OR(A209="",COUNTIF('Injection Sales'!$B$2:$B$501,A209)=0),"",IFERROR(LOOKUP(2,1/(('Injection Sales'!$B$2:$B$501=A209)*('Injection Sales'!$A$2:$A$501=_xlfn.MAXIFS('Injection Sales'!$A$2:$A$501,'Injection Sales'!$B$2:$B$501,A209))),'Injection Sales'!$E$2:$E$501),""))</f>
        <v/>
      </c>
      <c r="H209" s="21" t="str">
        <f aca="false">IF(OR(A209="",COUNTIF('Injection Sales'!$B$2:$B$501,A209)=0),"",IFERROR(LOOKUP(2,1/(('Injection Sales'!$B$2:$B$501=A209)*('Injection Sales'!$A$2:$A$501=_xlfn.MAXIFS('Injection Sales'!$A$2:$A$501,'Injection Sales'!$B$2:$B$501,A209))),'Injection Sales'!$H$2:$H$501),""))</f>
        <v/>
      </c>
      <c r="I209" s="21" t="str">
        <f aca="true">IF(OR(A209="",D209=""),"",IF(TODAY()-D209&lt;=Settings!$B$7,"Active","Inactive"))</f>
        <v/>
      </c>
    </row>
    <row r="210" customFormat="false" ht="15" hidden="false" customHeight="false" outlineLevel="0" collapsed="false">
      <c r="A210" s="1"/>
      <c r="B210" s="22"/>
      <c r="C210" s="18" t="str">
        <f aca="false">IF(OR(A210="",COUNTIF('Injection Sales'!$B$2:$B$501,A210)+COUNTIF('Protein Sales'!$B$2:$B$501,A210)+COUNTIF('Diet Support'!$B$2:$B$501,A210)=0),"",MIN(IF(COUNTIF('Injection Sales'!$B$2:$B$501,A210),_xlfn.MINIFS('Injection Sales'!$A$2:$A$501,'Injection Sales'!$B$2:$B$501,A210),99999),IF(COUNTIF('Protein Sales'!$B$2:$B$501,A210),_xlfn.MINIFS('Protein Sales'!$A$2:$A$501,'Protein Sales'!$B$2:$B$501,A210),99999),IF(COUNTIF('Diet Support'!$B$2:$B$501,A210),_xlfn.MINIFS('Diet Support'!$A$2:$A$501,'Diet Support'!$B$2:$B$501,A210),99999)))</f>
        <v/>
      </c>
      <c r="D210" s="18" t="str">
        <f aca="false">IF(OR(A210="",COUNTIF('Injection Sales'!$B$2:$B$501,A210)+COUNTIF('Protein Sales'!$B$2:$B$501,A210)+COUNTIF('Diet Support'!$B$2:$B$501,A210)=0),"",MAX(_xlfn.MAXIFS('Injection Sales'!$A$2:$A$501,'Injection Sales'!$B$2:$B$501,A210),_xlfn.MAXIFS('Protein Sales'!$A$2:$A$501,'Protein Sales'!$B$2:$B$501,A210),_xlfn.MAXIFS('Diet Support'!$A$2:$A$501,'Diet Support'!$B$2:$B$501,A210)))</f>
        <v/>
      </c>
      <c r="E210" s="19" t="str">
        <f aca="false">IF(A210="","",COUNTIF('Injection Sales'!$B$2:$B$501,A210)+COUNTIF('Protein Sales'!$B$2:$B$501,A210)+COUNTIF('Diet Support'!$B$2:$B$501,A210))</f>
        <v/>
      </c>
      <c r="F210" s="20" t="str">
        <f aca="false">IF(A210="","",SUMIF('Injection Sales'!$B$2:$B$501,A210,'Injection Sales'!$G$2:$G$501)+SUMIF('Protein Sales'!$B$2:$B$501,A210,'Protein Sales'!$F$2:$F$501)+SUMIF('Diet Support'!$B$2:$B$501,A210,'Diet Support'!$E$2:$E$501))</f>
        <v/>
      </c>
      <c r="G210" s="21" t="str">
        <f aca="false">IF(OR(A210="",COUNTIF('Injection Sales'!$B$2:$B$501,A210)=0),"",IFERROR(LOOKUP(2,1/(('Injection Sales'!$B$2:$B$501=A210)*('Injection Sales'!$A$2:$A$501=_xlfn.MAXIFS('Injection Sales'!$A$2:$A$501,'Injection Sales'!$B$2:$B$501,A210))),'Injection Sales'!$E$2:$E$501),""))</f>
        <v/>
      </c>
      <c r="H210" s="21" t="str">
        <f aca="false">IF(OR(A210="",COUNTIF('Injection Sales'!$B$2:$B$501,A210)=0),"",IFERROR(LOOKUP(2,1/(('Injection Sales'!$B$2:$B$501=A210)*('Injection Sales'!$A$2:$A$501=_xlfn.MAXIFS('Injection Sales'!$A$2:$A$501,'Injection Sales'!$B$2:$B$501,A210))),'Injection Sales'!$H$2:$H$501),""))</f>
        <v/>
      </c>
      <c r="I210" s="21" t="str">
        <f aca="true">IF(OR(A210="",D210=""),"",IF(TODAY()-D210&lt;=Settings!$B$7,"Active","Inactive"))</f>
        <v/>
      </c>
    </row>
    <row r="211" customFormat="false" ht="15" hidden="false" customHeight="false" outlineLevel="0" collapsed="false">
      <c r="A211" s="1"/>
      <c r="B211" s="22"/>
      <c r="C211" s="18" t="str">
        <f aca="false">IF(OR(A211="",COUNTIF('Injection Sales'!$B$2:$B$501,A211)+COUNTIF('Protein Sales'!$B$2:$B$501,A211)+COUNTIF('Diet Support'!$B$2:$B$501,A211)=0),"",MIN(IF(COUNTIF('Injection Sales'!$B$2:$B$501,A211),_xlfn.MINIFS('Injection Sales'!$A$2:$A$501,'Injection Sales'!$B$2:$B$501,A211),99999),IF(COUNTIF('Protein Sales'!$B$2:$B$501,A211),_xlfn.MINIFS('Protein Sales'!$A$2:$A$501,'Protein Sales'!$B$2:$B$501,A211),99999),IF(COUNTIF('Diet Support'!$B$2:$B$501,A211),_xlfn.MINIFS('Diet Support'!$A$2:$A$501,'Diet Support'!$B$2:$B$501,A211),99999)))</f>
        <v/>
      </c>
      <c r="D211" s="18" t="str">
        <f aca="false">IF(OR(A211="",COUNTIF('Injection Sales'!$B$2:$B$501,A211)+COUNTIF('Protein Sales'!$B$2:$B$501,A211)+COUNTIF('Diet Support'!$B$2:$B$501,A211)=0),"",MAX(_xlfn.MAXIFS('Injection Sales'!$A$2:$A$501,'Injection Sales'!$B$2:$B$501,A211),_xlfn.MAXIFS('Protein Sales'!$A$2:$A$501,'Protein Sales'!$B$2:$B$501,A211),_xlfn.MAXIFS('Diet Support'!$A$2:$A$501,'Diet Support'!$B$2:$B$501,A211)))</f>
        <v/>
      </c>
      <c r="E211" s="19" t="str">
        <f aca="false">IF(A211="","",COUNTIF('Injection Sales'!$B$2:$B$501,A211)+COUNTIF('Protein Sales'!$B$2:$B$501,A211)+COUNTIF('Diet Support'!$B$2:$B$501,A211))</f>
        <v/>
      </c>
      <c r="F211" s="20" t="str">
        <f aca="false">IF(A211="","",SUMIF('Injection Sales'!$B$2:$B$501,A211,'Injection Sales'!$G$2:$G$501)+SUMIF('Protein Sales'!$B$2:$B$501,A211,'Protein Sales'!$F$2:$F$501)+SUMIF('Diet Support'!$B$2:$B$501,A211,'Diet Support'!$E$2:$E$501))</f>
        <v/>
      </c>
      <c r="G211" s="21" t="str">
        <f aca="false">IF(OR(A211="",COUNTIF('Injection Sales'!$B$2:$B$501,A211)=0),"",IFERROR(LOOKUP(2,1/(('Injection Sales'!$B$2:$B$501=A211)*('Injection Sales'!$A$2:$A$501=_xlfn.MAXIFS('Injection Sales'!$A$2:$A$501,'Injection Sales'!$B$2:$B$501,A211))),'Injection Sales'!$E$2:$E$501),""))</f>
        <v/>
      </c>
      <c r="H211" s="21" t="str">
        <f aca="false">IF(OR(A211="",COUNTIF('Injection Sales'!$B$2:$B$501,A211)=0),"",IFERROR(LOOKUP(2,1/(('Injection Sales'!$B$2:$B$501=A211)*('Injection Sales'!$A$2:$A$501=_xlfn.MAXIFS('Injection Sales'!$A$2:$A$501,'Injection Sales'!$B$2:$B$501,A211))),'Injection Sales'!$H$2:$H$501),""))</f>
        <v/>
      </c>
      <c r="I211" s="21" t="str">
        <f aca="true">IF(OR(A211="",D211=""),"",IF(TODAY()-D211&lt;=Settings!$B$7,"Active","Inactive"))</f>
        <v/>
      </c>
    </row>
    <row r="212" customFormat="false" ht="15" hidden="false" customHeight="false" outlineLevel="0" collapsed="false">
      <c r="A212" s="1"/>
      <c r="B212" s="22"/>
      <c r="C212" s="18" t="str">
        <f aca="false">IF(OR(A212="",COUNTIF('Injection Sales'!$B$2:$B$501,A212)+COUNTIF('Protein Sales'!$B$2:$B$501,A212)+COUNTIF('Diet Support'!$B$2:$B$501,A212)=0),"",MIN(IF(COUNTIF('Injection Sales'!$B$2:$B$501,A212),_xlfn.MINIFS('Injection Sales'!$A$2:$A$501,'Injection Sales'!$B$2:$B$501,A212),99999),IF(COUNTIF('Protein Sales'!$B$2:$B$501,A212),_xlfn.MINIFS('Protein Sales'!$A$2:$A$501,'Protein Sales'!$B$2:$B$501,A212),99999),IF(COUNTIF('Diet Support'!$B$2:$B$501,A212),_xlfn.MINIFS('Diet Support'!$A$2:$A$501,'Diet Support'!$B$2:$B$501,A212),99999)))</f>
        <v/>
      </c>
      <c r="D212" s="18" t="str">
        <f aca="false">IF(OR(A212="",COUNTIF('Injection Sales'!$B$2:$B$501,A212)+COUNTIF('Protein Sales'!$B$2:$B$501,A212)+COUNTIF('Diet Support'!$B$2:$B$501,A212)=0),"",MAX(_xlfn.MAXIFS('Injection Sales'!$A$2:$A$501,'Injection Sales'!$B$2:$B$501,A212),_xlfn.MAXIFS('Protein Sales'!$A$2:$A$501,'Protein Sales'!$B$2:$B$501,A212),_xlfn.MAXIFS('Diet Support'!$A$2:$A$501,'Diet Support'!$B$2:$B$501,A212)))</f>
        <v/>
      </c>
      <c r="E212" s="19" t="str">
        <f aca="false">IF(A212="","",COUNTIF('Injection Sales'!$B$2:$B$501,A212)+COUNTIF('Protein Sales'!$B$2:$B$501,A212)+COUNTIF('Diet Support'!$B$2:$B$501,A212))</f>
        <v/>
      </c>
      <c r="F212" s="20" t="str">
        <f aca="false">IF(A212="","",SUMIF('Injection Sales'!$B$2:$B$501,A212,'Injection Sales'!$G$2:$G$501)+SUMIF('Protein Sales'!$B$2:$B$501,A212,'Protein Sales'!$F$2:$F$501)+SUMIF('Diet Support'!$B$2:$B$501,A212,'Diet Support'!$E$2:$E$501))</f>
        <v/>
      </c>
      <c r="G212" s="21" t="str">
        <f aca="false">IF(OR(A212="",COUNTIF('Injection Sales'!$B$2:$B$501,A212)=0),"",IFERROR(LOOKUP(2,1/(('Injection Sales'!$B$2:$B$501=A212)*('Injection Sales'!$A$2:$A$501=_xlfn.MAXIFS('Injection Sales'!$A$2:$A$501,'Injection Sales'!$B$2:$B$501,A212))),'Injection Sales'!$E$2:$E$501),""))</f>
        <v/>
      </c>
      <c r="H212" s="21" t="str">
        <f aca="false">IF(OR(A212="",COUNTIF('Injection Sales'!$B$2:$B$501,A212)=0),"",IFERROR(LOOKUP(2,1/(('Injection Sales'!$B$2:$B$501=A212)*('Injection Sales'!$A$2:$A$501=_xlfn.MAXIFS('Injection Sales'!$A$2:$A$501,'Injection Sales'!$B$2:$B$501,A212))),'Injection Sales'!$H$2:$H$501),""))</f>
        <v/>
      </c>
      <c r="I212" s="21" t="str">
        <f aca="true">IF(OR(A212="",D212=""),"",IF(TODAY()-D212&lt;=Settings!$B$7,"Active","Inactive"))</f>
        <v/>
      </c>
    </row>
    <row r="213" customFormat="false" ht="15" hidden="false" customHeight="false" outlineLevel="0" collapsed="false">
      <c r="A213" s="1"/>
      <c r="B213" s="22"/>
      <c r="C213" s="18" t="str">
        <f aca="false">IF(OR(A213="",COUNTIF('Injection Sales'!$B$2:$B$501,A213)+COUNTIF('Protein Sales'!$B$2:$B$501,A213)+COUNTIF('Diet Support'!$B$2:$B$501,A213)=0),"",MIN(IF(COUNTIF('Injection Sales'!$B$2:$B$501,A213),_xlfn.MINIFS('Injection Sales'!$A$2:$A$501,'Injection Sales'!$B$2:$B$501,A213),99999),IF(COUNTIF('Protein Sales'!$B$2:$B$501,A213),_xlfn.MINIFS('Protein Sales'!$A$2:$A$501,'Protein Sales'!$B$2:$B$501,A213),99999),IF(COUNTIF('Diet Support'!$B$2:$B$501,A213),_xlfn.MINIFS('Diet Support'!$A$2:$A$501,'Diet Support'!$B$2:$B$501,A213),99999)))</f>
        <v/>
      </c>
      <c r="D213" s="18" t="str">
        <f aca="false">IF(OR(A213="",COUNTIF('Injection Sales'!$B$2:$B$501,A213)+COUNTIF('Protein Sales'!$B$2:$B$501,A213)+COUNTIF('Diet Support'!$B$2:$B$501,A213)=0),"",MAX(_xlfn.MAXIFS('Injection Sales'!$A$2:$A$501,'Injection Sales'!$B$2:$B$501,A213),_xlfn.MAXIFS('Protein Sales'!$A$2:$A$501,'Protein Sales'!$B$2:$B$501,A213),_xlfn.MAXIFS('Diet Support'!$A$2:$A$501,'Diet Support'!$B$2:$B$501,A213)))</f>
        <v/>
      </c>
      <c r="E213" s="19" t="str">
        <f aca="false">IF(A213="","",COUNTIF('Injection Sales'!$B$2:$B$501,A213)+COUNTIF('Protein Sales'!$B$2:$B$501,A213)+COUNTIF('Diet Support'!$B$2:$B$501,A213))</f>
        <v/>
      </c>
      <c r="F213" s="20" t="str">
        <f aca="false">IF(A213="","",SUMIF('Injection Sales'!$B$2:$B$501,A213,'Injection Sales'!$G$2:$G$501)+SUMIF('Protein Sales'!$B$2:$B$501,A213,'Protein Sales'!$F$2:$F$501)+SUMIF('Diet Support'!$B$2:$B$501,A213,'Diet Support'!$E$2:$E$501))</f>
        <v/>
      </c>
      <c r="G213" s="21" t="str">
        <f aca="false">IF(OR(A213="",COUNTIF('Injection Sales'!$B$2:$B$501,A213)=0),"",IFERROR(LOOKUP(2,1/(('Injection Sales'!$B$2:$B$501=A213)*('Injection Sales'!$A$2:$A$501=_xlfn.MAXIFS('Injection Sales'!$A$2:$A$501,'Injection Sales'!$B$2:$B$501,A213))),'Injection Sales'!$E$2:$E$501),""))</f>
        <v/>
      </c>
      <c r="H213" s="21" t="str">
        <f aca="false">IF(OR(A213="",COUNTIF('Injection Sales'!$B$2:$B$501,A213)=0),"",IFERROR(LOOKUP(2,1/(('Injection Sales'!$B$2:$B$501=A213)*('Injection Sales'!$A$2:$A$501=_xlfn.MAXIFS('Injection Sales'!$A$2:$A$501,'Injection Sales'!$B$2:$B$501,A213))),'Injection Sales'!$H$2:$H$501),""))</f>
        <v/>
      </c>
      <c r="I213" s="21" t="str">
        <f aca="true">IF(OR(A213="",D213=""),"",IF(TODAY()-D213&lt;=Settings!$B$7,"Active","Inactive"))</f>
        <v/>
      </c>
    </row>
    <row r="214" customFormat="false" ht="15" hidden="false" customHeight="false" outlineLevel="0" collapsed="false">
      <c r="A214" s="1"/>
      <c r="B214" s="22"/>
      <c r="C214" s="18" t="str">
        <f aca="false">IF(OR(A214="",COUNTIF('Injection Sales'!$B$2:$B$501,A214)+COUNTIF('Protein Sales'!$B$2:$B$501,A214)+COUNTIF('Diet Support'!$B$2:$B$501,A214)=0),"",MIN(IF(COUNTIF('Injection Sales'!$B$2:$B$501,A214),_xlfn.MINIFS('Injection Sales'!$A$2:$A$501,'Injection Sales'!$B$2:$B$501,A214),99999),IF(COUNTIF('Protein Sales'!$B$2:$B$501,A214),_xlfn.MINIFS('Protein Sales'!$A$2:$A$501,'Protein Sales'!$B$2:$B$501,A214),99999),IF(COUNTIF('Diet Support'!$B$2:$B$501,A214),_xlfn.MINIFS('Diet Support'!$A$2:$A$501,'Diet Support'!$B$2:$B$501,A214),99999)))</f>
        <v/>
      </c>
      <c r="D214" s="18" t="str">
        <f aca="false">IF(OR(A214="",COUNTIF('Injection Sales'!$B$2:$B$501,A214)+COUNTIF('Protein Sales'!$B$2:$B$501,A214)+COUNTIF('Diet Support'!$B$2:$B$501,A214)=0),"",MAX(_xlfn.MAXIFS('Injection Sales'!$A$2:$A$501,'Injection Sales'!$B$2:$B$501,A214),_xlfn.MAXIFS('Protein Sales'!$A$2:$A$501,'Protein Sales'!$B$2:$B$501,A214),_xlfn.MAXIFS('Diet Support'!$A$2:$A$501,'Diet Support'!$B$2:$B$501,A214)))</f>
        <v/>
      </c>
      <c r="E214" s="19" t="str">
        <f aca="false">IF(A214="","",COUNTIF('Injection Sales'!$B$2:$B$501,A214)+COUNTIF('Protein Sales'!$B$2:$B$501,A214)+COUNTIF('Diet Support'!$B$2:$B$501,A214))</f>
        <v/>
      </c>
      <c r="F214" s="20" t="str">
        <f aca="false">IF(A214="","",SUMIF('Injection Sales'!$B$2:$B$501,A214,'Injection Sales'!$G$2:$G$501)+SUMIF('Protein Sales'!$B$2:$B$501,A214,'Protein Sales'!$F$2:$F$501)+SUMIF('Diet Support'!$B$2:$B$501,A214,'Diet Support'!$E$2:$E$501))</f>
        <v/>
      </c>
      <c r="G214" s="21" t="str">
        <f aca="false">IF(OR(A214="",COUNTIF('Injection Sales'!$B$2:$B$501,A214)=0),"",IFERROR(LOOKUP(2,1/(('Injection Sales'!$B$2:$B$501=A214)*('Injection Sales'!$A$2:$A$501=_xlfn.MAXIFS('Injection Sales'!$A$2:$A$501,'Injection Sales'!$B$2:$B$501,A214))),'Injection Sales'!$E$2:$E$501),""))</f>
        <v/>
      </c>
      <c r="H214" s="21" t="str">
        <f aca="false">IF(OR(A214="",COUNTIF('Injection Sales'!$B$2:$B$501,A214)=0),"",IFERROR(LOOKUP(2,1/(('Injection Sales'!$B$2:$B$501=A214)*('Injection Sales'!$A$2:$A$501=_xlfn.MAXIFS('Injection Sales'!$A$2:$A$501,'Injection Sales'!$B$2:$B$501,A214))),'Injection Sales'!$H$2:$H$501),""))</f>
        <v/>
      </c>
      <c r="I214" s="21" t="str">
        <f aca="true">IF(OR(A214="",D214=""),"",IF(TODAY()-D214&lt;=Settings!$B$7,"Active","Inactive"))</f>
        <v/>
      </c>
    </row>
    <row r="215" customFormat="false" ht="15" hidden="false" customHeight="false" outlineLevel="0" collapsed="false">
      <c r="A215" s="1"/>
      <c r="B215" s="22"/>
      <c r="C215" s="18" t="str">
        <f aca="false">IF(OR(A215="",COUNTIF('Injection Sales'!$B$2:$B$501,A215)+COUNTIF('Protein Sales'!$B$2:$B$501,A215)+COUNTIF('Diet Support'!$B$2:$B$501,A215)=0),"",MIN(IF(COUNTIF('Injection Sales'!$B$2:$B$501,A215),_xlfn.MINIFS('Injection Sales'!$A$2:$A$501,'Injection Sales'!$B$2:$B$501,A215),99999),IF(COUNTIF('Protein Sales'!$B$2:$B$501,A215),_xlfn.MINIFS('Protein Sales'!$A$2:$A$501,'Protein Sales'!$B$2:$B$501,A215),99999),IF(COUNTIF('Diet Support'!$B$2:$B$501,A215),_xlfn.MINIFS('Diet Support'!$A$2:$A$501,'Diet Support'!$B$2:$B$501,A215),99999)))</f>
        <v/>
      </c>
      <c r="D215" s="18" t="str">
        <f aca="false">IF(OR(A215="",COUNTIF('Injection Sales'!$B$2:$B$501,A215)+COUNTIF('Protein Sales'!$B$2:$B$501,A215)+COUNTIF('Diet Support'!$B$2:$B$501,A215)=0),"",MAX(_xlfn.MAXIFS('Injection Sales'!$A$2:$A$501,'Injection Sales'!$B$2:$B$501,A215),_xlfn.MAXIFS('Protein Sales'!$A$2:$A$501,'Protein Sales'!$B$2:$B$501,A215),_xlfn.MAXIFS('Diet Support'!$A$2:$A$501,'Diet Support'!$B$2:$B$501,A215)))</f>
        <v/>
      </c>
      <c r="E215" s="19" t="str">
        <f aca="false">IF(A215="","",COUNTIF('Injection Sales'!$B$2:$B$501,A215)+COUNTIF('Protein Sales'!$B$2:$B$501,A215)+COUNTIF('Diet Support'!$B$2:$B$501,A215))</f>
        <v/>
      </c>
      <c r="F215" s="20" t="str">
        <f aca="false">IF(A215="","",SUMIF('Injection Sales'!$B$2:$B$501,A215,'Injection Sales'!$G$2:$G$501)+SUMIF('Protein Sales'!$B$2:$B$501,A215,'Protein Sales'!$F$2:$F$501)+SUMIF('Diet Support'!$B$2:$B$501,A215,'Diet Support'!$E$2:$E$501))</f>
        <v/>
      </c>
      <c r="G215" s="21" t="str">
        <f aca="false">IF(OR(A215="",COUNTIF('Injection Sales'!$B$2:$B$501,A215)=0),"",IFERROR(LOOKUP(2,1/(('Injection Sales'!$B$2:$B$501=A215)*('Injection Sales'!$A$2:$A$501=_xlfn.MAXIFS('Injection Sales'!$A$2:$A$501,'Injection Sales'!$B$2:$B$501,A215))),'Injection Sales'!$E$2:$E$501),""))</f>
        <v/>
      </c>
      <c r="H215" s="21" t="str">
        <f aca="false">IF(OR(A215="",COUNTIF('Injection Sales'!$B$2:$B$501,A215)=0),"",IFERROR(LOOKUP(2,1/(('Injection Sales'!$B$2:$B$501=A215)*('Injection Sales'!$A$2:$A$501=_xlfn.MAXIFS('Injection Sales'!$A$2:$A$501,'Injection Sales'!$B$2:$B$501,A215))),'Injection Sales'!$H$2:$H$501),""))</f>
        <v/>
      </c>
      <c r="I215" s="21" t="str">
        <f aca="true">IF(OR(A215="",D215=""),"",IF(TODAY()-D215&lt;=Settings!$B$7,"Active","Inactive"))</f>
        <v/>
      </c>
    </row>
    <row r="216" customFormat="false" ht="15" hidden="false" customHeight="false" outlineLevel="0" collapsed="false">
      <c r="A216" s="1"/>
      <c r="B216" s="22"/>
      <c r="C216" s="18" t="str">
        <f aca="false">IF(OR(A216="",COUNTIF('Injection Sales'!$B$2:$B$501,A216)+COUNTIF('Protein Sales'!$B$2:$B$501,A216)+COUNTIF('Diet Support'!$B$2:$B$501,A216)=0),"",MIN(IF(COUNTIF('Injection Sales'!$B$2:$B$501,A216),_xlfn.MINIFS('Injection Sales'!$A$2:$A$501,'Injection Sales'!$B$2:$B$501,A216),99999),IF(COUNTIF('Protein Sales'!$B$2:$B$501,A216),_xlfn.MINIFS('Protein Sales'!$A$2:$A$501,'Protein Sales'!$B$2:$B$501,A216),99999),IF(COUNTIF('Diet Support'!$B$2:$B$501,A216),_xlfn.MINIFS('Diet Support'!$A$2:$A$501,'Diet Support'!$B$2:$B$501,A216),99999)))</f>
        <v/>
      </c>
      <c r="D216" s="18" t="str">
        <f aca="false">IF(OR(A216="",COUNTIF('Injection Sales'!$B$2:$B$501,A216)+COUNTIF('Protein Sales'!$B$2:$B$501,A216)+COUNTIF('Diet Support'!$B$2:$B$501,A216)=0),"",MAX(_xlfn.MAXIFS('Injection Sales'!$A$2:$A$501,'Injection Sales'!$B$2:$B$501,A216),_xlfn.MAXIFS('Protein Sales'!$A$2:$A$501,'Protein Sales'!$B$2:$B$501,A216),_xlfn.MAXIFS('Diet Support'!$A$2:$A$501,'Diet Support'!$B$2:$B$501,A216)))</f>
        <v/>
      </c>
      <c r="E216" s="19" t="str">
        <f aca="false">IF(A216="","",COUNTIF('Injection Sales'!$B$2:$B$501,A216)+COUNTIF('Protein Sales'!$B$2:$B$501,A216)+COUNTIF('Diet Support'!$B$2:$B$501,A216))</f>
        <v/>
      </c>
      <c r="F216" s="20" t="str">
        <f aca="false">IF(A216="","",SUMIF('Injection Sales'!$B$2:$B$501,A216,'Injection Sales'!$G$2:$G$501)+SUMIF('Protein Sales'!$B$2:$B$501,A216,'Protein Sales'!$F$2:$F$501)+SUMIF('Diet Support'!$B$2:$B$501,A216,'Diet Support'!$E$2:$E$501))</f>
        <v/>
      </c>
      <c r="G216" s="21" t="str">
        <f aca="false">IF(OR(A216="",COUNTIF('Injection Sales'!$B$2:$B$501,A216)=0),"",IFERROR(LOOKUP(2,1/(('Injection Sales'!$B$2:$B$501=A216)*('Injection Sales'!$A$2:$A$501=_xlfn.MAXIFS('Injection Sales'!$A$2:$A$501,'Injection Sales'!$B$2:$B$501,A216))),'Injection Sales'!$E$2:$E$501),""))</f>
        <v/>
      </c>
      <c r="H216" s="21" t="str">
        <f aca="false">IF(OR(A216="",COUNTIF('Injection Sales'!$B$2:$B$501,A216)=0),"",IFERROR(LOOKUP(2,1/(('Injection Sales'!$B$2:$B$501=A216)*('Injection Sales'!$A$2:$A$501=_xlfn.MAXIFS('Injection Sales'!$A$2:$A$501,'Injection Sales'!$B$2:$B$501,A216))),'Injection Sales'!$H$2:$H$501),""))</f>
        <v/>
      </c>
      <c r="I216" s="21" t="str">
        <f aca="true">IF(OR(A216="",D216=""),"",IF(TODAY()-D216&lt;=Settings!$B$7,"Active","Inactive"))</f>
        <v/>
      </c>
    </row>
    <row r="217" customFormat="false" ht="15" hidden="false" customHeight="false" outlineLevel="0" collapsed="false">
      <c r="A217" s="1"/>
      <c r="B217" s="22"/>
      <c r="C217" s="18" t="str">
        <f aca="false">IF(OR(A217="",COUNTIF('Injection Sales'!$B$2:$B$501,A217)+COUNTIF('Protein Sales'!$B$2:$B$501,A217)+COUNTIF('Diet Support'!$B$2:$B$501,A217)=0),"",MIN(IF(COUNTIF('Injection Sales'!$B$2:$B$501,A217),_xlfn.MINIFS('Injection Sales'!$A$2:$A$501,'Injection Sales'!$B$2:$B$501,A217),99999),IF(COUNTIF('Protein Sales'!$B$2:$B$501,A217),_xlfn.MINIFS('Protein Sales'!$A$2:$A$501,'Protein Sales'!$B$2:$B$501,A217),99999),IF(COUNTIF('Diet Support'!$B$2:$B$501,A217),_xlfn.MINIFS('Diet Support'!$A$2:$A$501,'Diet Support'!$B$2:$B$501,A217),99999)))</f>
        <v/>
      </c>
      <c r="D217" s="18" t="str">
        <f aca="false">IF(OR(A217="",COUNTIF('Injection Sales'!$B$2:$B$501,A217)+COUNTIF('Protein Sales'!$B$2:$B$501,A217)+COUNTIF('Diet Support'!$B$2:$B$501,A217)=0),"",MAX(_xlfn.MAXIFS('Injection Sales'!$A$2:$A$501,'Injection Sales'!$B$2:$B$501,A217),_xlfn.MAXIFS('Protein Sales'!$A$2:$A$501,'Protein Sales'!$B$2:$B$501,A217),_xlfn.MAXIFS('Diet Support'!$A$2:$A$501,'Diet Support'!$B$2:$B$501,A217)))</f>
        <v/>
      </c>
      <c r="E217" s="19" t="str">
        <f aca="false">IF(A217="","",COUNTIF('Injection Sales'!$B$2:$B$501,A217)+COUNTIF('Protein Sales'!$B$2:$B$501,A217)+COUNTIF('Diet Support'!$B$2:$B$501,A217))</f>
        <v/>
      </c>
      <c r="F217" s="20" t="str">
        <f aca="false">IF(A217="","",SUMIF('Injection Sales'!$B$2:$B$501,A217,'Injection Sales'!$G$2:$G$501)+SUMIF('Protein Sales'!$B$2:$B$501,A217,'Protein Sales'!$F$2:$F$501)+SUMIF('Diet Support'!$B$2:$B$501,A217,'Diet Support'!$E$2:$E$501))</f>
        <v/>
      </c>
      <c r="G217" s="21" t="str">
        <f aca="false">IF(OR(A217="",COUNTIF('Injection Sales'!$B$2:$B$501,A217)=0),"",IFERROR(LOOKUP(2,1/(('Injection Sales'!$B$2:$B$501=A217)*('Injection Sales'!$A$2:$A$501=_xlfn.MAXIFS('Injection Sales'!$A$2:$A$501,'Injection Sales'!$B$2:$B$501,A217))),'Injection Sales'!$E$2:$E$501),""))</f>
        <v/>
      </c>
      <c r="H217" s="21" t="str">
        <f aca="false">IF(OR(A217="",COUNTIF('Injection Sales'!$B$2:$B$501,A217)=0),"",IFERROR(LOOKUP(2,1/(('Injection Sales'!$B$2:$B$501=A217)*('Injection Sales'!$A$2:$A$501=_xlfn.MAXIFS('Injection Sales'!$A$2:$A$501,'Injection Sales'!$B$2:$B$501,A217))),'Injection Sales'!$H$2:$H$501),""))</f>
        <v/>
      </c>
      <c r="I217" s="21" t="str">
        <f aca="true">IF(OR(A217="",D217=""),"",IF(TODAY()-D217&lt;=Settings!$B$7,"Active","Inactive"))</f>
        <v/>
      </c>
    </row>
    <row r="218" customFormat="false" ht="15" hidden="false" customHeight="false" outlineLevel="0" collapsed="false">
      <c r="A218" s="1"/>
      <c r="B218" s="22"/>
      <c r="C218" s="18" t="str">
        <f aca="false">IF(OR(A218="",COUNTIF('Injection Sales'!$B$2:$B$501,A218)+COUNTIF('Protein Sales'!$B$2:$B$501,A218)+COUNTIF('Diet Support'!$B$2:$B$501,A218)=0),"",MIN(IF(COUNTIF('Injection Sales'!$B$2:$B$501,A218),_xlfn.MINIFS('Injection Sales'!$A$2:$A$501,'Injection Sales'!$B$2:$B$501,A218),99999),IF(COUNTIF('Protein Sales'!$B$2:$B$501,A218),_xlfn.MINIFS('Protein Sales'!$A$2:$A$501,'Protein Sales'!$B$2:$B$501,A218),99999),IF(COUNTIF('Diet Support'!$B$2:$B$501,A218),_xlfn.MINIFS('Diet Support'!$A$2:$A$501,'Diet Support'!$B$2:$B$501,A218),99999)))</f>
        <v/>
      </c>
      <c r="D218" s="18" t="str">
        <f aca="false">IF(OR(A218="",COUNTIF('Injection Sales'!$B$2:$B$501,A218)+COUNTIF('Protein Sales'!$B$2:$B$501,A218)+COUNTIF('Diet Support'!$B$2:$B$501,A218)=0),"",MAX(_xlfn.MAXIFS('Injection Sales'!$A$2:$A$501,'Injection Sales'!$B$2:$B$501,A218),_xlfn.MAXIFS('Protein Sales'!$A$2:$A$501,'Protein Sales'!$B$2:$B$501,A218),_xlfn.MAXIFS('Diet Support'!$A$2:$A$501,'Diet Support'!$B$2:$B$501,A218)))</f>
        <v/>
      </c>
      <c r="E218" s="19" t="str">
        <f aca="false">IF(A218="","",COUNTIF('Injection Sales'!$B$2:$B$501,A218)+COUNTIF('Protein Sales'!$B$2:$B$501,A218)+COUNTIF('Diet Support'!$B$2:$B$501,A218))</f>
        <v/>
      </c>
      <c r="F218" s="20" t="str">
        <f aca="false">IF(A218="","",SUMIF('Injection Sales'!$B$2:$B$501,A218,'Injection Sales'!$G$2:$G$501)+SUMIF('Protein Sales'!$B$2:$B$501,A218,'Protein Sales'!$F$2:$F$501)+SUMIF('Diet Support'!$B$2:$B$501,A218,'Diet Support'!$E$2:$E$501))</f>
        <v/>
      </c>
      <c r="G218" s="21" t="str">
        <f aca="false">IF(OR(A218="",COUNTIF('Injection Sales'!$B$2:$B$501,A218)=0),"",IFERROR(LOOKUP(2,1/(('Injection Sales'!$B$2:$B$501=A218)*('Injection Sales'!$A$2:$A$501=_xlfn.MAXIFS('Injection Sales'!$A$2:$A$501,'Injection Sales'!$B$2:$B$501,A218))),'Injection Sales'!$E$2:$E$501),""))</f>
        <v/>
      </c>
      <c r="H218" s="21" t="str">
        <f aca="false">IF(OR(A218="",COUNTIF('Injection Sales'!$B$2:$B$501,A218)=0),"",IFERROR(LOOKUP(2,1/(('Injection Sales'!$B$2:$B$501=A218)*('Injection Sales'!$A$2:$A$501=_xlfn.MAXIFS('Injection Sales'!$A$2:$A$501,'Injection Sales'!$B$2:$B$501,A218))),'Injection Sales'!$H$2:$H$501),""))</f>
        <v/>
      </c>
      <c r="I218" s="21" t="str">
        <f aca="true">IF(OR(A218="",D218=""),"",IF(TODAY()-D218&lt;=Settings!$B$7,"Active","Inactive"))</f>
        <v/>
      </c>
    </row>
    <row r="219" customFormat="false" ht="15" hidden="false" customHeight="false" outlineLevel="0" collapsed="false">
      <c r="A219" s="1"/>
      <c r="B219" s="22"/>
      <c r="C219" s="18" t="str">
        <f aca="false">IF(OR(A219="",COUNTIF('Injection Sales'!$B$2:$B$501,A219)+COUNTIF('Protein Sales'!$B$2:$B$501,A219)+COUNTIF('Diet Support'!$B$2:$B$501,A219)=0),"",MIN(IF(COUNTIF('Injection Sales'!$B$2:$B$501,A219),_xlfn.MINIFS('Injection Sales'!$A$2:$A$501,'Injection Sales'!$B$2:$B$501,A219),99999),IF(COUNTIF('Protein Sales'!$B$2:$B$501,A219),_xlfn.MINIFS('Protein Sales'!$A$2:$A$501,'Protein Sales'!$B$2:$B$501,A219),99999),IF(COUNTIF('Diet Support'!$B$2:$B$501,A219),_xlfn.MINIFS('Diet Support'!$A$2:$A$501,'Diet Support'!$B$2:$B$501,A219),99999)))</f>
        <v/>
      </c>
      <c r="D219" s="18" t="str">
        <f aca="false">IF(OR(A219="",COUNTIF('Injection Sales'!$B$2:$B$501,A219)+COUNTIF('Protein Sales'!$B$2:$B$501,A219)+COUNTIF('Diet Support'!$B$2:$B$501,A219)=0),"",MAX(_xlfn.MAXIFS('Injection Sales'!$A$2:$A$501,'Injection Sales'!$B$2:$B$501,A219),_xlfn.MAXIFS('Protein Sales'!$A$2:$A$501,'Protein Sales'!$B$2:$B$501,A219),_xlfn.MAXIFS('Diet Support'!$A$2:$A$501,'Diet Support'!$B$2:$B$501,A219)))</f>
        <v/>
      </c>
      <c r="E219" s="19" t="str">
        <f aca="false">IF(A219="","",COUNTIF('Injection Sales'!$B$2:$B$501,A219)+COUNTIF('Protein Sales'!$B$2:$B$501,A219)+COUNTIF('Diet Support'!$B$2:$B$501,A219))</f>
        <v/>
      </c>
      <c r="F219" s="20" t="str">
        <f aca="false">IF(A219="","",SUMIF('Injection Sales'!$B$2:$B$501,A219,'Injection Sales'!$G$2:$G$501)+SUMIF('Protein Sales'!$B$2:$B$501,A219,'Protein Sales'!$F$2:$F$501)+SUMIF('Diet Support'!$B$2:$B$501,A219,'Diet Support'!$E$2:$E$501))</f>
        <v/>
      </c>
      <c r="G219" s="21" t="str">
        <f aca="false">IF(OR(A219="",COUNTIF('Injection Sales'!$B$2:$B$501,A219)=0),"",IFERROR(LOOKUP(2,1/(('Injection Sales'!$B$2:$B$501=A219)*('Injection Sales'!$A$2:$A$501=_xlfn.MAXIFS('Injection Sales'!$A$2:$A$501,'Injection Sales'!$B$2:$B$501,A219))),'Injection Sales'!$E$2:$E$501),""))</f>
        <v/>
      </c>
      <c r="H219" s="21" t="str">
        <f aca="false">IF(OR(A219="",COUNTIF('Injection Sales'!$B$2:$B$501,A219)=0),"",IFERROR(LOOKUP(2,1/(('Injection Sales'!$B$2:$B$501=A219)*('Injection Sales'!$A$2:$A$501=_xlfn.MAXIFS('Injection Sales'!$A$2:$A$501,'Injection Sales'!$B$2:$B$501,A219))),'Injection Sales'!$H$2:$H$501),""))</f>
        <v/>
      </c>
      <c r="I219" s="21" t="str">
        <f aca="true">IF(OR(A219="",D219=""),"",IF(TODAY()-D219&lt;=Settings!$B$7,"Active","Inactive"))</f>
        <v/>
      </c>
    </row>
    <row r="220" customFormat="false" ht="15" hidden="false" customHeight="false" outlineLevel="0" collapsed="false">
      <c r="A220" s="1"/>
      <c r="B220" s="22"/>
      <c r="C220" s="18" t="str">
        <f aca="false">IF(OR(A220="",COUNTIF('Injection Sales'!$B$2:$B$501,A220)+COUNTIF('Protein Sales'!$B$2:$B$501,A220)+COUNTIF('Diet Support'!$B$2:$B$501,A220)=0),"",MIN(IF(COUNTIF('Injection Sales'!$B$2:$B$501,A220),_xlfn.MINIFS('Injection Sales'!$A$2:$A$501,'Injection Sales'!$B$2:$B$501,A220),99999),IF(COUNTIF('Protein Sales'!$B$2:$B$501,A220),_xlfn.MINIFS('Protein Sales'!$A$2:$A$501,'Protein Sales'!$B$2:$B$501,A220),99999),IF(COUNTIF('Diet Support'!$B$2:$B$501,A220),_xlfn.MINIFS('Diet Support'!$A$2:$A$501,'Diet Support'!$B$2:$B$501,A220),99999)))</f>
        <v/>
      </c>
      <c r="D220" s="18" t="str">
        <f aca="false">IF(OR(A220="",COUNTIF('Injection Sales'!$B$2:$B$501,A220)+COUNTIF('Protein Sales'!$B$2:$B$501,A220)+COUNTIF('Diet Support'!$B$2:$B$501,A220)=0),"",MAX(_xlfn.MAXIFS('Injection Sales'!$A$2:$A$501,'Injection Sales'!$B$2:$B$501,A220),_xlfn.MAXIFS('Protein Sales'!$A$2:$A$501,'Protein Sales'!$B$2:$B$501,A220),_xlfn.MAXIFS('Diet Support'!$A$2:$A$501,'Diet Support'!$B$2:$B$501,A220)))</f>
        <v/>
      </c>
      <c r="E220" s="19" t="str">
        <f aca="false">IF(A220="","",COUNTIF('Injection Sales'!$B$2:$B$501,A220)+COUNTIF('Protein Sales'!$B$2:$B$501,A220)+COUNTIF('Diet Support'!$B$2:$B$501,A220))</f>
        <v/>
      </c>
      <c r="F220" s="20" t="str">
        <f aca="false">IF(A220="","",SUMIF('Injection Sales'!$B$2:$B$501,A220,'Injection Sales'!$G$2:$G$501)+SUMIF('Protein Sales'!$B$2:$B$501,A220,'Protein Sales'!$F$2:$F$501)+SUMIF('Diet Support'!$B$2:$B$501,A220,'Diet Support'!$E$2:$E$501))</f>
        <v/>
      </c>
      <c r="G220" s="21" t="str">
        <f aca="false">IF(OR(A220="",COUNTIF('Injection Sales'!$B$2:$B$501,A220)=0),"",IFERROR(LOOKUP(2,1/(('Injection Sales'!$B$2:$B$501=A220)*('Injection Sales'!$A$2:$A$501=_xlfn.MAXIFS('Injection Sales'!$A$2:$A$501,'Injection Sales'!$B$2:$B$501,A220))),'Injection Sales'!$E$2:$E$501),""))</f>
        <v/>
      </c>
      <c r="H220" s="21" t="str">
        <f aca="false">IF(OR(A220="",COUNTIF('Injection Sales'!$B$2:$B$501,A220)=0),"",IFERROR(LOOKUP(2,1/(('Injection Sales'!$B$2:$B$501=A220)*('Injection Sales'!$A$2:$A$501=_xlfn.MAXIFS('Injection Sales'!$A$2:$A$501,'Injection Sales'!$B$2:$B$501,A220))),'Injection Sales'!$H$2:$H$501),""))</f>
        <v/>
      </c>
      <c r="I220" s="21" t="str">
        <f aca="true">IF(OR(A220="",D220=""),"",IF(TODAY()-D220&lt;=Settings!$B$7,"Active","Inactive"))</f>
        <v/>
      </c>
    </row>
    <row r="221" customFormat="false" ht="15" hidden="false" customHeight="false" outlineLevel="0" collapsed="false">
      <c r="A221" s="1"/>
      <c r="B221" s="22"/>
      <c r="C221" s="18" t="str">
        <f aca="false">IF(OR(A221="",COUNTIF('Injection Sales'!$B$2:$B$501,A221)+COUNTIF('Protein Sales'!$B$2:$B$501,A221)+COUNTIF('Diet Support'!$B$2:$B$501,A221)=0),"",MIN(IF(COUNTIF('Injection Sales'!$B$2:$B$501,A221),_xlfn.MINIFS('Injection Sales'!$A$2:$A$501,'Injection Sales'!$B$2:$B$501,A221),99999),IF(COUNTIF('Protein Sales'!$B$2:$B$501,A221),_xlfn.MINIFS('Protein Sales'!$A$2:$A$501,'Protein Sales'!$B$2:$B$501,A221),99999),IF(COUNTIF('Diet Support'!$B$2:$B$501,A221),_xlfn.MINIFS('Diet Support'!$A$2:$A$501,'Diet Support'!$B$2:$B$501,A221),99999)))</f>
        <v/>
      </c>
      <c r="D221" s="18" t="str">
        <f aca="false">IF(OR(A221="",COUNTIF('Injection Sales'!$B$2:$B$501,A221)+COUNTIF('Protein Sales'!$B$2:$B$501,A221)+COUNTIF('Diet Support'!$B$2:$B$501,A221)=0),"",MAX(_xlfn.MAXIFS('Injection Sales'!$A$2:$A$501,'Injection Sales'!$B$2:$B$501,A221),_xlfn.MAXIFS('Protein Sales'!$A$2:$A$501,'Protein Sales'!$B$2:$B$501,A221),_xlfn.MAXIFS('Diet Support'!$A$2:$A$501,'Diet Support'!$B$2:$B$501,A221)))</f>
        <v/>
      </c>
      <c r="E221" s="19" t="str">
        <f aca="false">IF(A221="","",COUNTIF('Injection Sales'!$B$2:$B$501,A221)+COUNTIF('Protein Sales'!$B$2:$B$501,A221)+COUNTIF('Diet Support'!$B$2:$B$501,A221))</f>
        <v/>
      </c>
      <c r="F221" s="20" t="str">
        <f aca="false">IF(A221="","",SUMIF('Injection Sales'!$B$2:$B$501,A221,'Injection Sales'!$G$2:$G$501)+SUMIF('Protein Sales'!$B$2:$B$501,A221,'Protein Sales'!$F$2:$F$501)+SUMIF('Diet Support'!$B$2:$B$501,A221,'Diet Support'!$E$2:$E$501))</f>
        <v/>
      </c>
      <c r="G221" s="21" t="str">
        <f aca="false">IF(OR(A221="",COUNTIF('Injection Sales'!$B$2:$B$501,A221)=0),"",IFERROR(LOOKUP(2,1/(('Injection Sales'!$B$2:$B$501=A221)*('Injection Sales'!$A$2:$A$501=_xlfn.MAXIFS('Injection Sales'!$A$2:$A$501,'Injection Sales'!$B$2:$B$501,A221))),'Injection Sales'!$E$2:$E$501),""))</f>
        <v/>
      </c>
      <c r="H221" s="21" t="str">
        <f aca="false">IF(OR(A221="",COUNTIF('Injection Sales'!$B$2:$B$501,A221)=0),"",IFERROR(LOOKUP(2,1/(('Injection Sales'!$B$2:$B$501=A221)*('Injection Sales'!$A$2:$A$501=_xlfn.MAXIFS('Injection Sales'!$A$2:$A$501,'Injection Sales'!$B$2:$B$501,A221))),'Injection Sales'!$H$2:$H$501),""))</f>
        <v/>
      </c>
      <c r="I221" s="21" t="str">
        <f aca="true">IF(OR(A221="",D221=""),"",IF(TODAY()-D221&lt;=Settings!$B$7,"Active","Inactive"))</f>
        <v/>
      </c>
    </row>
    <row r="222" customFormat="false" ht="15" hidden="false" customHeight="false" outlineLevel="0" collapsed="false">
      <c r="A222" s="1"/>
      <c r="B222" s="22"/>
      <c r="C222" s="18" t="str">
        <f aca="false">IF(OR(A222="",COUNTIF('Injection Sales'!$B$2:$B$501,A222)+COUNTIF('Protein Sales'!$B$2:$B$501,A222)+COUNTIF('Diet Support'!$B$2:$B$501,A222)=0),"",MIN(IF(COUNTIF('Injection Sales'!$B$2:$B$501,A222),_xlfn.MINIFS('Injection Sales'!$A$2:$A$501,'Injection Sales'!$B$2:$B$501,A222),99999),IF(COUNTIF('Protein Sales'!$B$2:$B$501,A222),_xlfn.MINIFS('Protein Sales'!$A$2:$A$501,'Protein Sales'!$B$2:$B$501,A222),99999),IF(COUNTIF('Diet Support'!$B$2:$B$501,A222),_xlfn.MINIFS('Diet Support'!$A$2:$A$501,'Diet Support'!$B$2:$B$501,A222),99999)))</f>
        <v/>
      </c>
      <c r="D222" s="18" t="str">
        <f aca="false">IF(OR(A222="",COUNTIF('Injection Sales'!$B$2:$B$501,A222)+COUNTIF('Protein Sales'!$B$2:$B$501,A222)+COUNTIF('Diet Support'!$B$2:$B$501,A222)=0),"",MAX(_xlfn.MAXIFS('Injection Sales'!$A$2:$A$501,'Injection Sales'!$B$2:$B$501,A222),_xlfn.MAXIFS('Protein Sales'!$A$2:$A$501,'Protein Sales'!$B$2:$B$501,A222),_xlfn.MAXIFS('Diet Support'!$A$2:$A$501,'Diet Support'!$B$2:$B$501,A222)))</f>
        <v/>
      </c>
      <c r="E222" s="19" t="str">
        <f aca="false">IF(A222="","",COUNTIF('Injection Sales'!$B$2:$B$501,A222)+COUNTIF('Protein Sales'!$B$2:$B$501,A222)+COUNTIF('Diet Support'!$B$2:$B$501,A222))</f>
        <v/>
      </c>
      <c r="F222" s="20" t="str">
        <f aca="false">IF(A222="","",SUMIF('Injection Sales'!$B$2:$B$501,A222,'Injection Sales'!$G$2:$G$501)+SUMIF('Protein Sales'!$B$2:$B$501,A222,'Protein Sales'!$F$2:$F$501)+SUMIF('Diet Support'!$B$2:$B$501,A222,'Diet Support'!$E$2:$E$501))</f>
        <v/>
      </c>
      <c r="G222" s="21" t="str">
        <f aca="false">IF(OR(A222="",COUNTIF('Injection Sales'!$B$2:$B$501,A222)=0),"",IFERROR(LOOKUP(2,1/(('Injection Sales'!$B$2:$B$501=A222)*('Injection Sales'!$A$2:$A$501=_xlfn.MAXIFS('Injection Sales'!$A$2:$A$501,'Injection Sales'!$B$2:$B$501,A222))),'Injection Sales'!$E$2:$E$501),""))</f>
        <v/>
      </c>
      <c r="H222" s="21" t="str">
        <f aca="false">IF(OR(A222="",COUNTIF('Injection Sales'!$B$2:$B$501,A222)=0),"",IFERROR(LOOKUP(2,1/(('Injection Sales'!$B$2:$B$501=A222)*('Injection Sales'!$A$2:$A$501=_xlfn.MAXIFS('Injection Sales'!$A$2:$A$501,'Injection Sales'!$B$2:$B$501,A222))),'Injection Sales'!$H$2:$H$501),""))</f>
        <v/>
      </c>
      <c r="I222" s="21" t="str">
        <f aca="true">IF(OR(A222="",D222=""),"",IF(TODAY()-D222&lt;=Settings!$B$7,"Active","Inactive"))</f>
        <v/>
      </c>
    </row>
    <row r="223" customFormat="false" ht="15" hidden="false" customHeight="false" outlineLevel="0" collapsed="false">
      <c r="A223" s="1"/>
      <c r="B223" s="22"/>
      <c r="C223" s="18" t="str">
        <f aca="false">IF(OR(A223="",COUNTIF('Injection Sales'!$B$2:$B$501,A223)+COUNTIF('Protein Sales'!$B$2:$B$501,A223)+COUNTIF('Diet Support'!$B$2:$B$501,A223)=0),"",MIN(IF(COUNTIF('Injection Sales'!$B$2:$B$501,A223),_xlfn.MINIFS('Injection Sales'!$A$2:$A$501,'Injection Sales'!$B$2:$B$501,A223),99999),IF(COUNTIF('Protein Sales'!$B$2:$B$501,A223),_xlfn.MINIFS('Protein Sales'!$A$2:$A$501,'Protein Sales'!$B$2:$B$501,A223),99999),IF(COUNTIF('Diet Support'!$B$2:$B$501,A223),_xlfn.MINIFS('Diet Support'!$A$2:$A$501,'Diet Support'!$B$2:$B$501,A223),99999)))</f>
        <v/>
      </c>
      <c r="D223" s="18" t="str">
        <f aca="false">IF(OR(A223="",COUNTIF('Injection Sales'!$B$2:$B$501,A223)+COUNTIF('Protein Sales'!$B$2:$B$501,A223)+COUNTIF('Diet Support'!$B$2:$B$501,A223)=0),"",MAX(_xlfn.MAXIFS('Injection Sales'!$A$2:$A$501,'Injection Sales'!$B$2:$B$501,A223),_xlfn.MAXIFS('Protein Sales'!$A$2:$A$501,'Protein Sales'!$B$2:$B$501,A223),_xlfn.MAXIFS('Diet Support'!$A$2:$A$501,'Diet Support'!$B$2:$B$501,A223)))</f>
        <v/>
      </c>
      <c r="E223" s="19" t="str">
        <f aca="false">IF(A223="","",COUNTIF('Injection Sales'!$B$2:$B$501,A223)+COUNTIF('Protein Sales'!$B$2:$B$501,A223)+COUNTIF('Diet Support'!$B$2:$B$501,A223))</f>
        <v/>
      </c>
      <c r="F223" s="20" t="str">
        <f aca="false">IF(A223="","",SUMIF('Injection Sales'!$B$2:$B$501,A223,'Injection Sales'!$G$2:$G$501)+SUMIF('Protein Sales'!$B$2:$B$501,A223,'Protein Sales'!$F$2:$F$501)+SUMIF('Diet Support'!$B$2:$B$501,A223,'Diet Support'!$E$2:$E$501))</f>
        <v/>
      </c>
      <c r="G223" s="21" t="str">
        <f aca="false">IF(OR(A223="",COUNTIF('Injection Sales'!$B$2:$B$501,A223)=0),"",IFERROR(LOOKUP(2,1/(('Injection Sales'!$B$2:$B$501=A223)*('Injection Sales'!$A$2:$A$501=_xlfn.MAXIFS('Injection Sales'!$A$2:$A$501,'Injection Sales'!$B$2:$B$501,A223))),'Injection Sales'!$E$2:$E$501),""))</f>
        <v/>
      </c>
      <c r="H223" s="21" t="str">
        <f aca="false">IF(OR(A223="",COUNTIF('Injection Sales'!$B$2:$B$501,A223)=0),"",IFERROR(LOOKUP(2,1/(('Injection Sales'!$B$2:$B$501=A223)*('Injection Sales'!$A$2:$A$501=_xlfn.MAXIFS('Injection Sales'!$A$2:$A$501,'Injection Sales'!$B$2:$B$501,A223))),'Injection Sales'!$H$2:$H$501),""))</f>
        <v/>
      </c>
      <c r="I223" s="21" t="str">
        <f aca="true">IF(OR(A223="",D223=""),"",IF(TODAY()-D223&lt;=Settings!$B$7,"Active","Inactive"))</f>
        <v/>
      </c>
    </row>
    <row r="224" customFormat="false" ht="15" hidden="false" customHeight="false" outlineLevel="0" collapsed="false">
      <c r="A224" s="1"/>
      <c r="B224" s="22"/>
      <c r="C224" s="18" t="str">
        <f aca="false">IF(OR(A224="",COUNTIF('Injection Sales'!$B$2:$B$501,A224)+COUNTIF('Protein Sales'!$B$2:$B$501,A224)+COUNTIF('Diet Support'!$B$2:$B$501,A224)=0),"",MIN(IF(COUNTIF('Injection Sales'!$B$2:$B$501,A224),_xlfn.MINIFS('Injection Sales'!$A$2:$A$501,'Injection Sales'!$B$2:$B$501,A224),99999),IF(COUNTIF('Protein Sales'!$B$2:$B$501,A224),_xlfn.MINIFS('Protein Sales'!$A$2:$A$501,'Protein Sales'!$B$2:$B$501,A224),99999),IF(COUNTIF('Diet Support'!$B$2:$B$501,A224),_xlfn.MINIFS('Diet Support'!$A$2:$A$501,'Diet Support'!$B$2:$B$501,A224),99999)))</f>
        <v/>
      </c>
      <c r="D224" s="18" t="str">
        <f aca="false">IF(OR(A224="",COUNTIF('Injection Sales'!$B$2:$B$501,A224)+COUNTIF('Protein Sales'!$B$2:$B$501,A224)+COUNTIF('Diet Support'!$B$2:$B$501,A224)=0),"",MAX(_xlfn.MAXIFS('Injection Sales'!$A$2:$A$501,'Injection Sales'!$B$2:$B$501,A224),_xlfn.MAXIFS('Protein Sales'!$A$2:$A$501,'Protein Sales'!$B$2:$B$501,A224),_xlfn.MAXIFS('Diet Support'!$A$2:$A$501,'Diet Support'!$B$2:$B$501,A224)))</f>
        <v/>
      </c>
      <c r="E224" s="19" t="str">
        <f aca="false">IF(A224="","",COUNTIF('Injection Sales'!$B$2:$B$501,A224)+COUNTIF('Protein Sales'!$B$2:$B$501,A224)+COUNTIF('Diet Support'!$B$2:$B$501,A224))</f>
        <v/>
      </c>
      <c r="F224" s="20" t="str">
        <f aca="false">IF(A224="","",SUMIF('Injection Sales'!$B$2:$B$501,A224,'Injection Sales'!$G$2:$G$501)+SUMIF('Protein Sales'!$B$2:$B$501,A224,'Protein Sales'!$F$2:$F$501)+SUMIF('Diet Support'!$B$2:$B$501,A224,'Diet Support'!$E$2:$E$501))</f>
        <v/>
      </c>
      <c r="G224" s="21" t="str">
        <f aca="false">IF(OR(A224="",COUNTIF('Injection Sales'!$B$2:$B$501,A224)=0),"",IFERROR(LOOKUP(2,1/(('Injection Sales'!$B$2:$B$501=A224)*('Injection Sales'!$A$2:$A$501=_xlfn.MAXIFS('Injection Sales'!$A$2:$A$501,'Injection Sales'!$B$2:$B$501,A224))),'Injection Sales'!$E$2:$E$501),""))</f>
        <v/>
      </c>
      <c r="H224" s="21" t="str">
        <f aca="false">IF(OR(A224="",COUNTIF('Injection Sales'!$B$2:$B$501,A224)=0),"",IFERROR(LOOKUP(2,1/(('Injection Sales'!$B$2:$B$501=A224)*('Injection Sales'!$A$2:$A$501=_xlfn.MAXIFS('Injection Sales'!$A$2:$A$501,'Injection Sales'!$B$2:$B$501,A224))),'Injection Sales'!$H$2:$H$501),""))</f>
        <v/>
      </c>
      <c r="I224" s="21" t="str">
        <f aca="true">IF(OR(A224="",D224=""),"",IF(TODAY()-D224&lt;=Settings!$B$7,"Active","Inactive"))</f>
        <v/>
      </c>
    </row>
    <row r="225" customFormat="false" ht="15" hidden="false" customHeight="false" outlineLevel="0" collapsed="false">
      <c r="A225" s="1"/>
      <c r="B225" s="22"/>
      <c r="C225" s="18" t="str">
        <f aca="false">IF(OR(A225="",COUNTIF('Injection Sales'!$B$2:$B$501,A225)+COUNTIF('Protein Sales'!$B$2:$B$501,A225)+COUNTIF('Diet Support'!$B$2:$B$501,A225)=0),"",MIN(IF(COUNTIF('Injection Sales'!$B$2:$B$501,A225),_xlfn.MINIFS('Injection Sales'!$A$2:$A$501,'Injection Sales'!$B$2:$B$501,A225),99999),IF(COUNTIF('Protein Sales'!$B$2:$B$501,A225),_xlfn.MINIFS('Protein Sales'!$A$2:$A$501,'Protein Sales'!$B$2:$B$501,A225),99999),IF(COUNTIF('Diet Support'!$B$2:$B$501,A225),_xlfn.MINIFS('Diet Support'!$A$2:$A$501,'Diet Support'!$B$2:$B$501,A225),99999)))</f>
        <v/>
      </c>
      <c r="D225" s="18" t="str">
        <f aca="false">IF(OR(A225="",COUNTIF('Injection Sales'!$B$2:$B$501,A225)+COUNTIF('Protein Sales'!$B$2:$B$501,A225)+COUNTIF('Diet Support'!$B$2:$B$501,A225)=0),"",MAX(_xlfn.MAXIFS('Injection Sales'!$A$2:$A$501,'Injection Sales'!$B$2:$B$501,A225),_xlfn.MAXIFS('Protein Sales'!$A$2:$A$501,'Protein Sales'!$B$2:$B$501,A225),_xlfn.MAXIFS('Diet Support'!$A$2:$A$501,'Diet Support'!$B$2:$B$501,A225)))</f>
        <v/>
      </c>
      <c r="E225" s="19" t="str">
        <f aca="false">IF(A225="","",COUNTIF('Injection Sales'!$B$2:$B$501,A225)+COUNTIF('Protein Sales'!$B$2:$B$501,A225)+COUNTIF('Diet Support'!$B$2:$B$501,A225))</f>
        <v/>
      </c>
      <c r="F225" s="20" t="str">
        <f aca="false">IF(A225="","",SUMIF('Injection Sales'!$B$2:$B$501,A225,'Injection Sales'!$G$2:$G$501)+SUMIF('Protein Sales'!$B$2:$B$501,A225,'Protein Sales'!$F$2:$F$501)+SUMIF('Diet Support'!$B$2:$B$501,A225,'Diet Support'!$E$2:$E$501))</f>
        <v/>
      </c>
      <c r="G225" s="21" t="str">
        <f aca="false">IF(OR(A225="",COUNTIF('Injection Sales'!$B$2:$B$501,A225)=0),"",IFERROR(LOOKUP(2,1/(('Injection Sales'!$B$2:$B$501=A225)*('Injection Sales'!$A$2:$A$501=_xlfn.MAXIFS('Injection Sales'!$A$2:$A$501,'Injection Sales'!$B$2:$B$501,A225))),'Injection Sales'!$E$2:$E$501),""))</f>
        <v/>
      </c>
      <c r="H225" s="21" t="str">
        <f aca="false">IF(OR(A225="",COUNTIF('Injection Sales'!$B$2:$B$501,A225)=0),"",IFERROR(LOOKUP(2,1/(('Injection Sales'!$B$2:$B$501=A225)*('Injection Sales'!$A$2:$A$501=_xlfn.MAXIFS('Injection Sales'!$A$2:$A$501,'Injection Sales'!$B$2:$B$501,A225))),'Injection Sales'!$H$2:$H$501),""))</f>
        <v/>
      </c>
      <c r="I225" s="21" t="str">
        <f aca="true">IF(OR(A225="",D225=""),"",IF(TODAY()-D225&lt;=Settings!$B$7,"Active","Inactive"))</f>
        <v/>
      </c>
    </row>
    <row r="226" customFormat="false" ht="15" hidden="false" customHeight="false" outlineLevel="0" collapsed="false">
      <c r="A226" s="1"/>
      <c r="B226" s="22"/>
      <c r="C226" s="18" t="str">
        <f aca="false">IF(OR(A226="",COUNTIF('Injection Sales'!$B$2:$B$501,A226)+COUNTIF('Protein Sales'!$B$2:$B$501,A226)+COUNTIF('Diet Support'!$B$2:$B$501,A226)=0),"",MIN(IF(COUNTIF('Injection Sales'!$B$2:$B$501,A226),_xlfn.MINIFS('Injection Sales'!$A$2:$A$501,'Injection Sales'!$B$2:$B$501,A226),99999),IF(COUNTIF('Protein Sales'!$B$2:$B$501,A226),_xlfn.MINIFS('Protein Sales'!$A$2:$A$501,'Protein Sales'!$B$2:$B$501,A226),99999),IF(COUNTIF('Diet Support'!$B$2:$B$501,A226),_xlfn.MINIFS('Diet Support'!$A$2:$A$501,'Diet Support'!$B$2:$B$501,A226),99999)))</f>
        <v/>
      </c>
      <c r="D226" s="18" t="str">
        <f aca="false">IF(OR(A226="",COUNTIF('Injection Sales'!$B$2:$B$501,A226)+COUNTIF('Protein Sales'!$B$2:$B$501,A226)+COUNTIF('Diet Support'!$B$2:$B$501,A226)=0),"",MAX(_xlfn.MAXIFS('Injection Sales'!$A$2:$A$501,'Injection Sales'!$B$2:$B$501,A226),_xlfn.MAXIFS('Protein Sales'!$A$2:$A$501,'Protein Sales'!$B$2:$B$501,A226),_xlfn.MAXIFS('Diet Support'!$A$2:$A$501,'Diet Support'!$B$2:$B$501,A226)))</f>
        <v/>
      </c>
      <c r="E226" s="19" t="str">
        <f aca="false">IF(A226="","",COUNTIF('Injection Sales'!$B$2:$B$501,A226)+COUNTIF('Protein Sales'!$B$2:$B$501,A226)+COUNTIF('Diet Support'!$B$2:$B$501,A226))</f>
        <v/>
      </c>
      <c r="F226" s="20" t="str">
        <f aca="false">IF(A226="","",SUMIF('Injection Sales'!$B$2:$B$501,A226,'Injection Sales'!$G$2:$G$501)+SUMIF('Protein Sales'!$B$2:$B$501,A226,'Protein Sales'!$F$2:$F$501)+SUMIF('Diet Support'!$B$2:$B$501,A226,'Diet Support'!$E$2:$E$501))</f>
        <v/>
      </c>
      <c r="G226" s="21" t="str">
        <f aca="false">IF(OR(A226="",COUNTIF('Injection Sales'!$B$2:$B$501,A226)=0),"",IFERROR(LOOKUP(2,1/(('Injection Sales'!$B$2:$B$501=A226)*('Injection Sales'!$A$2:$A$501=_xlfn.MAXIFS('Injection Sales'!$A$2:$A$501,'Injection Sales'!$B$2:$B$501,A226))),'Injection Sales'!$E$2:$E$501),""))</f>
        <v/>
      </c>
      <c r="H226" s="21" t="str">
        <f aca="false">IF(OR(A226="",COUNTIF('Injection Sales'!$B$2:$B$501,A226)=0),"",IFERROR(LOOKUP(2,1/(('Injection Sales'!$B$2:$B$501=A226)*('Injection Sales'!$A$2:$A$501=_xlfn.MAXIFS('Injection Sales'!$A$2:$A$501,'Injection Sales'!$B$2:$B$501,A226))),'Injection Sales'!$H$2:$H$501),""))</f>
        <v/>
      </c>
      <c r="I226" s="21" t="str">
        <f aca="true">IF(OR(A226="",D226=""),"",IF(TODAY()-D226&lt;=Settings!$B$7,"Active","Inactive"))</f>
        <v/>
      </c>
    </row>
    <row r="227" customFormat="false" ht="15" hidden="false" customHeight="false" outlineLevel="0" collapsed="false">
      <c r="A227" s="1"/>
      <c r="B227" s="22"/>
      <c r="C227" s="18" t="str">
        <f aca="false">IF(OR(A227="",COUNTIF('Injection Sales'!$B$2:$B$501,A227)+COUNTIF('Protein Sales'!$B$2:$B$501,A227)+COUNTIF('Diet Support'!$B$2:$B$501,A227)=0),"",MIN(IF(COUNTIF('Injection Sales'!$B$2:$B$501,A227),_xlfn.MINIFS('Injection Sales'!$A$2:$A$501,'Injection Sales'!$B$2:$B$501,A227),99999),IF(COUNTIF('Protein Sales'!$B$2:$B$501,A227),_xlfn.MINIFS('Protein Sales'!$A$2:$A$501,'Protein Sales'!$B$2:$B$501,A227),99999),IF(COUNTIF('Diet Support'!$B$2:$B$501,A227),_xlfn.MINIFS('Diet Support'!$A$2:$A$501,'Diet Support'!$B$2:$B$501,A227),99999)))</f>
        <v/>
      </c>
      <c r="D227" s="18" t="str">
        <f aca="false">IF(OR(A227="",COUNTIF('Injection Sales'!$B$2:$B$501,A227)+COUNTIF('Protein Sales'!$B$2:$B$501,A227)+COUNTIF('Diet Support'!$B$2:$B$501,A227)=0),"",MAX(_xlfn.MAXIFS('Injection Sales'!$A$2:$A$501,'Injection Sales'!$B$2:$B$501,A227),_xlfn.MAXIFS('Protein Sales'!$A$2:$A$501,'Protein Sales'!$B$2:$B$501,A227),_xlfn.MAXIFS('Diet Support'!$A$2:$A$501,'Diet Support'!$B$2:$B$501,A227)))</f>
        <v/>
      </c>
      <c r="E227" s="19" t="str">
        <f aca="false">IF(A227="","",COUNTIF('Injection Sales'!$B$2:$B$501,A227)+COUNTIF('Protein Sales'!$B$2:$B$501,A227)+COUNTIF('Diet Support'!$B$2:$B$501,A227))</f>
        <v/>
      </c>
      <c r="F227" s="20" t="str">
        <f aca="false">IF(A227="","",SUMIF('Injection Sales'!$B$2:$B$501,A227,'Injection Sales'!$G$2:$G$501)+SUMIF('Protein Sales'!$B$2:$B$501,A227,'Protein Sales'!$F$2:$F$501)+SUMIF('Diet Support'!$B$2:$B$501,A227,'Diet Support'!$E$2:$E$501))</f>
        <v/>
      </c>
      <c r="G227" s="21" t="str">
        <f aca="false">IF(OR(A227="",COUNTIF('Injection Sales'!$B$2:$B$501,A227)=0),"",IFERROR(LOOKUP(2,1/(('Injection Sales'!$B$2:$B$501=A227)*('Injection Sales'!$A$2:$A$501=_xlfn.MAXIFS('Injection Sales'!$A$2:$A$501,'Injection Sales'!$B$2:$B$501,A227))),'Injection Sales'!$E$2:$E$501),""))</f>
        <v/>
      </c>
      <c r="H227" s="21" t="str">
        <f aca="false">IF(OR(A227="",COUNTIF('Injection Sales'!$B$2:$B$501,A227)=0),"",IFERROR(LOOKUP(2,1/(('Injection Sales'!$B$2:$B$501=A227)*('Injection Sales'!$A$2:$A$501=_xlfn.MAXIFS('Injection Sales'!$A$2:$A$501,'Injection Sales'!$B$2:$B$501,A227))),'Injection Sales'!$H$2:$H$501),""))</f>
        <v/>
      </c>
      <c r="I227" s="21" t="str">
        <f aca="true">IF(OR(A227="",D227=""),"",IF(TODAY()-D227&lt;=Settings!$B$7,"Active","Inactive"))</f>
        <v/>
      </c>
    </row>
    <row r="228" customFormat="false" ht="15" hidden="false" customHeight="false" outlineLevel="0" collapsed="false">
      <c r="A228" s="1"/>
      <c r="B228" s="22"/>
      <c r="C228" s="18" t="str">
        <f aca="false">IF(OR(A228="",COUNTIF('Injection Sales'!$B$2:$B$501,A228)+COUNTIF('Protein Sales'!$B$2:$B$501,A228)+COUNTIF('Diet Support'!$B$2:$B$501,A228)=0),"",MIN(IF(COUNTIF('Injection Sales'!$B$2:$B$501,A228),_xlfn.MINIFS('Injection Sales'!$A$2:$A$501,'Injection Sales'!$B$2:$B$501,A228),99999),IF(COUNTIF('Protein Sales'!$B$2:$B$501,A228),_xlfn.MINIFS('Protein Sales'!$A$2:$A$501,'Protein Sales'!$B$2:$B$501,A228),99999),IF(COUNTIF('Diet Support'!$B$2:$B$501,A228),_xlfn.MINIFS('Diet Support'!$A$2:$A$501,'Diet Support'!$B$2:$B$501,A228),99999)))</f>
        <v/>
      </c>
      <c r="D228" s="18" t="str">
        <f aca="false">IF(OR(A228="",COUNTIF('Injection Sales'!$B$2:$B$501,A228)+COUNTIF('Protein Sales'!$B$2:$B$501,A228)+COUNTIF('Diet Support'!$B$2:$B$501,A228)=0),"",MAX(_xlfn.MAXIFS('Injection Sales'!$A$2:$A$501,'Injection Sales'!$B$2:$B$501,A228),_xlfn.MAXIFS('Protein Sales'!$A$2:$A$501,'Protein Sales'!$B$2:$B$501,A228),_xlfn.MAXIFS('Diet Support'!$A$2:$A$501,'Diet Support'!$B$2:$B$501,A228)))</f>
        <v/>
      </c>
      <c r="E228" s="19" t="str">
        <f aca="false">IF(A228="","",COUNTIF('Injection Sales'!$B$2:$B$501,A228)+COUNTIF('Protein Sales'!$B$2:$B$501,A228)+COUNTIF('Diet Support'!$B$2:$B$501,A228))</f>
        <v/>
      </c>
      <c r="F228" s="20" t="str">
        <f aca="false">IF(A228="","",SUMIF('Injection Sales'!$B$2:$B$501,A228,'Injection Sales'!$G$2:$G$501)+SUMIF('Protein Sales'!$B$2:$B$501,A228,'Protein Sales'!$F$2:$F$501)+SUMIF('Diet Support'!$B$2:$B$501,A228,'Diet Support'!$E$2:$E$501))</f>
        <v/>
      </c>
      <c r="G228" s="21" t="str">
        <f aca="false">IF(OR(A228="",COUNTIF('Injection Sales'!$B$2:$B$501,A228)=0),"",IFERROR(LOOKUP(2,1/(('Injection Sales'!$B$2:$B$501=A228)*('Injection Sales'!$A$2:$A$501=_xlfn.MAXIFS('Injection Sales'!$A$2:$A$501,'Injection Sales'!$B$2:$B$501,A228))),'Injection Sales'!$E$2:$E$501),""))</f>
        <v/>
      </c>
      <c r="H228" s="21" t="str">
        <f aca="false">IF(OR(A228="",COUNTIF('Injection Sales'!$B$2:$B$501,A228)=0),"",IFERROR(LOOKUP(2,1/(('Injection Sales'!$B$2:$B$501=A228)*('Injection Sales'!$A$2:$A$501=_xlfn.MAXIFS('Injection Sales'!$A$2:$A$501,'Injection Sales'!$B$2:$B$501,A228))),'Injection Sales'!$H$2:$H$501),""))</f>
        <v/>
      </c>
      <c r="I228" s="21" t="str">
        <f aca="true">IF(OR(A228="",D228=""),"",IF(TODAY()-D228&lt;=Settings!$B$7,"Active","Inactive"))</f>
        <v/>
      </c>
    </row>
    <row r="229" customFormat="false" ht="15" hidden="false" customHeight="false" outlineLevel="0" collapsed="false">
      <c r="A229" s="1"/>
      <c r="B229" s="22"/>
      <c r="C229" s="18" t="str">
        <f aca="false">IF(OR(A229="",COUNTIF('Injection Sales'!$B$2:$B$501,A229)+COUNTIF('Protein Sales'!$B$2:$B$501,A229)+COUNTIF('Diet Support'!$B$2:$B$501,A229)=0),"",MIN(IF(COUNTIF('Injection Sales'!$B$2:$B$501,A229),_xlfn.MINIFS('Injection Sales'!$A$2:$A$501,'Injection Sales'!$B$2:$B$501,A229),99999),IF(COUNTIF('Protein Sales'!$B$2:$B$501,A229),_xlfn.MINIFS('Protein Sales'!$A$2:$A$501,'Protein Sales'!$B$2:$B$501,A229),99999),IF(COUNTIF('Diet Support'!$B$2:$B$501,A229),_xlfn.MINIFS('Diet Support'!$A$2:$A$501,'Diet Support'!$B$2:$B$501,A229),99999)))</f>
        <v/>
      </c>
      <c r="D229" s="18" t="str">
        <f aca="false">IF(OR(A229="",COUNTIF('Injection Sales'!$B$2:$B$501,A229)+COUNTIF('Protein Sales'!$B$2:$B$501,A229)+COUNTIF('Diet Support'!$B$2:$B$501,A229)=0),"",MAX(_xlfn.MAXIFS('Injection Sales'!$A$2:$A$501,'Injection Sales'!$B$2:$B$501,A229),_xlfn.MAXIFS('Protein Sales'!$A$2:$A$501,'Protein Sales'!$B$2:$B$501,A229),_xlfn.MAXIFS('Diet Support'!$A$2:$A$501,'Diet Support'!$B$2:$B$501,A229)))</f>
        <v/>
      </c>
      <c r="E229" s="19" t="str">
        <f aca="false">IF(A229="","",COUNTIF('Injection Sales'!$B$2:$B$501,A229)+COUNTIF('Protein Sales'!$B$2:$B$501,A229)+COUNTIF('Diet Support'!$B$2:$B$501,A229))</f>
        <v/>
      </c>
      <c r="F229" s="20" t="str">
        <f aca="false">IF(A229="","",SUMIF('Injection Sales'!$B$2:$B$501,A229,'Injection Sales'!$G$2:$G$501)+SUMIF('Protein Sales'!$B$2:$B$501,A229,'Protein Sales'!$F$2:$F$501)+SUMIF('Diet Support'!$B$2:$B$501,A229,'Diet Support'!$E$2:$E$501))</f>
        <v/>
      </c>
      <c r="G229" s="21" t="str">
        <f aca="false">IF(OR(A229="",COUNTIF('Injection Sales'!$B$2:$B$501,A229)=0),"",IFERROR(LOOKUP(2,1/(('Injection Sales'!$B$2:$B$501=A229)*('Injection Sales'!$A$2:$A$501=_xlfn.MAXIFS('Injection Sales'!$A$2:$A$501,'Injection Sales'!$B$2:$B$501,A229))),'Injection Sales'!$E$2:$E$501),""))</f>
        <v/>
      </c>
      <c r="H229" s="21" t="str">
        <f aca="false">IF(OR(A229="",COUNTIF('Injection Sales'!$B$2:$B$501,A229)=0),"",IFERROR(LOOKUP(2,1/(('Injection Sales'!$B$2:$B$501=A229)*('Injection Sales'!$A$2:$A$501=_xlfn.MAXIFS('Injection Sales'!$A$2:$A$501,'Injection Sales'!$B$2:$B$501,A229))),'Injection Sales'!$H$2:$H$501),""))</f>
        <v/>
      </c>
      <c r="I229" s="21" t="str">
        <f aca="true">IF(OR(A229="",D229=""),"",IF(TODAY()-D229&lt;=Settings!$B$7,"Active","Inactive"))</f>
        <v/>
      </c>
    </row>
    <row r="230" customFormat="false" ht="15" hidden="false" customHeight="false" outlineLevel="0" collapsed="false">
      <c r="A230" s="1"/>
      <c r="B230" s="22"/>
      <c r="C230" s="18" t="str">
        <f aca="false">IF(OR(A230="",COUNTIF('Injection Sales'!$B$2:$B$501,A230)+COUNTIF('Protein Sales'!$B$2:$B$501,A230)+COUNTIF('Diet Support'!$B$2:$B$501,A230)=0),"",MIN(IF(COUNTIF('Injection Sales'!$B$2:$B$501,A230),_xlfn.MINIFS('Injection Sales'!$A$2:$A$501,'Injection Sales'!$B$2:$B$501,A230),99999),IF(COUNTIF('Protein Sales'!$B$2:$B$501,A230),_xlfn.MINIFS('Protein Sales'!$A$2:$A$501,'Protein Sales'!$B$2:$B$501,A230),99999),IF(COUNTIF('Diet Support'!$B$2:$B$501,A230),_xlfn.MINIFS('Diet Support'!$A$2:$A$501,'Diet Support'!$B$2:$B$501,A230),99999)))</f>
        <v/>
      </c>
      <c r="D230" s="18" t="str">
        <f aca="false">IF(OR(A230="",COUNTIF('Injection Sales'!$B$2:$B$501,A230)+COUNTIF('Protein Sales'!$B$2:$B$501,A230)+COUNTIF('Diet Support'!$B$2:$B$501,A230)=0),"",MAX(_xlfn.MAXIFS('Injection Sales'!$A$2:$A$501,'Injection Sales'!$B$2:$B$501,A230),_xlfn.MAXIFS('Protein Sales'!$A$2:$A$501,'Protein Sales'!$B$2:$B$501,A230),_xlfn.MAXIFS('Diet Support'!$A$2:$A$501,'Diet Support'!$B$2:$B$501,A230)))</f>
        <v/>
      </c>
      <c r="E230" s="19" t="str">
        <f aca="false">IF(A230="","",COUNTIF('Injection Sales'!$B$2:$B$501,A230)+COUNTIF('Protein Sales'!$B$2:$B$501,A230)+COUNTIF('Diet Support'!$B$2:$B$501,A230))</f>
        <v/>
      </c>
      <c r="F230" s="20" t="str">
        <f aca="false">IF(A230="","",SUMIF('Injection Sales'!$B$2:$B$501,A230,'Injection Sales'!$G$2:$G$501)+SUMIF('Protein Sales'!$B$2:$B$501,A230,'Protein Sales'!$F$2:$F$501)+SUMIF('Diet Support'!$B$2:$B$501,A230,'Diet Support'!$E$2:$E$501))</f>
        <v/>
      </c>
      <c r="G230" s="21" t="str">
        <f aca="false">IF(OR(A230="",COUNTIF('Injection Sales'!$B$2:$B$501,A230)=0),"",IFERROR(LOOKUP(2,1/(('Injection Sales'!$B$2:$B$501=A230)*('Injection Sales'!$A$2:$A$501=_xlfn.MAXIFS('Injection Sales'!$A$2:$A$501,'Injection Sales'!$B$2:$B$501,A230))),'Injection Sales'!$E$2:$E$501),""))</f>
        <v/>
      </c>
      <c r="H230" s="21" t="str">
        <f aca="false">IF(OR(A230="",COUNTIF('Injection Sales'!$B$2:$B$501,A230)=0),"",IFERROR(LOOKUP(2,1/(('Injection Sales'!$B$2:$B$501=A230)*('Injection Sales'!$A$2:$A$501=_xlfn.MAXIFS('Injection Sales'!$A$2:$A$501,'Injection Sales'!$B$2:$B$501,A230))),'Injection Sales'!$H$2:$H$501),""))</f>
        <v/>
      </c>
      <c r="I230" s="21" t="str">
        <f aca="true">IF(OR(A230="",D230=""),"",IF(TODAY()-D230&lt;=Settings!$B$7,"Active","Inactive"))</f>
        <v/>
      </c>
    </row>
    <row r="231" customFormat="false" ht="15" hidden="false" customHeight="false" outlineLevel="0" collapsed="false">
      <c r="A231" s="1"/>
      <c r="B231" s="22"/>
      <c r="C231" s="18" t="str">
        <f aca="false">IF(OR(A231="",COUNTIF('Injection Sales'!$B$2:$B$501,A231)+COUNTIF('Protein Sales'!$B$2:$B$501,A231)+COUNTIF('Diet Support'!$B$2:$B$501,A231)=0),"",MIN(IF(COUNTIF('Injection Sales'!$B$2:$B$501,A231),_xlfn.MINIFS('Injection Sales'!$A$2:$A$501,'Injection Sales'!$B$2:$B$501,A231),99999),IF(COUNTIF('Protein Sales'!$B$2:$B$501,A231),_xlfn.MINIFS('Protein Sales'!$A$2:$A$501,'Protein Sales'!$B$2:$B$501,A231),99999),IF(COUNTIF('Diet Support'!$B$2:$B$501,A231),_xlfn.MINIFS('Diet Support'!$A$2:$A$501,'Diet Support'!$B$2:$B$501,A231),99999)))</f>
        <v/>
      </c>
      <c r="D231" s="18" t="str">
        <f aca="false">IF(OR(A231="",COUNTIF('Injection Sales'!$B$2:$B$501,A231)+COUNTIF('Protein Sales'!$B$2:$B$501,A231)+COUNTIF('Diet Support'!$B$2:$B$501,A231)=0),"",MAX(_xlfn.MAXIFS('Injection Sales'!$A$2:$A$501,'Injection Sales'!$B$2:$B$501,A231),_xlfn.MAXIFS('Protein Sales'!$A$2:$A$501,'Protein Sales'!$B$2:$B$501,A231),_xlfn.MAXIFS('Diet Support'!$A$2:$A$501,'Diet Support'!$B$2:$B$501,A231)))</f>
        <v/>
      </c>
      <c r="E231" s="19" t="str">
        <f aca="false">IF(A231="","",COUNTIF('Injection Sales'!$B$2:$B$501,A231)+COUNTIF('Protein Sales'!$B$2:$B$501,A231)+COUNTIF('Diet Support'!$B$2:$B$501,A231))</f>
        <v/>
      </c>
      <c r="F231" s="20" t="str">
        <f aca="false">IF(A231="","",SUMIF('Injection Sales'!$B$2:$B$501,A231,'Injection Sales'!$G$2:$G$501)+SUMIF('Protein Sales'!$B$2:$B$501,A231,'Protein Sales'!$F$2:$F$501)+SUMIF('Diet Support'!$B$2:$B$501,A231,'Diet Support'!$E$2:$E$501))</f>
        <v/>
      </c>
      <c r="G231" s="21" t="str">
        <f aca="false">IF(OR(A231="",COUNTIF('Injection Sales'!$B$2:$B$501,A231)=0),"",IFERROR(LOOKUP(2,1/(('Injection Sales'!$B$2:$B$501=A231)*('Injection Sales'!$A$2:$A$501=_xlfn.MAXIFS('Injection Sales'!$A$2:$A$501,'Injection Sales'!$B$2:$B$501,A231))),'Injection Sales'!$E$2:$E$501),""))</f>
        <v/>
      </c>
      <c r="H231" s="21" t="str">
        <f aca="false">IF(OR(A231="",COUNTIF('Injection Sales'!$B$2:$B$501,A231)=0),"",IFERROR(LOOKUP(2,1/(('Injection Sales'!$B$2:$B$501=A231)*('Injection Sales'!$A$2:$A$501=_xlfn.MAXIFS('Injection Sales'!$A$2:$A$501,'Injection Sales'!$B$2:$B$501,A231))),'Injection Sales'!$H$2:$H$501),""))</f>
        <v/>
      </c>
      <c r="I231" s="21" t="str">
        <f aca="true">IF(OR(A231="",D231=""),"",IF(TODAY()-D231&lt;=Settings!$B$7,"Active","Inactive"))</f>
        <v/>
      </c>
    </row>
    <row r="232" customFormat="false" ht="15" hidden="false" customHeight="false" outlineLevel="0" collapsed="false">
      <c r="A232" s="1"/>
      <c r="B232" s="22"/>
      <c r="C232" s="18" t="str">
        <f aca="false">IF(OR(A232="",COUNTIF('Injection Sales'!$B$2:$B$501,A232)+COUNTIF('Protein Sales'!$B$2:$B$501,A232)+COUNTIF('Diet Support'!$B$2:$B$501,A232)=0),"",MIN(IF(COUNTIF('Injection Sales'!$B$2:$B$501,A232),_xlfn.MINIFS('Injection Sales'!$A$2:$A$501,'Injection Sales'!$B$2:$B$501,A232),99999),IF(COUNTIF('Protein Sales'!$B$2:$B$501,A232),_xlfn.MINIFS('Protein Sales'!$A$2:$A$501,'Protein Sales'!$B$2:$B$501,A232),99999),IF(COUNTIF('Diet Support'!$B$2:$B$501,A232),_xlfn.MINIFS('Diet Support'!$A$2:$A$501,'Diet Support'!$B$2:$B$501,A232),99999)))</f>
        <v/>
      </c>
      <c r="D232" s="18" t="str">
        <f aca="false">IF(OR(A232="",COUNTIF('Injection Sales'!$B$2:$B$501,A232)+COUNTIF('Protein Sales'!$B$2:$B$501,A232)+COUNTIF('Diet Support'!$B$2:$B$501,A232)=0),"",MAX(_xlfn.MAXIFS('Injection Sales'!$A$2:$A$501,'Injection Sales'!$B$2:$B$501,A232),_xlfn.MAXIFS('Protein Sales'!$A$2:$A$501,'Protein Sales'!$B$2:$B$501,A232),_xlfn.MAXIFS('Diet Support'!$A$2:$A$501,'Diet Support'!$B$2:$B$501,A232)))</f>
        <v/>
      </c>
      <c r="E232" s="19" t="str">
        <f aca="false">IF(A232="","",COUNTIF('Injection Sales'!$B$2:$B$501,A232)+COUNTIF('Protein Sales'!$B$2:$B$501,A232)+COUNTIF('Diet Support'!$B$2:$B$501,A232))</f>
        <v/>
      </c>
      <c r="F232" s="20" t="str">
        <f aca="false">IF(A232="","",SUMIF('Injection Sales'!$B$2:$B$501,A232,'Injection Sales'!$G$2:$G$501)+SUMIF('Protein Sales'!$B$2:$B$501,A232,'Protein Sales'!$F$2:$F$501)+SUMIF('Diet Support'!$B$2:$B$501,A232,'Diet Support'!$E$2:$E$501))</f>
        <v/>
      </c>
      <c r="G232" s="21" t="str">
        <f aca="false">IF(OR(A232="",COUNTIF('Injection Sales'!$B$2:$B$501,A232)=0),"",IFERROR(LOOKUP(2,1/(('Injection Sales'!$B$2:$B$501=A232)*('Injection Sales'!$A$2:$A$501=_xlfn.MAXIFS('Injection Sales'!$A$2:$A$501,'Injection Sales'!$B$2:$B$501,A232))),'Injection Sales'!$E$2:$E$501),""))</f>
        <v/>
      </c>
      <c r="H232" s="21" t="str">
        <f aca="false">IF(OR(A232="",COUNTIF('Injection Sales'!$B$2:$B$501,A232)=0),"",IFERROR(LOOKUP(2,1/(('Injection Sales'!$B$2:$B$501=A232)*('Injection Sales'!$A$2:$A$501=_xlfn.MAXIFS('Injection Sales'!$A$2:$A$501,'Injection Sales'!$B$2:$B$501,A232))),'Injection Sales'!$H$2:$H$501),""))</f>
        <v/>
      </c>
      <c r="I232" s="21" t="str">
        <f aca="true">IF(OR(A232="",D232=""),"",IF(TODAY()-D232&lt;=Settings!$B$7,"Active","Inactive"))</f>
        <v/>
      </c>
    </row>
    <row r="233" customFormat="false" ht="15" hidden="false" customHeight="false" outlineLevel="0" collapsed="false">
      <c r="A233" s="1"/>
      <c r="B233" s="22"/>
      <c r="C233" s="18" t="str">
        <f aca="false">IF(OR(A233="",COUNTIF('Injection Sales'!$B$2:$B$501,A233)+COUNTIF('Protein Sales'!$B$2:$B$501,A233)+COUNTIF('Diet Support'!$B$2:$B$501,A233)=0),"",MIN(IF(COUNTIF('Injection Sales'!$B$2:$B$501,A233),_xlfn.MINIFS('Injection Sales'!$A$2:$A$501,'Injection Sales'!$B$2:$B$501,A233),99999),IF(COUNTIF('Protein Sales'!$B$2:$B$501,A233),_xlfn.MINIFS('Protein Sales'!$A$2:$A$501,'Protein Sales'!$B$2:$B$501,A233),99999),IF(COUNTIF('Diet Support'!$B$2:$B$501,A233),_xlfn.MINIFS('Diet Support'!$A$2:$A$501,'Diet Support'!$B$2:$B$501,A233),99999)))</f>
        <v/>
      </c>
      <c r="D233" s="18" t="str">
        <f aca="false">IF(OR(A233="",COUNTIF('Injection Sales'!$B$2:$B$501,A233)+COUNTIF('Protein Sales'!$B$2:$B$501,A233)+COUNTIF('Diet Support'!$B$2:$B$501,A233)=0),"",MAX(_xlfn.MAXIFS('Injection Sales'!$A$2:$A$501,'Injection Sales'!$B$2:$B$501,A233),_xlfn.MAXIFS('Protein Sales'!$A$2:$A$501,'Protein Sales'!$B$2:$B$501,A233),_xlfn.MAXIFS('Diet Support'!$A$2:$A$501,'Diet Support'!$B$2:$B$501,A233)))</f>
        <v/>
      </c>
      <c r="E233" s="19" t="str">
        <f aca="false">IF(A233="","",COUNTIF('Injection Sales'!$B$2:$B$501,A233)+COUNTIF('Protein Sales'!$B$2:$B$501,A233)+COUNTIF('Diet Support'!$B$2:$B$501,A233))</f>
        <v/>
      </c>
      <c r="F233" s="20" t="str">
        <f aca="false">IF(A233="","",SUMIF('Injection Sales'!$B$2:$B$501,A233,'Injection Sales'!$G$2:$G$501)+SUMIF('Protein Sales'!$B$2:$B$501,A233,'Protein Sales'!$F$2:$F$501)+SUMIF('Diet Support'!$B$2:$B$501,A233,'Diet Support'!$E$2:$E$501))</f>
        <v/>
      </c>
      <c r="G233" s="21" t="str">
        <f aca="false">IF(OR(A233="",COUNTIF('Injection Sales'!$B$2:$B$501,A233)=0),"",IFERROR(LOOKUP(2,1/(('Injection Sales'!$B$2:$B$501=A233)*('Injection Sales'!$A$2:$A$501=_xlfn.MAXIFS('Injection Sales'!$A$2:$A$501,'Injection Sales'!$B$2:$B$501,A233))),'Injection Sales'!$E$2:$E$501),""))</f>
        <v/>
      </c>
      <c r="H233" s="21" t="str">
        <f aca="false">IF(OR(A233="",COUNTIF('Injection Sales'!$B$2:$B$501,A233)=0),"",IFERROR(LOOKUP(2,1/(('Injection Sales'!$B$2:$B$501=A233)*('Injection Sales'!$A$2:$A$501=_xlfn.MAXIFS('Injection Sales'!$A$2:$A$501,'Injection Sales'!$B$2:$B$501,A233))),'Injection Sales'!$H$2:$H$501),""))</f>
        <v/>
      </c>
      <c r="I233" s="21" t="str">
        <f aca="true">IF(OR(A233="",D233=""),"",IF(TODAY()-D233&lt;=Settings!$B$7,"Active","Inactive"))</f>
        <v/>
      </c>
    </row>
    <row r="234" customFormat="false" ht="15" hidden="false" customHeight="false" outlineLevel="0" collapsed="false">
      <c r="A234" s="1"/>
      <c r="B234" s="22"/>
      <c r="C234" s="18" t="str">
        <f aca="false">IF(OR(A234="",COUNTIF('Injection Sales'!$B$2:$B$501,A234)+COUNTIF('Protein Sales'!$B$2:$B$501,A234)+COUNTIF('Diet Support'!$B$2:$B$501,A234)=0),"",MIN(IF(COUNTIF('Injection Sales'!$B$2:$B$501,A234),_xlfn.MINIFS('Injection Sales'!$A$2:$A$501,'Injection Sales'!$B$2:$B$501,A234),99999),IF(COUNTIF('Protein Sales'!$B$2:$B$501,A234),_xlfn.MINIFS('Protein Sales'!$A$2:$A$501,'Protein Sales'!$B$2:$B$501,A234),99999),IF(COUNTIF('Diet Support'!$B$2:$B$501,A234),_xlfn.MINIFS('Diet Support'!$A$2:$A$501,'Diet Support'!$B$2:$B$501,A234),99999)))</f>
        <v/>
      </c>
      <c r="D234" s="18" t="str">
        <f aca="false">IF(OR(A234="",COUNTIF('Injection Sales'!$B$2:$B$501,A234)+COUNTIF('Protein Sales'!$B$2:$B$501,A234)+COUNTIF('Diet Support'!$B$2:$B$501,A234)=0),"",MAX(_xlfn.MAXIFS('Injection Sales'!$A$2:$A$501,'Injection Sales'!$B$2:$B$501,A234),_xlfn.MAXIFS('Protein Sales'!$A$2:$A$501,'Protein Sales'!$B$2:$B$501,A234),_xlfn.MAXIFS('Diet Support'!$A$2:$A$501,'Diet Support'!$B$2:$B$501,A234)))</f>
        <v/>
      </c>
      <c r="E234" s="19" t="str">
        <f aca="false">IF(A234="","",COUNTIF('Injection Sales'!$B$2:$B$501,A234)+COUNTIF('Protein Sales'!$B$2:$B$501,A234)+COUNTIF('Diet Support'!$B$2:$B$501,A234))</f>
        <v/>
      </c>
      <c r="F234" s="20" t="str">
        <f aca="false">IF(A234="","",SUMIF('Injection Sales'!$B$2:$B$501,A234,'Injection Sales'!$G$2:$G$501)+SUMIF('Protein Sales'!$B$2:$B$501,A234,'Protein Sales'!$F$2:$F$501)+SUMIF('Diet Support'!$B$2:$B$501,A234,'Diet Support'!$E$2:$E$501))</f>
        <v/>
      </c>
      <c r="G234" s="21" t="str">
        <f aca="false">IF(OR(A234="",COUNTIF('Injection Sales'!$B$2:$B$501,A234)=0),"",IFERROR(LOOKUP(2,1/(('Injection Sales'!$B$2:$B$501=A234)*('Injection Sales'!$A$2:$A$501=_xlfn.MAXIFS('Injection Sales'!$A$2:$A$501,'Injection Sales'!$B$2:$B$501,A234))),'Injection Sales'!$E$2:$E$501),""))</f>
        <v/>
      </c>
      <c r="H234" s="21" t="str">
        <f aca="false">IF(OR(A234="",COUNTIF('Injection Sales'!$B$2:$B$501,A234)=0),"",IFERROR(LOOKUP(2,1/(('Injection Sales'!$B$2:$B$501=A234)*('Injection Sales'!$A$2:$A$501=_xlfn.MAXIFS('Injection Sales'!$A$2:$A$501,'Injection Sales'!$B$2:$B$501,A234))),'Injection Sales'!$H$2:$H$501),""))</f>
        <v/>
      </c>
      <c r="I234" s="21" t="str">
        <f aca="true">IF(OR(A234="",D234=""),"",IF(TODAY()-D234&lt;=Settings!$B$7,"Active","Inactive"))</f>
        <v/>
      </c>
    </row>
    <row r="235" customFormat="false" ht="15" hidden="false" customHeight="false" outlineLevel="0" collapsed="false">
      <c r="A235" s="1"/>
      <c r="B235" s="22"/>
      <c r="C235" s="18" t="str">
        <f aca="false">IF(OR(A235="",COUNTIF('Injection Sales'!$B$2:$B$501,A235)+COUNTIF('Protein Sales'!$B$2:$B$501,A235)+COUNTIF('Diet Support'!$B$2:$B$501,A235)=0),"",MIN(IF(COUNTIF('Injection Sales'!$B$2:$B$501,A235),_xlfn.MINIFS('Injection Sales'!$A$2:$A$501,'Injection Sales'!$B$2:$B$501,A235),99999),IF(COUNTIF('Protein Sales'!$B$2:$B$501,A235),_xlfn.MINIFS('Protein Sales'!$A$2:$A$501,'Protein Sales'!$B$2:$B$501,A235),99999),IF(COUNTIF('Diet Support'!$B$2:$B$501,A235),_xlfn.MINIFS('Diet Support'!$A$2:$A$501,'Diet Support'!$B$2:$B$501,A235),99999)))</f>
        <v/>
      </c>
      <c r="D235" s="18" t="str">
        <f aca="false">IF(OR(A235="",COUNTIF('Injection Sales'!$B$2:$B$501,A235)+COUNTIF('Protein Sales'!$B$2:$B$501,A235)+COUNTIF('Diet Support'!$B$2:$B$501,A235)=0),"",MAX(_xlfn.MAXIFS('Injection Sales'!$A$2:$A$501,'Injection Sales'!$B$2:$B$501,A235),_xlfn.MAXIFS('Protein Sales'!$A$2:$A$501,'Protein Sales'!$B$2:$B$501,A235),_xlfn.MAXIFS('Diet Support'!$A$2:$A$501,'Diet Support'!$B$2:$B$501,A235)))</f>
        <v/>
      </c>
      <c r="E235" s="19" t="str">
        <f aca="false">IF(A235="","",COUNTIF('Injection Sales'!$B$2:$B$501,A235)+COUNTIF('Protein Sales'!$B$2:$B$501,A235)+COUNTIF('Diet Support'!$B$2:$B$501,A235))</f>
        <v/>
      </c>
      <c r="F235" s="20" t="str">
        <f aca="false">IF(A235="","",SUMIF('Injection Sales'!$B$2:$B$501,A235,'Injection Sales'!$G$2:$G$501)+SUMIF('Protein Sales'!$B$2:$B$501,A235,'Protein Sales'!$F$2:$F$501)+SUMIF('Diet Support'!$B$2:$B$501,A235,'Diet Support'!$E$2:$E$501))</f>
        <v/>
      </c>
      <c r="G235" s="21" t="str">
        <f aca="false">IF(OR(A235="",COUNTIF('Injection Sales'!$B$2:$B$501,A235)=0),"",IFERROR(LOOKUP(2,1/(('Injection Sales'!$B$2:$B$501=A235)*('Injection Sales'!$A$2:$A$501=_xlfn.MAXIFS('Injection Sales'!$A$2:$A$501,'Injection Sales'!$B$2:$B$501,A235))),'Injection Sales'!$E$2:$E$501),""))</f>
        <v/>
      </c>
      <c r="H235" s="21" t="str">
        <f aca="false">IF(OR(A235="",COUNTIF('Injection Sales'!$B$2:$B$501,A235)=0),"",IFERROR(LOOKUP(2,1/(('Injection Sales'!$B$2:$B$501=A235)*('Injection Sales'!$A$2:$A$501=_xlfn.MAXIFS('Injection Sales'!$A$2:$A$501,'Injection Sales'!$B$2:$B$501,A235))),'Injection Sales'!$H$2:$H$501),""))</f>
        <v/>
      </c>
      <c r="I235" s="21" t="str">
        <f aca="true">IF(OR(A235="",D235=""),"",IF(TODAY()-D235&lt;=Settings!$B$7,"Active","Inactive"))</f>
        <v/>
      </c>
    </row>
    <row r="236" customFormat="false" ht="15" hidden="false" customHeight="false" outlineLevel="0" collapsed="false">
      <c r="A236" s="1"/>
      <c r="B236" s="22"/>
      <c r="C236" s="18" t="str">
        <f aca="false">IF(OR(A236="",COUNTIF('Injection Sales'!$B$2:$B$501,A236)+COUNTIF('Protein Sales'!$B$2:$B$501,A236)+COUNTIF('Diet Support'!$B$2:$B$501,A236)=0),"",MIN(IF(COUNTIF('Injection Sales'!$B$2:$B$501,A236),_xlfn.MINIFS('Injection Sales'!$A$2:$A$501,'Injection Sales'!$B$2:$B$501,A236),99999),IF(COUNTIF('Protein Sales'!$B$2:$B$501,A236),_xlfn.MINIFS('Protein Sales'!$A$2:$A$501,'Protein Sales'!$B$2:$B$501,A236),99999),IF(COUNTIF('Diet Support'!$B$2:$B$501,A236),_xlfn.MINIFS('Diet Support'!$A$2:$A$501,'Diet Support'!$B$2:$B$501,A236),99999)))</f>
        <v/>
      </c>
      <c r="D236" s="18" t="str">
        <f aca="false">IF(OR(A236="",COUNTIF('Injection Sales'!$B$2:$B$501,A236)+COUNTIF('Protein Sales'!$B$2:$B$501,A236)+COUNTIF('Diet Support'!$B$2:$B$501,A236)=0),"",MAX(_xlfn.MAXIFS('Injection Sales'!$A$2:$A$501,'Injection Sales'!$B$2:$B$501,A236),_xlfn.MAXIFS('Protein Sales'!$A$2:$A$501,'Protein Sales'!$B$2:$B$501,A236),_xlfn.MAXIFS('Diet Support'!$A$2:$A$501,'Diet Support'!$B$2:$B$501,A236)))</f>
        <v/>
      </c>
      <c r="E236" s="19" t="str">
        <f aca="false">IF(A236="","",COUNTIF('Injection Sales'!$B$2:$B$501,A236)+COUNTIF('Protein Sales'!$B$2:$B$501,A236)+COUNTIF('Diet Support'!$B$2:$B$501,A236))</f>
        <v/>
      </c>
      <c r="F236" s="20" t="str">
        <f aca="false">IF(A236="","",SUMIF('Injection Sales'!$B$2:$B$501,A236,'Injection Sales'!$G$2:$G$501)+SUMIF('Protein Sales'!$B$2:$B$501,A236,'Protein Sales'!$F$2:$F$501)+SUMIF('Diet Support'!$B$2:$B$501,A236,'Diet Support'!$E$2:$E$501))</f>
        <v/>
      </c>
      <c r="G236" s="21" t="str">
        <f aca="false">IF(OR(A236="",COUNTIF('Injection Sales'!$B$2:$B$501,A236)=0),"",IFERROR(LOOKUP(2,1/(('Injection Sales'!$B$2:$B$501=A236)*('Injection Sales'!$A$2:$A$501=_xlfn.MAXIFS('Injection Sales'!$A$2:$A$501,'Injection Sales'!$B$2:$B$501,A236))),'Injection Sales'!$E$2:$E$501),""))</f>
        <v/>
      </c>
      <c r="H236" s="21" t="str">
        <f aca="false">IF(OR(A236="",COUNTIF('Injection Sales'!$B$2:$B$501,A236)=0),"",IFERROR(LOOKUP(2,1/(('Injection Sales'!$B$2:$B$501=A236)*('Injection Sales'!$A$2:$A$501=_xlfn.MAXIFS('Injection Sales'!$A$2:$A$501,'Injection Sales'!$B$2:$B$501,A236))),'Injection Sales'!$H$2:$H$501),""))</f>
        <v/>
      </c>
      <c r="I236" s="21" t="str">
        <f aca="true">IF(OR(A236="",D236=""),"",IF(TODAY()-D236&lt;=Settings!$B$7,"Active","Inactive"))</f>
        <v/>
      </c>
    </row>
    <row r="237" customFormat="false" ht="15" hidden="false" customHeight="false" outlineLevel="0" collapsed="false">
      <c r="A237" s="1"/>
      <c r="B237" s="22"/>
      <c r="C237" s="18" t="str">
        <f aca="false">IF(OR(A237="",COUNTIF('Injection Sales'!$B$2:$B$501,A237)+COUNTIF('Protein Sales'!$B$2:$B$501,A237)+COUNTIF('Diet Support'!$B$2:$B$501,A237)=0),"",MIN(IF(COUNTIF('Injection Sales'!$B$2:$B$501,A237),_xlfn.MINIFS('Injection Sales'!$A$2:$A$501,'Injection Sales'!$B$2:$B$501,A237),99999),IF(COUNTIF('Protein Sales'!$B$2:$B$501,A237),_xlfn.MINIFS('Protein Sales'!$A$2:$A$501,'Protein Sales'!$B$2:$B$501,A237),99999),IF(COUNTIF('Diet Support'!$B$2:$B$501,A237),_xlfn.MINIFS('Diet Support'!$A$2:$A$501,'Diet Support'!$B$2:$B$501,A237),99999)))</f>
        <v/>
      </c>
      <c r="D237" s="18" t="str">
        <f aca="false">IF(OR(A237="",COUNTIF('Injection Sales'!$B$2:$B$501,A237)+COUNTIF('Protein Sales'!$B$2:$B$501,A237)+COUNTIF('Diet Support'!$B$2:$B$501,A237)=0),"",MAX(_xlfn.MAXIFS('Injection Sales'!$A$2:$A$501,'Injection Sales'!$B$2:$B$501,A237),_xlfn.MAXIFS('Protein Sales'!$A$2:$A$501,'Protein Sales'!$B$2:$B$501,A237),_xlfn.MAXIFS('Diet Support'!$A$2:$A$501,'Diet Support'!$B$2:$B$501,A237)))</f>
        <v/>
      </c>
      <c r="E237" s="19" t="str">
        <f aca="false">IF(A237="","",COUNTIF('Injection Sales'!$B$2:$B$501,A237)+COUNTIF('Protein Sales'!$B$2:$B$501,A237)+COUNTIF('Diet Support'!$B$2:$B$501,A237))</f>
        <v/>
      </c>
      <c r="F237" s="20" t="str">
        <f aca="false">IF(A237="","",SUMIF('Injection Sales'!$B$2:$B$501,A237,'Injection Sales'!$G$2:$G$501)+SUMIF('Protein Sales'!$B$2:$B$501,A237,'Protein Sales'!$F$2:$F$501)+SUMIF('Diet Support'!$B$2:$B$501,A237,'Diet Support'!$E$2:$E$501))</f>
        <v/>
      </c>
      <c r="G237" s="21" t="str">
        <f aca="false">IF(OR(A237="",COUNTIF('Injection Sales'!$B$2:$B$501,A237)=0),"",IFERROR(LOOKUP(2,1/(('Injection Sales'!$B$2:$B$501=A237)*('Injection Sales'!$A$2:$A$501=_xlfn.MAXIFS('Injection Sales'!$A$2:$A$501,'Injection Sales'!$B$2:$B$501,A237))),'Injection Sales'!$E$2:$E$501),""))</f>
        <v/>
      </c>
      <c r="H237" s="21" t="str">
        <f aca="false">IF(OR(A237="",COUNTIF('Injection Sales'!$B$2:$B$501,A237)=0),"",IFERROR(LOOKUP(2,1/(('Injection Sales'!$B$2:$B$501=A237)*('Injection Sales'!$A$2:$A$501=_xlfn.MAXIFS('Injection Sales'!$A$2:$A$501,'Injection Sales'!$B$2:$B$501,A237))),'Injection Sales'!$H$2:$H$501),""))</f>
        <v/>
      </c>
      <c r="I237" s="21" t="str">
        <f aca="true">IF(OR(A237="",D237=""),"",IF(TODAY()-D237&lt;=Settings!$B$7,"Active","Inactive"))</f>
        <v/>
      </c>
    </row>
    <row r="238" customFormat="false" ht="15" hidden="false" customHeight="false" outlineLevel="0" collapsed="false">
      <c r="A238" s="1"/>
      <c r="B238" s="22"/>
      <c r="C238" s="18" t="str">
        <f aca="false">IF(OR(A238="",COUNTIF('Injection Sales'!$B$2:$B$501,A238)+COUNTIF('Protein Sales'!$B$2:$B$501,A238)+COUNTIF('Diet Support'!$B$2:$B$501,A238)=0),"",MIN(IF(COUNTIF('Injection Sales'!$B$2:$B$501,A238),_xlfn.MINIFS('Injection Sales'!$A$2:$A$501,'Injection Sales'!$B$2:$B$501,A238),99999),IF(COUNTIF('Protein Sales'!$B$2:$B$501,A238),_xlfn.MINIFS('Protein Sales'!$A$2:$A$501,'Protein Sales'!$B$2:$B$501,A238),99999),IF(COUNTIF('Diet Support'!$B$2:$B$501,A238),_xlfn.MINIFS('Diet Support'!$A$2:$A$501,'Diet Support'!$B$2:$B$501,A238),99999)))</f>
        <v/>
      </c>
      <c r="D238" s="18" t="str">
        <f aca="false">IF(OR(A238="",COUNTIF('Injection Sales'!$B$2:$B$501,A238)+COUNTIF('Protein Sales'!$B$2:$B$501,A238)+COUNTIF('Diet Support'!$B$2:$B$501,A238)=0),"",MAX(_xlfn.MAXIFS('Injection Sales'!$A$2:$A$501,'Injection Sales'!$B$2:$B$501,A238),_xlfn.MAXIFS('Protein Sales'!$A$2:$A$501,'Protein Sales'!$B$2:$B$501,A238),_xlfn.MAXIFS('Diet Support'!$A$2:$A$501,'Diet Support'!$B$2:$B$501,A238)))</f>
        <v/>
      </c>
      <c r="E238" s="19" t="str">
        <f aca="false">IF(A238="","",COUNTIF('Injection Sales'!$B$2:$B$501,A238)+COUNTIF('Protein Sales'!$B$2:$B$501,A238)+COUNTIF('Diet Support'!$B$2:$B$501,A238))</f>
        <v/>
      </c>
      <c r="F238" s="20" t="str">
        <f aca="false">IF(A238="","",SUMIF('Injection Sales'!$B$2:$B$501,A238,'Injection Sales'!$G$2:$G$501)+SUMIF('Protein Sales'!$B$2:$B$501,A238,'Protein Sales'!$F$2:$F$501)+SUMIF('Diet Support'!$B$2:$B$501,A238,'Diet Support'!$E$2:$E$501))</f>
        <v/>
      </c>
      <c r="G238" s="21" t="str">
        <f aca="false">IF(OR(A238="",COUNTIF('Injection Sales'!$B$2:$B$501,A238)=0),"",IFERROR(LOOKUP(2,1/(('Injection Sales'!$B$2:$B$501=A238)*('Injection Sales'!$A$2:$A$501=_xlfn.MAXIFS('Injection Sales'!$A$2:$A$501,'Injection Sales'!$B$2:$B$501,A238))),'Injection Sales'!$E$2:$E$501),""))</f>
        <v/>
      </c>
      <c r="H238" s="21" t="str">
        <f aca="false">IF(OR(A238="",COUNTIF('Injection Sales'!$B$2:$B$501,A238)=0),"",IFERROR(LOOKUP(2,1/(('Injection Sales'!$B$2:$B$501=A238)*('Injection Sales'!$A$2:$A$501=_xlfn.MAXIFS('Injection Sales'!$A$2:$A$501,'Injection Sales'!$B$2:$B$501,A238))),'Injection Sales'!$H$2:$H$501),""))</f>
        <v/>
      </c>
      <c r="I238" s="21" t="str">
        <f aca="true">IF(OR(A238="",D238=""),"",IF(TODAY()-D238&lt;=Settings!$B$7,"Active","Inactive"))</f>
        <v/>
      </c>
    </row>
    <row r="239" customFormat="false" ht="15" hidden="false" customHeight="false" outlineLevel="0" collapsed="false">
      <c r="A239" s="1"/>
      <c r="B239" s="22"/>
      <c r="C239" s="18" t="str">
        <f aca="false">IF(OR(A239="",COUNTIF('Injection Sales'!$B$2:$B$501,A239)+COUNTIF('Protein Sales'!$B$2:$B$501,A239)+COUNTIF('Diet Support'!$B$2:$B$501,A239)=0),"",MIN(IF(COUNTIF('Injection Sales'!$B$2:$B$501,A239),_xlfn.MINIFS('Injection Sales'!$A$2:$A$501,'Injection Sales'!$B$2:$B$501,A239),99999),IF(COUNTIF('Protein Sales'!$B$2:$B$501,A239),_xlfn.MINIFS('Protein Sales'!$A$2:$A$501,'Protein Sales'!$B$2:$B$501,A239),99999),IF(COUNTIF('Diet Support'!$B$2:$B$501,A239),_xlfn.MINIFS('Diet Support'!$A$2:$A$501,'Diet Support'!$B$2:$B$501,A239),99999)))</f>
        <v/>
      </c>
      <c r="D239" s="18" t="str">
        <f aca="false">IF(OR(A239="",COUNTIF('Injection Sales'!$B$2:$B$501,A239)+COUNTIF('Protein Sales'!$B$2:$B$501,A239)+COUNTIF('Diet Support'!$B$2:$B$501,A239)=0),"",MAX(_xlfn.MAXIFS('Injection Sales'!$A$2:$A$501,'Injection Sales'!$B$2:$B$501,A239),_xlfn.MAXIFS('Protein Sales'!$A$2:$A$501,'Protein Sales'!$B$2:$B$501,A239),_xlfn.MAXIFS('Diet Support'!$A$2:$A$501,'Diet Support'!$B$2:$B$501,A239)))</f>
        <v/>
      </c>
      <c r="E239" s="19" t="str">
        <f aca="false">IF(A239="","",COUNTIF('Injection Sales'!$B$2:$B$501,A239)+COUNTIF('Protein Sales'!$B$2:$B$501,A239)+COUNTIF('Diet Support'!$B$2:$B$501,A239))</f>
        <v/>
      </c>
      <c r="F239" s="20" t="str">
        <f aca="false">IF(A239="","",SUMIF('Injection Sales'!$B$2:$B$501,A239,'Injection Sales'!$G$2:$G$501)+SUMIF('Protein Sales'!$B$2:$B$501,A239,'Protein Sales'!$F$2:$F$501)+SUMIF('Diet Support'!$B$2:$B$501,A239,'Diet Support'!$E$2:$E$501))</f>
        <v/>
      </c>
      <c r="G239" s="21" t="str">
        <f aca="false">IF(OR(A239="",COUNTIF('Injection Sales'!$B$2:$B$501,A239)=0),"",IFERROR(LOOKUP(2,1/(('Injection Sales'!$B$2:$B$501=A239)*('Injection Sales'!$A$2:$A$501=_xlfn.MAXIFS('Injection Sales'!$A$2:$A$501,'Injection Sales'!$B$2:$B$501,A239))),'Injection Sales'!$E$2:$E$501),""))</f>
        <v/>
      </c>
      <c r="H239" s="21" t="str">
        <f aca="false">IF(OR(A239="",COUNTIF('Injection Sales'!$B$2:$B$501,A239)=0),"",IFERROR(LOOKUP(2,1/(('Injection Sales'!$B$2:$B$501=A239)*('Injection Sales'!$A$2:$A$501=_xlfn.MAXIFS('Injection Sales'!$A$2:$A$501,'Injection Sales'!$B$2:$B$501,A239))),'Injection Sales'!$H$2:$H$501),""))</f>
        <v/>
      </c>
      <c r="I239" s="21" t="str">
        <f aca="true">IF(OR(A239="",D239=""),"",IF(TODAY()-D239&lt;=Settings!$B$7,"Active","Inactive"))</f>
        <v/>
      </c>
    </row>
    <row r="240" customFormat="false" ht="15" hidden="false" customHeight="false" outlineLevel="0" collapsed="false">
      <c r="A240" s="1"/>
      <c r="B240" s="22"/>
      <c r="C240" s="18" t="str">
        <f aca="false">IF(OR(A240="",COUNTIF('Injection Sales'!$B$2:$B$501,A240)+COUNTIF('Protein Sales'!$B$2:$B$501,A240)+COUNTIF('Diet Support'!$B$2:$B$501,A240)=0),"",MIN(IF(COUNTIF('Injection Sales'!$B$2:$B$501,A240),_xlfn.MINIFS('Injection Sales'!$A$2:$A$501,'Injection Sales'!$B$2:$B$501,A240),99999),IF(COUNTIF('Protein Sales'!$B$2:$B$501,A240),_xlfn.MINIFS('Protein Sales'!$A$2:$A$501,'Protein Sales'!$B$2:$B$501,A240),99999),IF(COUNTIF('Diet Support'!$B$2:$B$501,A240),_xlfn.MINIFS('Diet Support'!$A$2:$A$501,'Diet Support'!$B$2:$B$501,A240),99999)))</f>
        <v/>
      </c>
      <c r="D240" s="18" t="str">
        <f aca="false">IF(OR(A240="",COUNTIF('Injection Sales'!$B$2:$B$501,A240)+COUNTIF('Protein Sales'!$B$2:$B$501,A240)+COUNTIF('Diet Support'!$B$2:$B$501,A240)=0),"",MAX(_xlfn.MAXIFS('Injection Sales'!$A$2:$A$501,'Injection Sales'!$B$2:$B$501,A240),_xlfn.MAXIFS('Protein Sales'!$A$2:$A$501,'Protein Sales'!$B$2:$B$501,A240),_xlfn.MAXIFS('Diet Support'!$A$2:$A$501,'Diet Support'!$B$2:$B$501,A240)))</f>
        <v/>
      </c>
      <c r="E240" s="19" t="str">
        <f aca="false">IF(A240="","",COUNTIF('Injection Sales'!$B$2:$B$501,A240)+COUNTIF('Protein Sales'!$B$2:$B$501,A240)+COUNTIF('Diet Support'!$B$2:$B$501,A240))</f>
        <v/>
      </c>
      <c r="F240" s="20" t="str">
        <f aca="false">IF(A240="","",SUMIF('Injection Sales'!$B$2:$B$501,A240,'Injection Sales'!$G$2:$G$501)+SUMIF('Protein Sales'!$B$2:$B$501,A240,'Protein Sales'!$F$2:$F$501)+SUMIF('Diet Support'!$B$2:$B$501,A240,'Diet Support'!$E$2:$E$501))</f>
        <v/>
      </c>
      <c r="G240" s="21" t="str">
        <f aca="false">IF(OR(A240="",COUNTIF('Injection Sales'!$B$2:$B$501,A240)=0),"",IFERROR(LOOKUP(2,1/(('Injection Sales'!$B$2:$B$501=A240)*('Injection Sales'!$A$2:$A$501=_xlfn.MAXIFS('Injection Sales'!$A$2:$A$501,'Injection Sales'!$B$2:$B$501,A240))),'Injection Sales'!$E$2:$E$501),""))</f>
        <v/>
      </c>
      <c r="H240" s="21" t="str">
        <f aca="false">IF(OR(A240="",COUNTIF('Injection Sales'!$B$2:$B$501,A240)=0),"",IFERROR(LOOKUP(2,1/(('Injection Sales'!$B$2:$B$501=A240)*('Injection Sales'!$A$2:$A$501=_xlfn.MAXIFS('Injection Sales'!$A$2:$A$501,'Injection Sales'!$B$2:$B$501,A240))),'Injection Sales'!$H$2:$H$501),""))</f>
        <v/>
      </c>
      <c r="I240" s="21" t="str">
        <f aca="true">IF(OR(A240="",D240=""),"",IF(TODAY()-D240&lt;=Settings!$B$7,"Active","Inactive"))</f>
        <v/>
      </c>
    </row>
    <row r="241" customFormat="false" ht="15" hidden="false" customHeight="false" outlineLevel="0" collapsed="false">
      <c r="A241" s="1"/>
      <c r="B241" s="22"/>
      <c r="C241" s="18" t="str">
        <f aca="false">IF(OR(A241="",COUNTIF('Injection Sales'!$B$2:$B$501,A241)+COUNTIF('Protein Sales'!$B$2:$B$501,A241)+COUNTIF('Diet Support'!$B$2:$B$501,A241)=0),"",MIN(IF(COUNTIF('Injection Sales'!$B$2:$B$501,A241),_xlfn.MINIFS('Injection Sales'!$A$2:$A$501,'Injection Sales'!$B$2:$B$501,A241),99999),IF(COUNTIF('Protein Sales'!$B$2:$B$501,A241),_xlfn.MINIFS('Protein Sales'!$A$2:$A$501,'Protein Sales'!$B$2:$B$501,A241),99999),IF(COUNTIF('Diet Support'!$B$2:$B$501,A241),_xlfn.MINIFS('Diet Support'!$A$2:$A$501,'Diet Support'!$B$2:$B$501,A241),99999)))</f>
        <v/>
      </c>
      <c r="D241" s="18" t="str">
        <f aca="false">IF(OR(A241="",COUNTIF('Injection Sales'!$B$2:$B$501,A241)+COUNTIF('Protein Sales'!$B$2:$B$501,A241)+COUNTIF('Diet Support'!$B$2:$B$501,A241)=0),"",MAX(_xlfn.MAXIFS('Injection Sales'!$A$2:$A$501,'Injection Sales'!$B$2:$B$501,A241),_xlfn.MAXIFS('Protein Sales'!$A$2:$A$501,'Protein Sales'!$B$2:$B$501,A241),_xlfn.MAXIFS('Diet Support'!$A$2:$A$501,'Diet Support'!$B$2:$B$501,A241)))</f>
        <v/>
      </c>
      <c r="E241" s="19" t="str">
        <f aca="false">IF(A241="","",COUNTIF('Injection Sales'!$B$2:$B$501,A241)+COUNTIF('Protein Sales'!$B$2:$B$501,A241)+COUNTIF('Diet Support'!$B$2:$B$501,A241))</f>
        <v/>
      </c>
      <c r="F241" s="20" t="str">
        <f aca="false">IF(A241="","",SUMIF('Injection Sales'!$B$2:$B$501,A241,'Injection Sales'!$G$2:$G$501)+SUMIF('Protein Sales'!$B$2:$B$501,A241,'Protein Sales'!$F$2:$F$501)+SUMIF('Diet Support'!$B$2:$B$501,A241,'Diet Support'!$E$2:$E$501))</f>
        <v/>
      </c>
      <c r="G241" s="21" t="str">
        <f aca="false">IF(OR(A241="",COUNTIF('Injection Sales'!$B$2:$B$501,A241)=0),"",IFERROR(LOOKUP(2,1/(('Injection Sales'!$B$2:$B$501=A241)*('Injection Sales'!$A$2:$A$501=_xlfn.MAXIFS('Injection Sales'!$A$2:$A$501,'Injection Sales'!$B$2:$B$501,A241))),'Injection Sales'!$E$2:$E$501),""))</f>
        <v/>
      </c>
      <c r="H241" s="21" t="str">
        <f aca="false">IF(OR(A241="",COUNTIF('Injection Sales'!$B$2:$B$501,A241)=0),"",IFERROR(LOOKUP(2,1/(('Injection Sales'!$B$2:$B$501=A241)*('Injection Sales'!$A$2:$A$501=_xlfn.MAXIFS('Injection Sales'!$A$2:$A$501,'Injection Sales'!$B$2:$B$501,A241))),'Injection Sales'!$H$2:$H$501),""))</f>
        <v/>
      </c>
      <c r="I241" s="21" t="str">
        <f aca="true">IF(OR(A241="",D241=""),"",IF(TODAY()-D241&lt;=Settings!$B$7,"Active","Inactive"))</f>
        <v/>
      </c>
    </row>
    <row r="242" customFormat="false" ht="15" hidden="false" customHeight="false" outlineLevel="0" collapsed="false">
      <c r="A242" s="1"/>
      <c r="B242" s="22"/>
      <c r="C242" s="18" t="str">
        <f aca="false">IF(OR(A242="",COUNTIF('Injection Sales'!$B$2:$B$501,A242)+COUNTIF('Protein Sales'!$B$2:$B$501,A242)+COUNTIF('Diet Support'!$B$2:$B$501,A242)=0),"",MIN(IF(COUNTIF('Injection Sales'!$B$2:$B$501,A242),_xlfn.MINIFS('Injection Sales'!$A$2:$A$501,'Injection Sales'!$B$2:$B$501,A242),99999),IF(COUNTIF('Protein Sales'!$B$2:$B$501,A242),_xlfn.MINIFS('Protein Sales'!$A$2:$A$501,'Protein Sales'!$B$2:$B$501,A242),99999),IF(COUNTIF('Diet Support'!$B$2:$B$501,A242),_xlfn.MINIFS('Diet Support'!$A$2:$A$501,'Diet Support'!$B$2:$B$501,A242),99999)))</f>
        <v/>
      </c>
      <c r="D242" s="18" t="str">
        <f aca="false">IF(OR(A242="",COUNTIF('Injection Sales'!$B$2:$B$501,A242)+COUNTIF('Protein Sales'!$B$2:$B$501,A242)+COUNTIF('Diet Support'!$B$2:$B$501,A242)=0),"",MAX(_xlfn.MAXIFS('Injection Sales'!$A$2:$A$501,'Injection Sales'!$B$2:$B$501,A242),_xlfn.MAXIFS('Protein Sales'!$A$2:$A$501,'Protein Sales'!$B$2:$B$501,A242),_xlfn.MAXIFS('Diet Support'!$A$2:$A$501,'Diet Support'!$B$2:$B$501,A242)))</f>
        <v/>
      </c>
      <c r="E242" s="19" t="str">
        <f aca="false">IF(A242="","",COUNTIF('Injection Sales'!$B$2:$B$501,A242)+COUNTIF('Protein Sales'!$B$2:$B$501,A242)+COUNTIF('Diet Support'!$B$2:$B$501,A242))</f>
        <v/>
      </c>
      <c r="F242" s="20" t="str">
        <f aca="false">IF(A242="","",SUMIF('Injection Sales'!$B$2:$B$501,A242,'Injection Sales'!$G$2:$G$501)+SUMIF('Protein Sales'!$B$2:$B$501,A242,'Protein Sales'!$F$2:$F$501)+SUMIF('Diet Support'!$B$2:$B$501,A242,'Diet Support'!$E$2:$E$501))</f>
        <v/>
      </c>
      <c r="G242" s="21" t="str">
        <f aca="false">IF(OR(A242="",COUNTIF('Injection Sales'!$B$2:$B$501,A242)=0),"",IFERROR(LOOKUP(2,1/(('Injection Sales'!$B$2:$B$501=A242)*('Injection Sales'!$A$2:$A$501=_xlfn.MAXIFS('Injection Sales'!$A$2:$A$501,'Injection Sales'!$B$2:$B$501,A242))),'Injection Sales'!$E$2:$E$501),""))</f>
        <v/>
      </c>
      <c r="H242" s="21" t="str">
        <f aca="false">IF(OR(A242="",COUNTIF('Injection Sales'!$B$2:$B$501,A242)=0),"",IFERROR(LOOKUP(2,1/(('Injection Sales'!$B$2:$B$501=A242)*('Injection Sales'!$A$2:$A$501=_xlfn.MAXIFS('Injection Sales'!$A$2:$A$501,'Injection Sales'!$B$2:$B$501,A242))),'Injection Sales'!$H$2:$H$501),""))</f>
        <v/>
      </c>
      <c r="I242" s="21" t="str">
        <f aca="true">IF(OR(A242="",D242=""),"",IF(TODAY()-D242&lt;=Settings!$B$7,"Active","Inactive"))</f>
        <v/>
      </c>
    </row>
    <row r="243" customFormat="false" ht="15" hidden="false" customHeight="false" outlineLevel="0" collapsed="false">
      <c r="A243" s="1"/>
      <c r="B243" s="22"/>
      <c r="C243" s="18" t="str">
        <f aca="false">IF(OR(A243="",COUNTIF('Injection Sales'!$B$2:$B$501,A243)+COUNTIF('Protein Sales'!$B$2:$B$501,A243)+COUNTIF('Diet Support'!$B$2:$B$501,A243)=0),"",MIN(IF(COUNTIF('Injection Sales'!$B$2:$B$501,A243),_xlfn.MINIFS('Injection Sales'!$A$2:$A$501,'Injection Sales'!$B$2:$B$501,A243),99999),IF(COUNTIF('Protein Sales'!$B$2:$B$501,A243),_xlfn.MINIFS('Protein Sales'!$A$2:$A$501,'Protein Sales'!$B$2:$B$501,A243),99999),IF(COUNTIF('Diet Support'!$B$2:$B$501,A243),_xlfn.MINIFS('Diet Support'!$A$2:$A$501,'Diet Support'!$B$2:$B$501,A243),99999)))</f>
        <v/>
      </c>
      <c r="D243" s="18" t="str">
        <f aca="false">IF(OR(A243="",COUNTIF('Injection Sales'!$B$2:$B$501,A243)+COUNTIF('Protein Sales'!$B$2:$B$501,A243)+COUNTIF('Diet Support'!$B$2:$B$501,A243)=0),"",MAX(_xlfn.MAXIFS('Injection Sales'!$A$2:$A$501,'Injection Sales'!$B$2:$B$501,A243),_xlfn.MAXIFS('Protein Sales'!$A$2:$A$501,'Protein Sales'!$B$2:$B$501,A243),_xlfn.MAXIFS('Diet Support'!$A$2:$A$501,'Diet Support'!$B$2:$B$501,A243)))</f>
        <v/>
      </c>
      <c r="E243" s="19" t="str">
        <f aca="false">IF(A243="","",COUNTIF('Injection Sales'!$B$2:$B$501,A243)+COUNTIF('Protein Sales'!$B$2:$B$501,A243)+COUNTIF('Diet Support'!$B$2:$B$501,A243))</f>
        <v/>
      </c>
      <c r="F243" s="20" t="str">
        <f aca="false">IF(A243="","",SUMIF('Injection Sales'!$B$2:$B$501,A243,'Injection Sales'!$G$2:$G$501)+SUMIF('Protein Sales'!$B$2:$B$501,A243,'Protein Sales'!$F$2:$F$501)+SUMIF('Diet Support'!$B$2:$B$501,A243,'Diet Support'!$E$2:$E$501))</f>
        <v/>
      </c>
      <c r="G243" s="21" t="str">
        <f aca="false">IF(OR(A243="",COUNTIF('Injection Sales'!$B$2:$B$501,A243)=0),"",IFERROR(LOOKUP(2,1/(('Injection Sales'!$B$2:$B$501=A243)*('Injection Sales'!$A$2:$A$501=_xlfn.MAXIFS('Injection Sales'!$A$2:$A$501,'Injection Sales'!$B$2:$B$501,A243))),'Injection Sales'!$E$2:$E$501),""))</f>
        <v/>
      </c>
      <c r="H243" s="21" t="str">
        <f aca="false">IF(OR(A243="",COUNTIF('Injection Sales'!$B$2:$B$501,A243)=0),"",IFERROR(LOOKUP(2,1/(('Injection Sales'!$B$2:$B$501=A243)*('Injection Sales'!$A$2:$A$501=_xlfn.MAXIFS('Injection Sales'!$A$2:$A$501,'Injection Sales'!$B$2:$B$501,A243))),'Injection Sales'!$H$2:$H$501),""))</f>
        <v/>
      </c>
      <c r="I243" s="21" t="str">
        <f aca="true">IF(OR(A243="",D243=""),"",IF(TODAY()-D243&lt;=Settings!$B$7,"Active","Inactive"))</f>
        <v/>
      </c>
    </row>
    <row r="244" customFormat="false" ht="15" hidden="false" customHeight="false" outlineLevel="0" collapsed="false">
      <c r="A244" s="1"/>
      <c r="B244" s="22"/>
      <c r="C244" s="18" t="str">
        <f aca="false">IF(OR(A244="",COUNTIF('Injection Sales'!$B$2:$B$501,A244)+COUNTIF('Protein Sales'!$B$2:$B$501,A244)+COUNTIF('Diet Support'!$B$2:$B$501,A244)=0),"",MIN(IF(COUNTIF('Injection Sales'!$B$2:$B$501,A244),_xlfn.MINIFS('Injection Sales'!$A$2:$A$501,'Injection Sales'!$B$2:$B$501,A244),99999),IF(COUNTIF('Protein Sales'!$B$2:$B$501,A244),_xlfn.MINIFS('Protein Sales'!$A$2:$A$501,'Protein Sales'!$B$2:$B$501,A244),99999),IF(COUNTIF('Diet Support'!$B$2:$B$501,A244),_xlfn.MINIFS('Diet Support'!$A$2:$A$501,'Diet Support'!$B$2:$B$501,A244),99999)))</f>
        <v/>
      </c>
      <c r="D244" s="18" t="str">
        <f aca="false">IF(OR(A244="",COUNTIF('Injection Sales'!$B$2:$B$501,A244)+COUNTIF('Protein Sales'!$B$2:$B$501,A244)+COUNTIF('Diet Support'!$B$2:$B$501,A244)=0),"",MAX(_xlfn.MAXIFS('Injection Sales'!$A$2:$A$501,'Injection Sales'!$B$2:$B$501,A244),_xlfn.MAXIFS('Protein Sales'!$A$2:$A$501,'Protein Sales'!$B$2:$B$501,A244),_xlfn.MAXIFS('Diet Support'!$A$2:$A$501,'Diet Support'!$B$2:$B$501,A244)))</f>
        <v/>
      </c>
      <c r="E244" s="19" t="str">
        <f aca="false">IF(A244="","",COUNTIF('Injection Sales'!$B$2:$B$501,A244)+COUNTIF('Protein Sales'!$B$2:$B$501,A244)+COUNTIF('Diet Support'!$B$2:$B$501,A244))</f>
        <v/>
      </c>
      <c r="F244" s="20" t="str">
        <f aca="false">IF(A244="","",SUMIF('Injection Sales'!$B$2:$B$501,A244,'Injection Sales'!$G$2:$G$501)+SUMIF('Protein Sales'!$B$2:$B$501,A244,'Protein Sales'!$F$2:$F$501)+SUMIF('Diet Support'!$B$2:$B$501,A244,'Diet Support'!$E$2:$E$501))</f>
        <v/>
      </c>
      <c r="G244" s="21" t="str">
        <f aca="false">IF(OR(A244="",COUNTIF('Injection Sales'!$B$2:$B$501,A244)=0),"",IFERROR(LOOKUP(2,1/(('Injection Sales'!$B$2:$B$501=A244)*('Injection Sales'!$A$2:$A$501=_xlfn.MAXIFS('Injection Sales'!$A$2:$A$501,'Injection Sales'!$B$2:$B$501,A244))),'Injection Sales'!$E$2:$E$501),""))</f>
        <v/>
      </c>
      <c r="H244" s="21" t="str">
        <f aca="false">IF(OR(A244="",COUNTIF('Injection Sales'!$B$2:$B$501,A244)=0),"",IFERROR(LOOKUP(2,1/(('Injection Sales'!$B$2:$B$501=A244)*('Injection Sales'!$A$2:$A$501=_xlfn.MAXIFS('Injection Sales'!$A$2:$A$501,'Injection Sales'!$B$2:$B$501,A244))),'Injection Sales'!$H$2:$H$501),""))</f>
        <v/>
      </c>
      <c r="I244" s="21" t="str">
        <f aca="true">IF(OR(A244="",D244=""),"",IF(TODAY()-D244&lt;=Settings!$B$7,"Active","Inactive"))</f>
        <v/>
      </c>
    </row>
    <row r="245" customFormat="false" ht="15" hidden="false" customHeight="false" outlineLevel="0" collapsed="false">
      <c r="A245" s="1"/>
      <c r="B245" s="22"/>
      <c r="C245" s="18" t="str">
        <f aca="false">IF(OR(A245="",COUNTIF('Injection Sales'!$B$2:$B$501,A245)+COUNTIF('Protein Sales'!$B$2:$B$501,A245)+COUNTIF('Diet Support'!$B$2:$B$501,A245)=0),"",MIN(IF(COUNTIF('Injection Sales'!$B$2:$B$501,A245),_xlfn.MINIFS('Injection Sales'!$A$2:$A$501,'Injection Sales'!$B$2:$B$501,A245),99999),IF(COUNTIF('Protein Sales'!$B$2:$B$501,A245),_xlfn.MINIFS('Protein Sales'!$A$2:$A$501,'Protein Sales'!$B$2:$B$501,A245),99999),IF(COUNTIF('Diet Support'!$B$2:$B$501,A245),_xlfn.MINIFS('Diet Support'!$A$2:$A$501,'Diet Support'!$B$2:$B$501,A245),99999)))</f>
        <v/>
      </c>
      <c r="D245" s="18" t="str">
        <f aca="false">IF(OR(A245="",COUNTIF('Injection Sales'!$B$2:$B$501,A245)+COUNTIF('Protein Sales'!$B$2:$B$501,A245)+COUNTIF('Diet Support'!$B$2:$B$501,A245)=0),"",MAX(_xlfn.MAXIFS('Injection Sales'!$A$2:$A$501,'Injection Sales'!$B$2:$B$501,A245),_xlfn.MAXIFS('Protein Sales'!$A$2:$A$501,'Protein Sales'!$B$2:$B$501,A245),_xlfn.MAXIFS('Diet Support'!$A$2:$A$501,'Diet Support'!$B$2:$B$501,A245)))</f>
        <v/>
      </c>
      <c r="E245" s="19" t="str">
        <f aca="false">IF(A245="","",COUNTIF('Injection Sales'!$B$2:$B$501,A245)+COUNTIF('Protein Sales'!$B$2:$B$501,A245)+COUNTIF('Diet Support'!$B$2:$B$501,A245))</f>
        <v/>
      </c>
      <c r="F245" s="20" t="str">
        <f aca="false">IF(A245="","",SUMIF('Injection Sales'!$B$2:$B$501,A245,'Injection Sales'!$G$2:$G$501)+SUMIF('Protein Sales'!$B$2:$B$501,A245,'Protein Sales'!$F$2:$F$501)+SUMIF('Diet Support'!$B$2:$B$501,A245,'Diet Support'!$E$2:$E$501))</f>
        <v/>
      </c>
      <c r="G245" s="21" t="str">
        <f aca="false">IF(OR(A245="",COUNTIF('Injection Sales'!$B$2:$B$501,A245)=0),"",IFERROR(LOOKUP(2,1/(('Injection Sales'!$B$2:$B$501=A245)*('Injection Sales'!$A$2:$A$501=_xlfn.MAXIFS('Injection Sales'!$A$2:$A$501,'Injection Sales'!$B$2:$B$501,A245))),'Injection Sales'!$E$2:$E$501),""))</f>
        <v/>
      </c>
      <c r="H245" s="21" t="str">
        <f aca="false">IF(OR(A245="",COUNTIF('Injection Sales'!$B$2:$B$501,A245)=0),"",IFERROR(LOOKUP(2,1/(('Injection Sales'!$B$2:$B$501=A245)*('Injection Sales'!$A$2:$A$501=_xlfn.MAXIFS('Injection Sales'!$A$2:$A$501,'Injection Sales'!$B$2:$B$501,A245))),'Injection Sales'!$H$2:$H$501),""))</f>
        <v/>
      </c>
      <c r="I245" s="21" t="str">
        <f aca="true">IF(OR(A245="",D245=""),"",IF(TODAY()-D245&lt;=Settings!$B$7,"Active","Inactive"))</f>
        <v/>
      </c>
    </row>
    <row r="246" customFormat="false" ht="15" hidden="false" customHeight="false" outlineLevel="0" collapsed="false">
      <c r="A246" s="1"/>
      <c r="B246" s="22"/>
      <c r="C246" s="18" t="str">
        <f aca="false">IF(OR(A246="",COUNTIF('Injection Sales'!$B$2:$B$501,A246)+COUNTIF('Protein Sales'!$B$2:$B$501,A246)+COUNTIF('Diet Support'!$B$2:$B$501,A246)=0),"",MIN(IF(COUNTIF('Injection Sales'!$B$2:$B$501,A246),_xlfn.MINIFS('Injection Sales'!$A$2:$A$501,'Injection Sales'!$B$2:$B$501,A246),99999),IF(COUNTIF('Protein Sales'!$B$2:$B$501,A246),_xlfn.MINIFS('Protein Sales'!$A$2:$A$501,'Protein Sales'!$B$2:$B$501,A246),99999),IF(COUNTIF('Diet Support'!$B$2:$B$501,A246),_xlfn.MINIFS('Diet Support'!$A$2:$A$501,'Diet Support'!$B$2:$B$501,A246),99999)))</f>
        <v/>
      </c>
      <c r="D246" s="18" t="str">
        <f aca="false">IF(OR(A246="",COUNTIF('Injection Sales'!$B$2:$B$501,A246)+COUNTIF('Protein Sales'!$B$2:$B$501,A246)+COUNTIF('Diet Support'!$B$2:$B$501,A246)=0),"",MAX(_xlfn.MAXIFS('Injection Sales'!$A$2:$A$501,'Injection Sales'!$B$2:$B$501,A246),_xlfn.MAXIFS('Protein Sales'!$A$2:$A$501,'Protein Sales'!$B$2:$B$501,A246),_xlfn.MAXIFS('Diet Support'!$A$2:$A$501,'Diet Support'!$B$2:$B$501,A246)))</f>
        <v/>
      </c>
      <c r="E246" s="19" t="str">
        <f aca="false">IF(A246="","",COUNTIF('Injection Sales'!$B$2:$B$501,A246)+COUNTIF('Protein Sales'!$B$2:$B$501,A246)+COUNTIF('Diet Support'!$B$2:$B$501,A246))</f>
        <v/>
      </c>
      <c r="F246" s="20" t="str">
        <f aca="false">IF(A246="","",SUMIF('Injection Sales'!$B$2:$B$501,A246,'Injection Sales'!$G$2:$G$501)+SUMIF('Protein Sales'!$B$2:$B$501,A246,'Protein Sales'!$F$2:$F$501)+SUMIF('Diet Support'!$B$2:$B$501,A246,'Diet Support'!$E$2:$E$501))</f>
        <v/>
      </c>
      <c r="G246" s="21" t="str">
        <f aca="false">IF(OR(A246="",COUNTIF('Injection Sales'!$B$2:$B$501,A246)=0),"",IFERROR(LOOKUP(2,1/(('Injection Sales'!$B$2:$B$501=A246)*('Injection Sales'!$A$2:$A$501=_xlfn.MAXIFS('Injection Sales'!$A$2:$A$501,'Injection Sales'!$B$2:$B$501,A246))),'Injection Sales'!$E$2:$E$501),""))</f>
        <v/>
      </c>
      <c r="H246" s="21" t="str">
        <f aca="false">IF(OR(A246="",COUNTIF('Injection Sales'!$B$2:$B$501,A246)=0),"",IFERROR(LOOKUP(2,1/(('Injection Sales'!$B$2:$B$501=A246)*('Injection Sales'!$A$2:$A$501=_xlfn.MAXIFS('Injection Sales'!$A$2:$A$501,'Injection Sales'!$B$2:$B$501,A246))),'Injection Sales'!$H$2:$H$501),""))</f>
        <v/>
      </c>
      <c r="I246" s="21" t="str">
        <f aca="true">IF(OR(A246="",D246=""),"",IF(TODAY()-D246&lt;=Settings!$B$7,"Active","Inactive"))</f>
        <v/>
      </c>
    </row>
    <row r="247" customFormat="false" ht="15" hidden="false" customHeight="false" outlineLevel="0" collapsed="false">
      <c r="A247" s="1"/>
      <c r="B247" s="22"/>
      <c r="C247" s="18" t="str">
        <f aca="false">IF(OR(A247="",COUNTIF('Injection Sales'!$B$2:$B$501,A247)+COUNTIF('Protein Sales'!$B$2:$B$501,A247)+COUNTIF('Diet Support'!$B$2:$B$501,A247)=0),"",MIN(IF(COUNTIF('Injection Sales'!$B$2:$B$501,A247),_xlfn.MINIFS('Injection Sales'!$A$2:$A$501,'Injection Sales'!$B$2:$B$501,A247),99999),IF(COUNTIF('Protein Sales'!$B$2:$B$501,A247),_xlfn.MINIFS('Protein Sales'!$A$2:$A$501,'Protein Sales'!$B$2:$B$501,A247),99999),IF(COUNTIF('Diet Support'!$B$2:$B$501,A247),_xlfn.MINIFS('Diet Support'!$A$2:$A$501,'Diet Support'!$B$2:$B$501,A247),99999)))</f>
        <v/>
      </c>
      <c r="D247" s="18" t="str">
        <f aca="false">IF(OR(A247="",COUNTIF('Injection Sales'!$B$2:$B$501,A247)+COUNTIF('Protein Sales'!$B$2:$B$501,A247)+COUNTIF('Diet Support'!$B$2:$B$501,A247)=0),"",MAX(_xlfn.MAXIFS('Injection Sales'!$A$2:$A$501,'Injection Sales'!$B$2:$B$501,A247),_xlfn.MAXIFS('Protein Sales'!$A$2:$A$501,'Protein Sales'!$B$2:$B$501,A247),_xlfn.MAXIFS('Diet Support'!$A$2:$A$501,'Diet Support'!$B$2:$B$501,A247)))</f>
        <v/>
      </c>
      <c r="E247" s="19" t="str">
        <f aca="false">IF(A247="","",COUNTIF('Injection Sales'!$B$2:$B$501,A247)+COUNTIF('Protein Sales'!$B$2:$B$501,A247)+COUNTIF('Diet Support'!$B$2:$B$501,A247))</f>
        <v/>
      </c>
      <c r="F247" s="20" t="str">
        <f aca="false">IF(A247="","",SUMIF('Injection Sales'!$B$2:$B$501,A247,'Injection Sales'!$G$2:$G$501)+SUMIF('Protein Sales'!$B$2:$B$501,A247,'Protein Sales'!$F$2:$F$501)+SUMIF('Diet Support'!$B$2:$B$501,A247,'Diet Support'!$E$2:$E$501))</f>
        <v/>
      </c>
      <c r="G247" s="21" t="str">
        <f aca="false">IF(OR(A247="",COUNTIF('Injection Sales'!$B$2:$B$501,A247)=0),"",IFERROR(LOOKUP(2,1/(('Injection Sales'!$B$2:$B$501=A247)*('Injection Sales'!$A$2:$A$501=_xlfn.MAXIFS('Injection Sales'!$A$2:$A$501,'Injection Sales'!$B$2:$B$501,A247))),'Injection Sales'!$E$2:$E$501),""))</f>
        <v/>
      </c>
      <c r="H247" s="21" t="str">
        <f aca="false">IF(OR(A247="",COUNTIF('Injection Sales'!$B$2:$B$501,A247)=0),"",IFERROR(LOOKUP(2,1/(('Injection Sales'!$B$2:$B$501=A247)*('Injection Sales'!$A$2:$A$501=_xlfn.MAXIFS('Injection Sales'!$A$2:$A$501,'Injection Sales'!$B$2:$B$501,A247))),'Injection Sales'!$H$2:$H$501),""))</f>
        <v/>
      </c>
      <c r="I247" s="21" t="str">
        <f aca="true">IF(OR(A247="",D247=""),"",IF(TODAY()-D247&lt;=Settings!$B$7,"Active","Inactive"))</f>
        <v/>
      </c>
    </row>
    <row r="248" customFormat="false" ht="15" hidden="false" customHeight="false" outlineLevel="0" collapsed="false">
      <c r="A248" s="1"/>
      <c r="B248" s="22"/>
      <c r="C248" s="18" t="str">
        <f aca="false">IF(OR(A248="",COUNTIF('Injection Sales'!$B$2:$B$501,A248)+COUNTIF('Protein Sales'!$B$2:$B$501,A248)+COUNTIF('Diet Support'!$B$2:$B$501,A248)=0),"",MIN(IF(COUNTIF('Injection Sales'!$B$2:$B$501,A248),_xlfn.MINIFS('Injection Sales'!$A$2:$A$501,'Injection Sales'!$B$2:$B$501,A248),99999),IF(COUNTIF('Protein Sales'!$B$2:$B$501,A248),_xlfn.MINIFS('Protein Sales'!$A$2:$A$501,'Protein Sales'!$B$2:$B$501,A248),99999),IF(COUNTIF('Diet Support'!$B$2:$B$501,A248),_xlfn.MINIFS('Diet Support'!$A$2:$A$501,'Diet Support'!$B$2:$B$501,A248),99999)))</f>
        <v/>
      </c>
      <c r="D248" s="18" t="str">
        <f aca="false">IF(OR(A248="",COUNTIF('Injection Sales'!$B$2:$B$501,A248)+COUNTIF('Protein Sales'!$B$2:$B$501,A248)+COUNTIF('Diet Support'!$B$2:$B$501,A248)=0),"",MAX(_xlfn.MAXIFS('Injection Sales'!$A$2:$A$501,'Injection Sales'!$B$2:$B$501,A248),_xlfn.MAXIFS('Protein Sales'!$A$2:$A$501,'Protein Sales'!$B$2:$B$501,A248),_xlfn.MAXIFS('Diet Support'!$A$2:$A$501,'Diet Support'!$B$2:$B$501,A248)))</f>
        <v/>
      </c>
      <c r="E248" s="19" t="str">
        <f aca="false">IF(A248="","",COUNTIF('Injection Sales'!$B$2:$B$501,A248)+COUNTIF('Protein Sales'!$B$2:$B$501,A248)+COUNTIF('Diet Support'!$B$2:$B$501,A248))</f>
        <v/>
      </c>
      <c r="F248" s="20" t="str">
        <f aca="false">IF(A248="","",SUMIF('Injection Sales'!$B$2:$B$501,A248,'Injection Sales'!$G$2:$G$501)+SUMIF('Protein Sales'!$B$2:$B$501,A248,'Protein Sales'!$F$2:$F$501)+SUMIF('Diet Support'!$B$2:$B$501,A248,'Diet Support'!$E$2:$E$501))</f>
        <v/>
      </c>
      <c r="G248" s="21" t="str">
        <f aca="false">IF(OR(A248="",COUNTIF('Injection Sales'!$B$2:$B$501,A248)=0),"",IFERROR(LOOKUP(2,1/(('Injection Sales'!$B$2:$B$501=A248)*('Injection Sales'!$A$2:$A$501=_xlfn.MAXIFS('Injection Sales'!$A$2:$A$501,'Injection Sales'!$B$2:$B$501,A248))),'Injection Sales'!$E$2:$E$501),""))</f>
        <v/>
      </c>
      <c r="H248" s="21" t="str">
        <f aca="false">IF(OR(A248="",COUNTIF('Injection Sales'!$B$2:$B$501,A248)=0),"",IFERROR(LOOKUP(2,1/(('Injection Sales'!$B$2:$B$501=A248)*('Injection Sales'!$A$2:$A$501=_xlfn.MAXIFS('Injection Sales'!$A$2:$A$501,'Injection Sales'!$B$2:$B$501,A248))),'Injection Sales'!$H$2:$H$501),""))</f>
        <v/>
      </c>
      <c r="I248" s="21" t="str">
        <f aca="true">IF(OR(A248="",D248=""),"",IF(TODAY()-D248&lt;=Settings!$B$7,"Active","Inactive"))</f>
        <v/>
      </c>
    </row>
    <row r="249" customFormat="false" ht="15" hidden="false" customHeight="false" outlineLevel="0" collapsed="false">
      <c r="A249" s="1"/>
      <c r="B249" s="22"/>
      <c r="C249" s="18" t="str">
        <f aca="false">IF(OR(A249="",COUNTIF('Injection Sales'!$B$2:$B$501,A249)+COUNTIF('Protein Sales'!$B$2:$B$501,A249)+COUNTIF('Diet Support'!$B$2:$B$501,A249)=0),"",MIN(IF(COUNTIF('Injection Sales'!$B$2:$B$501,A249),_xlfn.MINIFS('Injection Sales'!$A$2:$A$501,'Injection Sales'!$B$2:$B$501,A249),99999),IF(COUNTIF('Protein Sales'!$B$2:$B$501,A249),_xlfn.MINIFS('Protein Sales'!$A$2:$A$501,'Protein Sales'!$B$2:$B$501,A249),99999),IF(COUNTIF('Diet Support'!$B$2:$B$501,A249),_xlfn.MINIFS('Diet Support'!$A$2:$A$501,'Diet Support'!$B$2:$B$501,A249),99999)))</f>
        <v/>
      </c>
      <c r="D249" s="18" t="str">
        <f aca="false">IF(OR(A249="",COUNTIF('Injection Sales'!$B$2:$B$501,A249)+COUNTIF('Protein Sales'!$B$2:$B$501,A249)+COUNTIF('Diet Support'!$B$2:$B$501,A249)=0),"",MAX(_xlfn.MAXIFS('Injection Sales'!$A$2:$A$501,'Injection Sales'!$B$2:$B$501,A249),_xlfn.MAXIFS('Protein Sales'!$A$2:$A$501,'Protein Sales'!$B$2:$B$501,A249),_xlfn.MAXIFS('Diet Support'!$A$2:$A$501,'Diet Support'!$B$2:$B$501,A249)))</f>
        <v/>
      </c>
      <c r="E249" s="19" t="str">
        <f aca="false">IF(A249="","",COUNTIF('Injection Sales'!$B$2:$B$501,A249)+COUNTIF('Protein Sales'!$B$2:$B$501,A249)+COUNTIF('Diet Support'!$B$2:$B$501,A249))</f>
        <v/>
      </c>
      <c r="F249" s="20" t="str">
        <f aca="false">IF(A249="","",SUMIF('Injection Sales'!$B$2:$B$501,A249,'Injection Sales'!$G$2:$G$501)+SUMIF('Protein Sales'!$B$2:$B$501,A249,'Protein Sales'!$F$2:$F$501)+SUMIF('Diet Support'!$B$2:$B$501,A249,'Diet Support'!$E$2:$E$501))</f>
        <v/>
      </c>
      <c r="G249" s="21" t="str">
        <f aca="false">IF(OR(A249="",COUNTIF('Injection Sales'!$B$2:$B$501,A249)=0),"",IFERROR(LOOKUP(2,1/(('Injection Sales'!$B$2:$B$501=A249)*('Injection Sales'!$A$2:$A$501=_xlfn.MAXIFS('Injection Sales'!$A$2:$A$501,'Injection Sales'!$B$2:$B$501,A249))),'Injection Sales'!$E$2:$E$501),""))</f>
        <v/>
      </c>
      <c r="H249" s="21" t="str">
        <f aca="false">IF(OR(A249="",COUNTIF('Injection Sales'!$B$2:$B$501,A249)=0),"",IFERROR(LOOKUP(2,1/(('Injection Sales'!$B$2:$B$501=A249)*('Injection Sales'!$A$2:$A$501=_xlfn.MAXIFS('Injection Sales'!$A$2:$A$501,'Injection Sales'!$B$2:$B$501,A249))),'Injection Sales'!$H$2:$H$501),""))</f>
        <v/>
      </c>
      <c r="I249" s="21" t="str">
        <f aca="true">IF(OR(A249="",D249=""),"",IF(TODAY()-D249&lt;=Settings!$B$7,"Active","Inactive"))</f>
        <v/>
      </c>
    </row>
    <row r="250" customFormat="false" ht="15" hidden="false" customHeight="false" outlineLevel="0" collapsed="false">
      <c r="A250" s="1"/>
      <c r="B250" s="22"/>
      <c r="C250" s="18" t="str">
        <f aca="false">IF(OR(A250="",COUNTIF('Injection Sales'!$B$2:$B$501,A250)+COUNTIF('Protein Sales'!$B$2:$B$501,A250)+COUNTIF('Diet Support'!$B$2:$B$501,A250)=0),"",MIN(IF(COUNTIF('Injection Sales'!$B$2:$B$501,A250),_xlfn.MINIFS('Injection Sales'!$A$2:$A$501,'Injection Sales'!$B$2:$B$501,A250),99999),IF(COUNTIF('Protein Sales'!$B$2:$B$501,A250),_xlfn.MINIFS('Protein Sales'!$A$2:$A$501,'Protein Sales'!$B$2:$B$501,A250),99999),IF(COUNTIF('Diet Support'!$B$2:$B$501,A250),_xlfn.MINIFS('Diet Support'!$A$2:$A$501,'Diet Support'!$B$2:$B$501,A250),99999)))</f>
        <v/>
      </c>
      <c r="D250" s="18" t="str">
        <f aca="false">IF(OR(A250="",COUNTIF('Injection Sales'!$B$2:$B$501,A250)+COUNTIF('Protein Sales'!$B$2:$B$501,A250)+COUNTIF('Diet Support'!$B$2:$B$501,A250)=0),"",MAX(_xlfn.MAXIFS('Injection Sales'!$A$2:$A$501,'Injection Sales'!$B$2:$B$501,A250),_xlfn.MAXIFS('Protein Sales'!$A$2:$A$501,'Protein Sales'!$B$2:$B$501,A250),_xlfn.MAXIFS('Diet Support'!$A$2:$A$501,'Diet Support'!$B$2:$B$501,A250)))</f>
        <v/>
      </c>
      <c r="E250" s="19" t="str">
        <f aca="false">IF(A250="","",COUNTIF('Injection Sales'!$B$2:$B$501,A250)+COUNTIF('Protein Sales'!$B$2:$B$501,A250)+COUNTIF('Diet Support'!$B$2:$B$501,A250))</f>
        <v/>
      </c>
      <c r="F250" s="20" t="str">
        <f aca="false">IF(A250="","",SUMIF('Injection Sales'!$B$2:$B$501,A250,'Injection Sales'!$G$2:$G$501)+SUMIF('Protein Sales'!$B$2:$B$501,A250,'Protein Sales'!$F$2:$F$501)+SUMIF('Diet Support'!$B$2:$B$501,A250,'Diet Support'!$E$2:$E$501))</f>
        <v/>
      </c>
      <c r="G250" s="21" t="str">
        <f aca="false">IF(OR(A250="",COUNTIF('Injection Sales'!$B$2:$B$501,A250)=0),"",IFERROR(LOOKUP(2,1/(('Injection Sales'!$B$2:$B$501=A250)*('Injection Sales'!$A$2:$A$501=_xlfn.MAXIFS('Injection Sales'!$A$2:$A$501,'Injection Sales'!$B$2:$B$501,A250))),'Injection Sales'!$E$2:$E$501),""))</f>
        <v/>
      </c>
      <c r="H250" s="21" t="str">
        <f aca="false">IF(OR(A250="",COUNTIF('Injection Sales'!$B$2:$B$501,A250)=0),"",IFERROR(LOOKUP(2,1/(('Injection Sales'!$B$2:$B$501=A250)*('Injection Sales'!$A$2:$A$501=_xlfn.MAXIFS('Injection Sales'!$A$2:$A$501,'Injection Sales'!$B$2:$B$501,A250))),'Injection Sales'!$H$2:$H$501),""))</f>
        <v/>
      </c>
      <c r="I250" s="21" t="str">
        <f aca="true">IF(OR(A250="",D250=""),"",IF(TODAY()-D250&lt;=Settings!$B$7,"Active","Inactive"))</f>
        <v/>
      </c>
    </row>
    <row r="251" customFormat="false" ht="15" hidden="false" customHeight="false" outlineLevel="0" collapsed="false">
      <c r="A251" s="1"/>
      <c r="B251" s="22"/>
      <c r="C251" s="18" t="str">
        <f aca="false">IF(OR(A251="",COUNTIF('Injection Sales'!$B$2:$B$501,A251)+COUNTIF('Protein Sales'!$B$2:$B$501,A251)+COUNTIF('Diet Support'!$B$2:$B$501,A251)=0),"",MIN(IF(COUNTIF('Injection Sales'!$B$2:$B$501,A251),_xlfn.MINIFS('Injection Sales'!$A$2:$A$501,'Injection Sales'!$B$2:$B$501,A251),99999),IF(COUNTIF('Protein Sales'!$B$2:$B$501,A251),_xlfn.MINIFS('Protein Sales'!$A$2:$A$501,'Protein Sales'!$B$2:$B$501,A251),99999),IF(COUNTIF('Diet Support'!$B$2:$B$501,A251),_xlfn.MINIFS('Diet Support'!$A$2:$A$501,'Diet Support'!$B$2:$B$501,A251),99999)))</f>
        <v/>
      </c>
      <c r="D251" s="18" t="str">
        <f aca="false">IF(OR(A251="",COUNTIF('Injection Sales'!$B$2:$B$501,A251)+COUNTIF('Protein Sales'!$B$2:$B$501,A251)+COUNTIF('Diet Support'!$B$2:$B$501,A251)=0),"",MAX(_xlfn.MAXIFS('Injection Sales'!$A$2:$A$501,'Injection Sales'!$B$2:$B$501,A251),_xlfn.MAXIFS('Protein Sales'!$A$2:$A$501,'Protein Sales'!$B$2:$B$501,A251),_xlfn.MAXIFS('Diet Support'!$A$2:$A$501,'Diet Support'!$B$2:$B$501,A251)))</f>
        <v/>
      </c>
      <c r="E251" s="19" t="str">
        <f aca="false">IF(A251="","",COUNTIF('Injection Sales'!$B$2:$B$501,A251)+COUNTIF('Protein Sales'!$B$2:$B$501,A251)+COUNTIF('Diet Support'!$B$2:$B$501,A251))</f>
        <v/>
      </c>
      <c r="F251" s="20" t="str">
        <f aca="false">IF(A251="","",SUMIF('Injection Sales'!$B$2:$B$501,A251,'Injection Sales'!$G$2:$G$501)+SUMIF('Protein Sales'!$B$2:$B$501,A251,'Protein Sales'!$F$2:$F$501)+SUMIF('Diet Support'!$B$2:$B$501,A251,'Diet Support'!$E$2:$E$501))</f>
        <v/>
      </c>
      <c r="G251" s="21" t="str">
        <f aca="false">IF(OR(A251="",COUNTIF('Injection Sales'!$B$2:$B$501,A251)=0),"",IFERROR(LOOKUP(2,1/(('Injection Sales'!$B$2:$B$501=A251)*('Injection Sales'!$A$2:$A$501=_xlfn.MAXIFS('Injection Sales'!$A$2:$A$501,'Injection Sales'!$B$2:$B$501,A251))),'Injection Sales'!$E$2:$E$501),""))</f>
        <v/>
      </c>
      <c r="H251" s="21" t="str">
        <f aca="false">IF(OR(A251="",COUNTIF('Injection Sales'!$B$2:$B$501,A251)=0),"",IFERROR(LOOKUP(2,1/(('Injection Sales'!$B$2:$B$501=A251)*('Injection Sales'!$A$2:$A$501=_xlfn.MAXIFS('Injection Sales'!$A$2:$A$501,'Injection Sales'!$B$2:$B$501,A251))),'Injection Sales'!$H$2:$H$501),""))</f>
        <v/>
      </c>
      <c r="I251" s="21" t="str">
        <f aca="true">IF(OR(A251="",D251=""),"",IF(TODAY()-D251&lt;=Settings!$B$7,"Active","Inactive"))</f>
        <v/>
      </c>
    </row>
    <row r="252" customFormat="false" ht="15" hidden="false" customHeight="false" outlineLevel="0" collapsed="false">
      <c r="A252" s="1"/>
      <c r="B252" s="22"/>
      <c r="C252" s="18" t="str">
        <f aca="false">IF(OR(A252="",COUNTIF('Injection Sales'!$B$2:$B$501,A252)+COUNTIF('Protein Sales'!$B$2:$B$501,A252)+COUNTIF('Diet Support'!$B$2:$B$501,A252)=0),"",MIN(IF(COUNTIF('Injection Sales'!$B$2:$B$501,A252),_xlfn.MINIFS('Injection Sales'!$A$2:$A$501,'Injection Sales'!$B$2:$B$501,A252),99999),IF(COUNTIF('Protein Sales'!$B$2:$B$501,A252),_xlfn.MINIFS('Protein Sales'!$A$2:$A$501,'Protein Sales'!$B$2:$B$501,A252),99999),IF(COUNTIF('Diet Support'!$B$2:$B$501,A252),_xlfn.MINIFS('Diet Support'!$A$2:$A$501,'Diet Support'!$B$2:$B$501,A252),99999)))</f>
        <v/>
      </c>
      <c r="D252" s="18" t="str">
        <f aca="false">IF(OR(A252="",COUNTIF('Injection Sales'!$B$2:$B$501,A252)+COUNTIF('Protein Sales'!$B$2:$B$501,A252)+COUNTIF('Diet Support'!$B$2:$B$501,A252)=0),"",MAX(_xlfn.MAXIFS('Injection Sales'!$A$2:$A$501,'Injection Sales'!$B$2:$B$501,A252),_xlfn.MAXIFS('Protein Sales'!$A$2:$A$501,'Protein Sales'!$B$2:$B$501,A252),_xlfn.MAXIFS('Diet Support'!$A$2:$A$501,'Diet Support'!$B$2:$B$501,A252)))</f>
        <v/>
      </c>
      <c r="E252" s="19" t="str">
        <f aca="false">IF(A252="","",COUNTIF('Injection Sales'!$B$2:$B$501,A252)+COUNTIF('Protein Sales'!$B$2:$B$501,A252)+COUNTIF('Diet Support'!$B$2:$B$501,A252))</f>
        <v/>
      </c>
      <c r="F252" s="20" t="str">
        <f aca="false">IF(A252="","",SUMIF('Injection Sales'!$B$2:$B$501,A252,'Injection Sales'!$G$2:$G$501)+SUMIF('Protein Sales'!$B$2:$B$501,A252,'Protein Sales'!$F$2:$F$501)+SUMIF('Diet Support'!$B$2:$B$501,A252,'Diet Support'!$E$2:$E$501))</f>
        <v/>
      </c>
      <c r="G252" s="21" t="str">
        <f aca="false">IF(OR(A252="",COUNTIF('Injection Sales'!$B$2:$B$501,A252)=0),"",IFERROR(LOOKUP(2,1/(('Injection Sales'!$B$2:$B$501=A252)*('Injection Sales'!$A$2:$A$501=_xlfn.MAXIFS('Injection Sales'!$A$2:$A$501,'Injection Sales'!$B$2:$B$501,A252))),'Injection Sales'!$E$2:$E$501),""))</f>
        <v/>
      </c>
      <c r="H252" s="21" t="str">
        <f aca="false">IF(OR(A252="",COUNTIF('Injection Sales'!$B$2:$B$501,A252)=0),"",IFERROR(LOOKUP(2,1/(('Injection Sales'!$B$2:$B$501=A252)*('Injection Sales'!$A$2:$A$501=_xlfn.MAXIFS('Injection Sales'!$A$2:$A$501,'Injection Sales'!$B$2:$B$501,A252))),'Injection Sales'!$H$2:$H$501),""))</f>
        <v/>
      </c>
      <c r="I252" s="21" t="str">
        <f aca="true">IF(OR(A252="",D252=""),"",IF(TODAY()-D252&lt;=Settings!$B$7,"Active","Inactive"))</f>
        <v/>
      </c>
    </row>
    <row r="253" customFormat="false" ht="15" hidden="false" customHeight="false" outlineLevel="0" collapsed="false">
      <c r="A253" s="1"/>
      <c r="B253" s="22"/>
      <c r="C253" s="18" t="str">
        <f aca="false">IF(OR(A253="",COUNTIF('Injection Sales'!$B$2:$B$501,A253)+COUNTIF('Protein Sales'!$B$2:$B$501,A253)+COUNTIF('Diet Support'!$B$2:$B$501,A253)=0),"",MIN(IF(COUNTIF('Injection Sales'!$B$2:$B$501,A253),_xlfn.MINIFS('Injection Sales'!$A$2:$A$501,'Injection Sales'!$B$2:$B$501,A253),99999),IF(COUNTIF('Protein Sales'!$B$2:$B$501,A253),_xlfn.MINIFS('Protein Sales'!$A$2:$A$501,'Protein Sales'!$B$2:$B$501,A253),99999),IF(COUNTIF('Diet Support'!$B$2:$B$501,A253),_xlfn.MINIFS('Diet Support'!$A$2:$A$501,'Diet Support'!$B$2:$B$501,A253),99999)))</f>
        <v/>
      </c>
      <c r="D253" s="18" t="str">
        <f aca="false">IF(OR(A253="",COUNTIF('Injection Sales'!$B$2:$B$501,A253)+COUNTIF('Protein Sales'!$B$2:$B$501,A253)+COUNTIF('Diet Support'!$B$2:$B$501,A253)=0),"",MAX(_xlfn.MAXIFS('Injection Sales'!$A$2:$A$501,'Injection Sales'!$B$2:$B$501,A253),_xlfn.MAXIFS('Protein Sales'!$A$2:$A$501,'Protein Sales'!$B$2:$B$501,A253),_xlfn.MAXIFS('Diet Support'!$A$2:$A$501,'Diet Support'!$B$2:$B$501,A253)))</f>
        <v/>
      </c>
      <c r="E253" s="19" t="str">
        <f aca="false">IF(A253="","",COUNTIF('Injection Sales'!$B$2:$B$501,A253)+COUNTIF('Protein Sales'!$B$2:$B$501,A253)+COUNTIF('Diet Support'!$B$2:$B$501,A253))</f>
        <v/>
      </c>
      <c r="F253" s="20" t="str">
        <f aca="false">IF(A253="","",SUMIF('Injection Sales'!$B$2:$B$501,A253,'Injection Sales'!$G$2:$G$501)+SUMIF('Protein Sales'!$B$2:$B$501,A253,'Protein Sales'!$F$2:$F$501)+SUMIF('Diet Support'!$B$2:$B$501,A253,'Diet Support'!$E$2:$E$501))</f>
        <v/>
      </c>
      <c r="G253" s="21" t="str">
        <f aca="false">IF(OR(A253="",COUNTIF('Injection Sales'!$B$2:$B$501,A253)=0),"",IFERROR(LOOKUP(2,1/(('Injection Sales'!$B$2:$B$501=A253)*('Injection Sales'!$A$2:$A$501=_xlfn.MAXIFS('Injection Sales'!$A$2:$A$501,'Injection Sales'!$B$2:$B$501,A253))),'Injection Sales'!$E$2:$E$501),""))</f>
        <v/>
      </c>
      <c r="H253" s="21" t="str">
        <f aca="false">IF(OR(A253="",COUNTIF('Injection Sales'!$B$2:$B$501,A253)=0),"",IFERROR(LOOKUP(2,1/(('Injection Sales'!$B$2:$B$501=A253)*('Injection Sales'!$A$2:$A$501=_xlfn.MAXIFS('Injection Sales'!$A$2:$A$501,'Injection Sales'!$B$2:$B$501,A253))),'Injection Sales'!$H$2:$H$501),""))</f>
        <v/>
      </c>
      <c r="I253" s="21" t="str">
        <f aca="true">IF(OR(A253="",D253=""),"",IF(TODAY()-D253&lt;=Settings!$B$7,"Active","Inactive"))</f>
        <v/>
      </c>
    </row>
    <row r="254" customFormat="false" ht="15" hidden="false" customHeight="false" outlineLevel="0" collapsed="false">
      <c r="A254" s="1"/>
      <c r="B254" s="22"/>
      <c r="C254" s="18" t="str">
        <f aca="false">IF(OR(A254="",COUNTIF('Injection Sales'!$B$2:$B$501,A254)+COUNTIF('Protein Sales'!$B$2:$B$501,A254)+COUNTIF('Diet Support'!$B$2:$B$501,A254)=0),"",MIN(IF(COUNTIF('Injection Sales'!$B$2:$B$501,A254),_xlfn.MINIFS('Injection Sales'!$A$2:$A$501,'Injection Sales'!$B$2:$B$501,A254),99999),IF(COUNTIF('Protein Sales'!$B$2:$B$501,A254),_xlfn.MINIFS('Protein Sales'!$A$2:$A$501,'Protein Sales'!$B$2:$B$501,A254),99999),IF(COUNTIF('Diet Support'!$B$2:$B$501,A254),_xlfn.MINIFS('Diet Support'!$A$2:$A$501,'Diet Support'!$B$2:$B$501,A254),99999)))</f>
        <v/>
      </c>
      <c r="D254" s="18" t="str">
        <f aca="false">IF(OR(A254="",COUNTIF('Injection Sales'!$B$2:$B$501,A254)+COUNTIF('Protein Sales'!$B$2:$B$501,A254)+COUNTIF('Diet Support'!$B$2:$B$501,A254)=0),"",MAX(_xlfn.MAXIFS('Injection Sales'!$A$2:$A$501,'Injection Sales'!$B$2:$B$501,A254),_xlfn.MAXIFS('Protein Sales'!$A$2:$A$501,'Protein Sales'!$B$2:$B$501,A254),_xlfn.MAXIFS('Diet Support'!$A$2:$A$501,'Diet Support'!$B$2:$B$501,A254)))</f>
        <v/>
      </c>
      <c r="E254" s="19" t="str">
        <f aca="false">IF(A254="","",COUNTIF('Injection Sales'!$B$2:$B$501,A254)+COUNTIF('Protein Sales'!$B$2:$B$501,A254)+COUNTIF('Diet Support'!$B$2:$B$501,A254))</f>
        <v/>
      </c>
      <c r="F254" s="20" t="str">
        <f aca="false">IF(A254="","",SUMIF('Injection Sales'!$B$2:$B$501,A254,'Injection Sales'!$G$2:$G$501)+SUMIF('Protein Sales'!$B$2:$B$501,A254,'Protein Sales'!$F$2:$F$501)+SUMIF('Diet Support'!$B$2:$B$501,A254,'Diet Support'!$E$2:$E$501))</f>
        <v/>
      </c>
      <c r="G254" s="21" t="str">
        <f aca="false">IF(OR(A254="",COUNTIF('Injection Sales'!$B$2:$B$501,A254)=0),"",IFERROR(LOOKUP(2,1/(('Injection Sales'!$B$2:$B$501=A254)*('Injection Sales'!$A$2:$A$501=_xlfn.MAXIFS('Injection Sales'!$A$2:$A$501,'Injection Sales'!$B$2:$B$501,A254))),'Injection Sales'!$E$2:$E$501),""))</f>
        <v/>
      </c>
      <c r="H254" s="21" t="str">
        <f aca="false">IF(OR(A254="",COUNTIF('Injection Sales'!$B$2:$B$501,A254)=0),"",IFERROR(LOOKUP(2,1/(('Injection Sales'!$B$2:$B$501=A254)*('Injection Sales'!$A$2:$A$501=_xlfn.MAXIFS('Injection Sales'!$A$2:$A$501,'Injection Sales'!$B$2:$B$501,A254))),'Injection Sales'!$H$2:$H$501),""))</f>
        <v/>
      </c>
      <c r="I254" s="21" t="str">
        <f aca="true">IF(OR(A254="",D254=""),"",IF(TODAY()-D254&lt;=Settings!$B$7,"Active","Inactive"))</f>
        <v/>
      </c>
    </row>
    <row r="255" customFormat="false" ht="15" hidden="false" customHeight="false" outlineLevel="0" collapsed="false">
      <c r="A255" s="1"/>
      <c r="B255" s="22"/>
      <c r="C255" s="18" t="str">
        <f aca="false">IF(OR(A255="",COUNTIF('Injection Sales'!$B$2:$B$501,A255)+COUNTIF('Protein Sales'!$B$2:$B$501,A255)+COUNTIF('Diet Support'!$B$2:$B$501,A255)=0),"",MIN(IF(COUNTIF('Injection Sales'!$B$2:$B$501,A255),_xlfn.MINIFS('Injection Sales'!$A$2:$A$501,'Injection Sales'!$B$2:$B$501,A255),99999),IF(COUNTIF('Protein Sales'!$B$2:$B$501,A255),_xlfn.MINIFS('Protein Sales'!$A$2:$A$501,'Protein Sales'!$B$2:$B$501,A255),99999),IF(COUNTIF('Diet Support'!$B$2:$B$501,A255),_xlfn.MINIFS('Diet Support'!$A$2:$A$501,'Diet Support'!$B$2:$B$501,A255),99999)))</f>
        <v/>
      </c>
      <c r="D255" s="18" t="str">
        <f aca="false">IF(OR(A255="",COUNTIF('Injection Sales'!$B$2:$B$501,A255)+COUNTIF('Protein Sales'!$B$2:$B$501,A255)+COUNTIF('Diet Support'!$B$2:$B$501,A255)=0),"",MAX(_xlfn.MAXIFS('Injection Sales'!$A$2:$A$501,'Injection Sales'!$B$2:$B$501,A255),_xlfn.MAXIFS('Protein Sales'!$A$2:$A$501,'Protein Sales'!$B$2:$B$501,A255),_xlfn.MAXIFS('Diet Support'!$A$2:$A$501,'Diet Support'!$B$2:$B$501,A255)))</f>
        <v/>
      </c>
      <c r="E255" s="19" t="str">
        <f aca="false">IF(A255="","",COUNTIF('Injection Sales'!$B$2:$B$501,A255)+COUNTIF('Protein Sales'!$B$2:$B$501,A255)+COUNTIF('Diet Support'!$B$2:$B$501,A255))</f>
        <v/>
      </c>
      <c r="F255" s="20" t="str">
        <f aca="false">IF(A255="","",SUMIF('Injection Sales'!$B$2:$B$501,A255,'Injection Sales'!$G$2:$G$501)+SUMIF('Protein Sales'!$B$2:$B$501,A255,'Protein Sales'!$F$2:$F$501)+SUMIF('Diet Support'!$B$2:$B$501,A255,'Diet Support'!$E$2:$E$501))</f>
        <v/>
      </c>
      <c r="G255" s="21" t="str">
        <f aca="false">IF(OR(A255="",COUNTIF('Injection Sales'!$B$2:$B$501,A255)=0),"",IFERROR(LOOKUP(2,1/(('Injection Sales'!$B$2:$B$501=A255)*('Injection Sales'!$A$2:$A$501=_xlfn.MAXIFS('Injection Sales'!$A$2:$A$501,'Injection Sales'!$B$2:$B$501,A255))),'Injection Sales'!$E$2:$E$501),""))</f>
        <v/>
      </c>
      <c r="H255" s="21" t="str">
        <f aca="false">IF(OR(A255="",COUNTIF('Injection Sales'!$B$2:$B$501,A255)=0),"",IFERROR(LOOKUP(2,1/(('Injection Sales'!$B$2:$B$501=A255)*('Injection Sales'!$A$2:$A$501=_xlfn.MAXIFS('Injection Sales'!$A$2:$A$501,'Injection Sales'!$B$2:$B$501,A255))),'Injection Sales'!$H$2:$H$501),""))</f>
        <v/>
      </c>
      <c r="I255" s="21" t="str">
        <f aca="true">IF(OR(A255="",D255=""),"",IF(TODAY()-D255&lt;=Settings!$B$7,"Active","Inactive"))</f>
        <v/>
      </c>
    </row>
    <row r="256" customFormat="false" ht="15" hidden="false" customHeight="false" outlineLevel="0" collapsed="false">
      <c r="A256" s="1"/>
      <c r="B256" s="22"/>
      <c r="C256" s="18" t="str">
        <f aca="false">IF(OR(A256="",COUNTIF('Injection Sales'!$B$2:$B$501,A256)+COUNTIF('Protein Sales'!$B$2:$B$501,A256)+COUNTIF('Diet Support'!$B$2:$B$501,A256)=0),"",MIN(IF(COUNTIF('Injection Sales'!$B$2:$B$501,A256),_xlfn.MINIFS('Injection Sales'!$A$2:$A$501,'Injection Sales'!$B$2:$B$501,A256),99999),IF(COUNTIF('Protein Sales'!$B$2:$B$501,A256),_xlfn.MINIFS('Protein Sales'!$A$2:$A$501,'Protein Sales'!$B$2:$B$501,A256),99999),IF(COUNTIF('Diet Support'!$B$2:$B$501,A256),_xlfn.MINIFS('Diet Support'!$A$2:$A$501,'Diet Support'!$B$2:$B$501,A256),99999)))</f>
        <v/>
      </c>
      <c r="D256" s="18" t="str">
        <f aca="false">IF(OR(A256="",COUNTIF('Injection Sales'!$B$2:$B$501,A256)+COUNTIF('Protein Sales'!$B$2:$B$501,A256)+COUNTIF('Diet Support'!$B$2:$B$501,A256)=0),"",MAX(_xlfn.MAXIFS('Injection Sales'!$A$2:$A$501,'Injection Sales'!$B$2:$B$501,A256),_xlfn.MAXIFS('Protein Sales'!$A$2:$A$501,'Protein Sales'!$B$2:$B$501,A256),_xlfn.MAXIFS('Diet Support'!$A$2:$A$501,'Diet Support'!$B$2:$B$501,A256)))</f>
        <v/>
      </c>
      <c r="E256" s="19" t="str">
        <f aca="false">IF(A256="","",COUNTIF('Injection Sales'!$B$2:$B$501,A256)+COUNTIF('Protein Sales'!$B$2:$B$501,A256)+COUNTIF('Diet Support'!$B$2:$B$501,A256))</f>
        <v/>
      </c>
      <c r="F256" s="20" t="str">
        <f aca="false">IF(A256="","",SUMIF('Injection Sales'!$B$2:$B$501,A256,'Injection Sales'!$G$2:$G$501)+SUMIF('Protein Sales'!$B$2:$B$501,A256,'Protein Sales'!$F$2:$F$501)+SUMIF('Diet Support'!$B$2:$B$501,A256,'Diet Support'!$E$2:$E$501))</f>
        <v/>
      </c>
      <c r="G256" s="21" t="str">
        <f aca="false">IF(OR(A256="",COUNTIF('Injection Sales'!$B$2:$B$501,A256)=0),"",IFERROR(LOOKUP(2,1/(('Injection Sales'!$B$2:$B$501=A256)*('Injection Sales'!$A$2:$A$501=_xlfn.MAXIFS('Injection Sales'!$A$2:$A$501,'Injection Sales'!$B$2:$B$501,A256))),'Injection Sales'!$E$2:$E$501),""))</f>
        <v/>
      </c>
      <c r="H256" s="21" t="str">
        <f aca="false">IF(OR(A256="",COUNTIF('Injection Sales'!$B$2:$B$501,A256)=0),"",IFERROR(LOOKUP(2,1/(('Injection Sales'!$B$2:$B$501=A256)*('Injection Sales'!$A$2:$A$501=_xlfn.MAXIFS('Injection Sales'!$A$2:$A$501,'Injection Sales'!$B$2:$B$501,A256))),'Injection Sales'!$H$2:$H$501),""))</f>
        <v/>
      </c>
      <c r="I256" s="21" t="str">
        <f aca="true">IF(OR(A256="",D256=""),"",IF(TODAY()-D256&lt;=Settings!$B$7,"Active","Inactive"))</f>
        <v/>
      </c>
    </row>
    <row r="257" customFormat="false" ht="15" hidden="false" customHeight="false" outlineLevel="0" collapsed="false">
      <c r="A257" s="1"/>
      <c r="B257" s="22"/>
      <c r="C257" s="18" t="str">
        <f aca="false">IF(OR(A257="",COUNTIF('Injection Sales'!$B$2:$B$501,A257)+COUNTIF('Protein Sales'!$B$2:$B$501,A257)+COUNTIF('Diet Support'!$B$2:$B$501,A257)=0),"",MIN(IF(COUNTIF('Injection Sales'!$B$2:$B$501,A257),_xlfn.MINIFS('Injection Sales'!$A$2:$A$501,'Injection Sales'!$B$2:$B$501,A257),99999),IF(COUNTIF('Protein Sales'!$B$2:$B$501,A257),_xlfn.MINIFS('Protein Sales'!$A$2:$A$501,'Protein Sales'!$B$2:$B$501,A257),99999),IF(COUNTIF('Diet Support'!$B$2:$B$501,A257),_xlfn.MINIFS('Diet Support'!$A$2:$A$501,'Diet Support'!$B$2:$B$501,A257),99999)))</f>
        <v/>
      </c>
      <c r="D257" s="18" t="str">
        <f aca="false">IF(OR(A257="",COUNTIF('Injection Sales'!$B$2:$B$501,A257)+COUNTIF('Protein Sales'!$B$2:$B$501,A257)+COUNTIF('Diet Support'!$B$2:$B$501,A257)=0),"",MAX(_xlfn.MAXIFS('Injection Sales'!$A$2:$A$501,'Injection Sales'!$B$2:$B$501,A257),_xlfn.MAXIFS('Protein Sales'!$A$2:$A$501,'Protein Sales'!$B$2:$B$501,A257),_xlfn.MAXIFS('Diet Support'!$A$2:$A$501,'Diet Support'!$B$2:$B$501,A257)))</f>
        <v/>
      </c>
      <c r="E257" s="19" t="str">
        <f aca="false">IF(A257="","",COUNTIF('Injection Sales'!$B$2:$B$501,A257)+COUNTIF('Protein Sales'!$B$2:$B$501,A257)+COUNTIF('Diet Support'!$B$2:$B$501,A257))</f>
        <v/>
      </c>
      <c r="F257" s="20" t="str">
        <f aca="false">IF(A257="","",SUMIF('Injection Sales'!$B$2:$B$501,A257,'Injection Sales'!$G$2:$G$501)+SUMIF('Protein Sales'!$B$2:$B$501,A257,'Protein Sales'!$F$2:$F$501)+SUMIF('Diet Support'!$B$2:$B$501,A257,'Diet Support'!$E$2:$E$501))</f>
        <v/>
      </c>
      <c r="G257" s="21" t="str">
        <f aca="false">IF(OR(A257="",COUNTIF('Injection Sales'!$B$2:$B$501,A257)=0),"",IFERROR(LOOKUP(2,1/(('Injection Sales'!$B$2:$B$501=A257)*('Injection Sales'!$A$2:$A$501=_xlfn.MAXIFS('Injection Sales'!$A$2:$A$501,'Injection Sales'!$B$2:$B$501,A257))),'Injection Sales'!$E$2:$E$501),""))</f>
        <v/>
      </c>
      <c r="H257" s="21" t="str">
        <f aca="false">IF(OR(A257="",COUNTIF('Injection Sales'!$B$2:$B$501,A257)=0),"",IFERROR(LOOKUP(2,1/(('Injection Sales'!$B$2:$B$501=A257)*('Injection Sales'!$A$2:$A$501=_xlfn.MAXIFS('Injection Sales'!$A$2:$A$501,'Injection Sales'!$B$2:$B$501,A257))),'Injection Sales'!$H$2:$H$501),""))</f>
        <v/>
      </c>
      <c r="I257" s="21" t="str">
        <f aca="true">IF(OR(A257="",D257=""),"",IF(TODAY()-D257&lt;=Settings!$B$7,"Active","Inactive"))</f>
        <v/>
      </c>
    </row>
    <row r="258" customFormat="false" ht="15" hidden="false" customHeight="false" outlineLevel="0" collapsed="false">
      <c r="A258" s="1"/>
      <c r="B258" s="22"/>
      <c r="C258" s="18" t="str">
        <f aca="false">IF(OR(A258="",COUNTIF('Injection Sales'!$B$2:$B$501,A258)+COUNTIF('Protein Sales'!$B$2:$B$501,A258)+COUNTIF('Diet Support'!$B$2:$B$501,A258)=0),"",MIN(IF(COUNTIF('Injection Sales'!$B$2:$B$501,A258),_xlfn.MINIFS('Injection Sales'!$A$2:$A$501,'Injection Sales'!$B$2:$B$501,A258),99999),IF(COUNTIF('Protein Sales'!$B$2:$B$501,A258),_xlfn.MINIFS('Protein Sales'!$A$2:$A$501,'Protein Sales'!$B$2:$B$501,A258),99999),IF(COUNTIF('Diet Support'!$B$2:$B$501,A258),_xlfn.MINIFS('Diet Support'!$A$2:$A$501,'Diet Support'!$B$2:$B$501,A258),99999)))</f>
        <v/>
      </c>
      <c r="D258" s="18" t="str">
        <f aca="false">IF(OR(A258="",COUNTIF('Injection Sales'!$B$2:$B$501,A258)+COUNTIF('Protein Sales'!$B$2:$B$501,A258)+COUNTIF('Diet Support'!$B$2:$B$501,A258)=0),"",MAX(_xlfn.MAXIFS('Injection Sales'!$A$2:$A$501,'Injection Sales'!$B$2:$B$501,A258),_xlfn.MAXIFS('Protein Sales'!$A$2:$A$501,'Protein Sales'!$B$2:$B$501,A258),_xlfn.MAXIFS('Diet Support'!$A$2:$A$501,'Diet Support'!$B$2:$B$501,A258)))</f>
        <v/>
      </c>
      <c r="E258" s="19" t="str">
        <f aca="false">IF(A258="","",COUNTIF('Injection Sales'!$B$2:$B$501,A258)+COUNTIF('Protein Sales'!$B$2:$B$501,A258)+COUNTIF('Diet Support'!$B$2:$B$501,A258))</f>
        <v/>
      </c>
      <c r="F258" s="20" t="str">
        <f aca="false">IF(A258="","",SUMIF('Injection Sales'!$B$2:$B$501,A258,'Injection Sales'!$G$2:$G$501)+SUMIF('Protein Sales'!$B$2:$B$501,A258,'Protein Sales'!$F$2:$F$501)+SUMIF('Diet Support'!$B$2:$B$501,A258,'Diet Support'!$E$2:$E$501))</f>
        <v/>
      </c>
      <c r="G258" s="21" t="str">
        <f aca="false">IF(OR(A258="",COUNTIF('Injection Sales'!$B$2:$B$501,A258)=0),"",IFERROR(LOOKUP(2,1/(('Injection Sales'!$B$2:$B$501=A258)*('Injection Sales'!$A$2:$A$501=_xlfn.MAXIFS('Injection Sales'!$A$2:$A$501,'Injection Sales'!$B$2:$B$501,A258))),'Injection Sales'!$E$2:$E$501),""))</f>
        <v/>
      </c>
      <c r="H258" s="21" t="str">
        <f aca="false">IF(OR(A258="",COUNTIF('Injection Sales'!$B$2:$B$501,A258)=0),"",IFERROR(LOOKUP(2,1/(('Injection Sales'!$B$2:$B$501=A258)*('Injection Sales'!$A$2:$A$501=_xlfn.MAXIFS('Injection Sales'!$A$2:$A$501,'Injection Sales'!$B$2:$B$501,A258))),'Injection Sales'!$H$2:$H$501),""))</f>
        <v/>
      </c>
      <c r="I258" s="21" t="str">
        <f aca="true">IF(OR(A258="",D258=""),"",IF(TODAY()-D258&lt;=Settings!$B$7,"Active","Inactive"))</f>
        <v/>
      </c>
    </row>
    <row r="259" customFormat="false" ht="15" hidden="false" customHeight="false" outlineLevel="0" collapsed="false">
      <c r="A259" s="1"/>
      <c r="B259" s="22"/>
      <c r="C259" s="18" t="str">
        <f aca="false">IF(OR(A259="",COUNTIF('Injection Sales'!$B$2:$B$501,A259)+COUNTIF('Protein Sales'!$B$2:$B$501,A259)+COUNTIF('Diet Support'!$B$2:$B$501,A259)=0),"",MIN(IF(COUNTIF('Injection Sales'!$B$2:$B$501,A259),_xlfn.MINIFS('Injection Sales'!$A$2:$A$501,'Injection Sales'!$B$2:$B$501,A259),99999),IF(COUNTIF('Protein Sales'!$B$2:$B$501,A259),_xlfn.MINIFS('Protein Sales'!$A$2:$A$501,'Protein Sales'!$B$2:$B$501,A259),99999),IF(COUNTIF('Diet Support'!$B$2:$B$501,A259),_xlfn.MINIFS('Diet Support'!$A$2:$A$501,'Diet Support'!$B$2:$B$501,A259),99999)))</f>
        <v/>
      </c>
      <c r="D259" s="18" t="str">
        <f aca="false">IF(OR(A259="",COUNTIF('Injection Sales'!$B$2:$B$501,A259)+COUNTIF('Protein Sales'!$B$2:$B$501,A259)+COUNTIF('Diet Support'!$B$2:$B$501,A259)=0),"",MAX(_xlfn.MAXIFS('Injection Sales'!$A$2:$A$501,'Injection Sales'!$B$2:$B$501,A259),_xlfn.MAXIFS('Protein Sales'!$A$2:$A$501,'Protein Sales'!$B$2:$B$501,A259),_xlfn.MAXIFS('Diet Support'!$A$2:$A$501,'Diet Support'!$B$2:$B$501,A259)))</f>
        <v/>
      </c>
      <c r="E259" s="19" t="str">
        <f aca="false">IF(A259="","",COUNTIF('Injection Sales'!$B$2:$B$501,A259)+COUNTIF('Protein Sales'!$B$2:$B$501,A259)+COUNTIF('Diet Support'!$B$2:$B$501,A259))</f>
        <v/>
      </c>
      <c r="F259" s="20" t="str">
        <f aca="false">IF(A259="","",SUMIF('Injection Sales'!$B$2:$B$501,A259,'Injection Sales'!$G$2:$G$501)+SUMIF('Protein Sales'!$B$2:$B$501,A259,'Protein Sales'!$F$2:$F$501)+SUMIF('Diet Support'!$B$2:$B$501,A259,'Diet Support'!$E$2:$E$501))</f>
        <v/>
      </c>
      <c r="G259" s="21" t="str">
        <f aca="false">IF(OR(A259="",COUNTIF('Injection Sales'!$B$2:$B$501,A259)=0),"",IFERROR(LOOKUP(2,1/(('Injection Sales'!$B$2:$B$501=A259)*('Injection Sales'!$A$2:$A$501=_xlfn.MAXIFS('Injection Sales'!$A$2:$A$501,'Injection Sales'!$B$2:$B$501,A259))),'Injection Sales'!$E$2:$E$501),""))</f>
        <v/>
      </c>
      <c r="H259" s="21" t="str">
        <f aca="false">IF(OR(A259="",COUNTIF('Injection Sales'!$B$2:$B$501,A259)=0),"",IFERROR(LOOKUP(2,1/(('Injection Sales'!$B$2:$B$501=A259)*('Injection Sales'!$A$2:$A$501=_xlfn.MAXIFS('Injection Sales'!$A$2:$A$501,'Injection Sales'!$B$2:$B$501,A259))),'Injection Sales'!$H$2:$H$501),""))</f>
        <v/>
      </c>
      <c r="I259" s="21" t="str">
        <f aca="true">IF(OR(A259="",D259=""),"",IF(TODAY()-D259&lt;=Settings!$B$7,"Active","Inactive"))</f>
        <v/>
      </c>
    </row>
    <row r="260" customFormat="false" ht="15" hidden="false" customHeight="false" outlineLevel="0" collapsed="false">
      <c r="A260" s="1"/>
      <c r="B260" s="22"/>
      <c r="C260" s="18" t="str">
        <f aca="false">IF(OR(A260="",COUNTIF('Injection Sales'!$B$2:$B$501,A260)+COUNTIF('Protein Sales'!$B$2:$B$501,A260)+COUNTIF('Diet Support'!$B$2:$B$501,A260)=0),"",MIN(IF(COUNTIF('Injection Sales'!$B$2:$B$501,A260),_xlfn.MINIFS('Injection Sales'!$A$2:$A$501,'Injection Sales'!$B$2:$B$501,A260),99999),IF(COUNTIF('Protein Sales'!$B$2:$B$501,A260),_xlfn.MINIFS('Protein Sales'!$A$2:$A$501,'Protein Sales'!$B$2:$B$501,A260),99999),IF(COUNTIF('Diet Support'!$B$2:$B$501,A260),_xlfn.MINIFS('Diet Support'!$A$2:$A$501,'Diet Support'!$B$2:$B$501,A260),99999)))</f>
        <v/>
      </c>
      <c r="D260" s="18" t="str">
        <f aca="false">IF(OR(A260="",COUNTIF('Injection Sales'!$B$2:$B$501,A260)+COUNTIF('Protein Sales'!$B$2:$B$501,A260)+COUNTIF('Diet Support'!$B$2:$B$501,A260)=0),"",MAX(_xlfn.MAXIFS('Injection Sales'!$A$2:$A$501,'Injection Sales'!$B$2:$B$501,A260),_xlfn.MAXIFS('Protein Sales'!$A$2:$A$501,'Protein Sales'!$B$2:$B$501,A260),_xlfn.MAXIFS('Diet Support'!$A$2:$A$501,'Diet Support'!$B$2:$B$501,A260)))</f>
        <v/>
      </c>
      <c r="E260" s="19" t="str">
        <f aca="false">IF(A260="","",COUNTIF('Injection Sales'!$B$2:$B$501,A260)+COUNTIF('Protein Sales'!$B$2:$B$501,A260)+COUNTIF('Diet Support'!$B$2:$B$501,A260))</f>
        <v/>
      </c>
      <c r="F260" s="20" t="str">
        <f aca="false">IF(A260="","",SUMIF('Injection Sales'!$B$2:$B$501,A260,'Injection Sales'!$G$2:$G$501)+SUMIF('Protein Sales'!$B$2:$B$501,A260,'Protein Sales'!$F$2:$F$501)+SUMIF('Diet Support'!$B$2:$B$501,A260,'Diet Support'!$E$2:$E$501))</f>
        <v/>
      </c>
      <c r="G260" s="21" t="str">
        <f aca="false">IF(OR(A260="",COUNTIF('Injection Sales'!$B$2:$B$501,A260)=0),"",IFERROR(LOOKUP(2,1/(('Injection Sales'!$B$2:$B$501=A260)*('Injection Sales'!$A$2:$A$501=_xlfn.MAXIFS('Injection Sales'!$A$2:$A$501,'Injection Sales'!$B$2:$B$501,A260))),'Injection Sales'!$E$2:$E$501),""))</f>
        <v/>
      </c>
      <c r="H260" s="21" t="str">
        <f aca="false">IF(OR(A260="",COUNTIF('Injection Sales'!$B$2:$B$501,A260)=0),"",IFERROR(LOOKUP(2,1/(('Injection Sales'!$B$2:$B$501=A260)*('Injection Sales'!$A$2:$A$501=_xlfn.MAXIFS('Injection Sales'!$A$2:$A$501,'Injection Sales'!$B$2:$B$501,A260))),'Injection Sales'!$H$2:$H$501),""))</f>
        <v/>
      </c>
      <c r="I260" s="21" t="str">
        <f aca="true">IF(OR(A260="",D260=""),"",IF(TODAY()-D260&lt;=Settings!$B$7,"Active","Inactive"))</f>
        <v/>
      </c>
    </row>
    <row r="261" customFormat="false" ht="15" hidden="false" customHeight="false" outlineLevel="0" collapsed="false">
      <c r="A261" s="1"/>
      <c r="B261" s="22"/>
      <c r="C261" s="18" t="str">
        <f aca="false">IF(OR(A261="",COUNTIF('Injection Sales'!$B$2:$B$501,A261)+COUNTIF('Protein Sales'!$B$2:$B$501,A261)+COUNTIF('Diet Support'!$B$2:$B$501,A261)=0),"",MIN(IF(COUNTIF('Injection Sales'!$B$2:$B$501,A261),_xlfn.MINIFS('Injection Sales'!$A$2:$A$501,'Injection Sales'!$B$2:$B$501,A261),99999),IF(COUNTIF('Protein Sales'!$B$2:$B$501,A261),_xlfn.MINIFS('Protein Sales'!$A$2:$A$501,'Protein Sales'!$B$2:$B$501,A261),99999),IF(COUNTIF('Diet Support'!$B$2:$B$501,A261),_xlfn.MINIFS('Diet Support'!$A$2:$A$501,'Diet Support'!$B$2:$B$501,A261),99999)))</f>
        <v/>
      </c>
      <c r="D261" s="18" t="str">
        <f aca="false">IF(OR(A261="",COUNTIF('Injection Sales'!$B$2:$B$501,A261)+COUNTIF('Protein Sales'!$B$2:$B$501,A261)+COUNTIF('Diet Support'!$B$2:$B$501,A261)=0),"",MAX(_xlfn.MAXIFS('Injection Sales'!$A$2:$A$501,'Injection Sales'!$B$2:$B$501,A261),_xlfn.MAXIFS('Protein Sales'!$A$2:$A$501,'Protein Sales'!$B$2:$B$501,A261),_xlfn.MAXIFS('Diet Support'!$A$2:$A$501,'Diet Support'!$B$2:$B$501,A261)))</f>
        <v/>
      </c>
      <c r="E261" s="19" t="str">
        <f aca="false">IF(A261="","",COUNTIF('Injection Sales'!$B$2:$B$501,A261)+COUNTIF('Protein Sales'!$B$2:$B$501,A261)+COUNTIF('Diet Support'!$B$2:$B$501,A261))</f>
        <v/>
      </c>
      <c r="F261" s="20" t="str">
        <f aca="false">IF(A261="","",SUMIF('Injection Sales'!$B$2:$B$501,A261,'Injection Sales'!$G$2:$G$501)+SUMIF('Protein Sales'!$B$2:$B$501,A261,'Protein Sales'!$F$2:$F$501)+SUMIF('Diet Support'!$B$2:$B$501,A261,'Diet Support'!$E$2:$E$501))</f>
        <v/>
      </c>
      <c r="G261" s="21" t="str">
        <f aca="false">IF(OR(A261="",COUNTIF('Injection Sales'!$B$2:$B$501,A261)=0),"",IFERROR(LOOKUP(2,1/(('Injection Sales'!$B$2:$B$501=A261)*('Injection Sales'!$A$2:$A$501=_xlfn.MAXIFS('Injection Sales'!$A$2:$A$501,'Injection Sales'!$B$2:$B$501,A261))),'Injection Sales'!$E$2:$E$501),""))</f>
        <v/>
      </c>
      <c r="H261" s="21" t="str">
        <f aca="false">IF(OR(A261="",COUNTIF('Injection Sales'!$B$2:$B$501,A261)=0),"",IFERROR(LOOKUP(2,1/(('Injection Sales'!$B$2:$B$501=A261)*('Injection Sales'!$A$2:$A$501=_xlfn.MAXIFS('Injection Sales'!$A$2:$A$501,'Injection Sales'!$B$2:$B$501,A261))),'Injection Sales'!$H$2:$H$501),""))</f>
        <v/>
      </c>
      <c r="I261" s="21" t="str">
        <f aca="true">IF(OR(A261="",D261=""),"",IF(TODAY()-D261&lt;=Settings!$B$7,"Active","Inactive"))</f>
        <v/>
      </c>
    </row>
    <row r="262" customFormat="false" ht="15" hidden="false" customHeight="false" outlineLevel="0" collapsed="false">
      <c r="A262" s="1"/>
      <c r="B262" s="22"/>
      <c r="C262" s="18" t="str">
        <f aca="false">IF(OR(A262="",COUNTIF('Injection Sales'!$B$2:$B$501,A262)+COUNTIF('Protein Sales'!$B$2:$B$501,A262)+COUNTIF('Diet Support'!$B$2:$B$501,A262)=0),"",MIN(IF(COUNTIF('Injection Sales'!$B$2:$B$501,A262),_xlfn.MINIFS('Injection Sales'!$A$2:$A$501,'Injection Sales'!$B$2:$B$501,A262),99999),IF(COUNTIF('Protein Sales'!$B$2:$B$501,A262),_xlfn.MINIFS('Protein Sales'!$A$2:$A$501,'Protein Sales'!$B$2:$B$501,A262),99999),IF(COUNTIF('Diet Support'!$B$2:$B$501,A262),_xlfn.MINIFS('Diet Support'!$A$2:$A$501,'Diet Support'!$B$2:$B$501,A262),99999)))</f>
        <v/>
      </c>
      <c r="D262" s="18" t="str">
        <f aca="false">IF(OR(A262="",COUNTIF('Injection Sales'!$B$2:$B$501,A262)+COUNTIF('Protein Sales'!$B$2:$B$501,A262)+COUNTIF('Diet Support'!$B$2:$B$501,A262)=0),"",MAX(_xlfn.MAXIFS('Injection Sales'!$A$2:$A$501,'Injection Sales'!$B$2:$B$501,A262),_xlfn.MAXIFS('Protein Sales'!$A$2:$A$501,'Protein Sales'!$B$2:$B$501,A262),_xlfn.MAXIFS('Diet Support'!$A$2:$A$501,'Diet Support'!$B$2:$B$501,A262)))</f>
        <v/>
      </c>
      <c r="E262" s="19" t="str">
        <f aca="false">IF(A262="","",COUNTIF('Injection Sales'!$B$2:$B$501,A262)+COUNTIF('Protein Sales'!$B$2:$B$501,A262)+COUNTIF('Diet Support'!$B$2:$B$501,A262))</f>
        <v/>
      </c>
      <c r="F262" s="20" t="str">
        <f aca="false">IF(A262="","",SUMIF('Injection Sales'!$B$2:$B$501,A262,'Injection Sales'!$G$2:$G$501)+SUMIF('Protein Sales'!$B$2:$B$501,A262,'Protein Sales'!$F$2:$F$501)+SUMIF('Diet Support'!$B$2:$B$501,A262,'Diet Support'!$E$2:$E$501))</f>
        <v/>
      </c>
      <c r="G262" s="21" t="str">
        <f aca="false">IF(OR(A262="",COUNTIF('Injection Sales'!$B$2:$B$501,A262)=0),"",IFERROR(LOOKUP(2,1/(('Injection Sales'!$B$2:$B$501=A262)*('Injection Sales'!$A$2:$A$501=_xlfn.MAXIFS('Injection Sales'!$A$2:$A$501,'Injection Sales'!$B$2:$B$501,A262))),'Injection Sales'!$E$2:$E$501),""))</f>
        <v/>
      </c>
      <c r="H262" s="21" t="str">
        <f aca="false">IF(OR(A262="",COUNTIF('Injection Sales'!$B$2:$B$501,A262)=0),"",IFERROR(LOOKUP(2,1/(('Injection Sales'!$B$2:$B$501=A262)*('Injection Sales'!$A$2:$A$501=_xlfn.MAXIFS('Injection Sales'!$A$2:$A$501,'Injection Sales'!$B$2:$B$501,A262))),'Injection Sales'!$H$2:$H$501),""))</f>
        <v/>
      </c>
      <c r="I262" s="21" t="str">
        <f aca="true">IF(OR(A262="",D262=""),"",IF(TODAY()-D262&lt;=Settings!$B$7,"Active","Inactive"))</f>
        <v/>
      </c>
    </row>
    <row r="263" customFormat="false" ht="15" hidden="false" customHeight="false" outlineLevel="0" collapsed="false">
      <c r="A263" s="1"/>
      <c r="B263" s="22"/>
      <c r="C263" s="18" t="str">
        <f aca="false">IF(OR(A263="",COUNTIF('Injection Sales'!$B$2:$B$501,A263)+COUNTIF('Protein Sales'!$B$2:$B$501,A263)+COUNTIF('Diet Support'!$B$2:$B$501,A263)=0),"",MIN(IF(COUNTIF('Injection Sales'!$B$2:$B$501,A263),_xlfn.MINIFS('Injection Sales'!$A$2:$A$501,'Injection Sales'!$B$2:$B$501,A263),99999),IF(COUNTIF('Protein Sales'!$B$2:$B$501,A263),_xlfn.MINIFS('Protein Sales'!$A$2:$A$501,'Protein Sales'!$B$2:$B$501,A263),99999),IF(COUNTIF('Diet Support'!$B$2:$B$501,A263),_xlfn.MINIFS('Diet Support'!$A$2:$A$501,'Diet Support'!$B$2:$B$501,A263),99999)))</f>
        <v/>
      </c>
      <c r="D263" s="18" t="str">
        <f aca="false">IF(OR(A263="",COUNTIF('Injection Sales'!$B$2:$B$501,A263)+COUNTIF('Protein Sales'!$B$2:$B$501,A263)+COUNTIF('Diet Support'!$B$2:$B$501,A263)=0),"",MAX(_xlfn.MAXIFS('Injection Sales'!$A$2:$A$501,'Injection Sales'!$B$2:$B$501,A263),_xlfn.MAXIFS('Protein Sales'!$A$2:$A$501,'Protein Sales'!$B$2:$B$501,A263),_xlfn.MAXIFS('Diet Support'!$A$2:$A$501,'Diet Support'!$B$2:$B$501,A263)))</f>
        <v/>
      </c>
      <c r="E263" s="19" t="str">
        <f aca="false">IF(A263="","",COUNTIF('Injection Sales'!$B$2:$B$501,A263)+COUNTIF('Protein Sales'!$B$2:$B$501,A263)+COUNTIF('Diet Support'!$B$2:$B$501,A263))</f>
        <v/>
      </c>
      <c r="F263" s="20" t="str">
        <f aca="false">IF(A263="","",SUMIF('Injection Sales'!$B$2:$B$501,A263,'Injection Sales'!$G$2:$G$501)+SUMIF('Protein Sales'!$B$2:$B$501,A263,'Protein Sales'!$F$2:$F$501)+SUMIF('Diet Support'!$B$2:$B$501,A263,'Diet Support'!$E$2:$E$501))</f>
        <v/>
      </c>
      <c r="G263" s="21" t="str">
        <f aca="false">IF(OR(A263="",COUNTIF('Injection Sales'!$B$2:$B$501,A263)=0),"",IFERROR(LOOKUP(2,1/(('Injection Sales'!$B$2:$B$501=A263)*('Injection Sales'!$A$2:$A$501=_xlfn.MAXIFS('Injection Sales'!$A$2:$A$501,'Injection Sales'!$B$2:$B$501,A263))),'Injection Sales'!$E$2:$E$501),""))</f>
        <v/>
      </c>
      <c r="H263" s="21" t="str">
        <f aca="false">IF(OR(A263="",COUNTIF('Injection Sales'!$B$2:$B$501,A263)=0),"",IFERROR(LOOKUP(2,1/(('Injection Sales'!$B$2:$B$501=A263)*('Injection Sales'!$A$2:$A$501=_xlfn.MAXIFS('Injection Sales'!$A$2:$A$501,'Injection Sales'!$B$2:$B$501,A263))),'Injection Sales'!$H$2:$H$501),""))</f>
        <v/>
      </c>
      <c r="I263" s="21" t="str">
        <f aca="true">IF(OR(A263="",D263=""),"",IF(TODAY()-D263&lt;=Settings!$B$7,"Active","Inactive"))</f>
        <v/>
      </c>
    </row>
    <row r="264" customFormat="false" ht="15" hidden="false" customHeight="false" outlineLevel="0" collapsed="false">
      <c r="A264" s="1"/>
      <c r="B264" s="22"/>
      <c r="C264" s="18" t="str">
        <f aca="false">IF(OR(A264="",COUNTIF('Injection Sales'!$B$2:$B$501,A264)+COUNTIF('Protein Sales'!$B$2:$B$501,A264)+COUNTIF('Diet Support'!$B$2:$B$501,A264)=0),"",MIN(IF(COUNTIF('Injection Sales'!$B$2:$B$501,A264),_xlfn.MINIFS('Injection Sales'!$A$2:$A$501,'Injection Sales'!$B$2:$B$501,A264),99999),IF(COUNTIF('Protein Sales'!$B$2:$B$501,A264),_xlfn.MINIFS('Protein Sales'!$A$2:$A$501,'Protein Sales'!$B$2:$B$501,A264),99999),IF(COUNTIF('Diet Support'!$B$2:$B$501,A264),_xlfn.MINIFS('Diet Support'!$A$2:$A$501,'Diet Support'!$B$2:$B$501,A264),99999)))</f>
        <v/>
      </c>
      <c r="D264" s="18" t="str">
        <f aca="false">IF(OR(A264="",COUNTIF('Injection Sales'!$B$2:$B$501,A264)+COUNTIF('Protein Sales'!$B$2:$B$501,A264)+COUNTIF('Diet Support'!$B$2:$B$501,A264)=0),"",MAX(_xlfn.MAXIFS('Injection Sales'!$A$2:$A$501,'Injection Sales'!$B$2:$B$501,A264),_xlfn.MAXIFS('Protein Sales'!$A$2:$A$501,'Protein Sales'!$B$2:$B$501,A264),_xlfn.MAXIFS('Diet Support'!$A$2:$A$501,'Diet Support'!$B$2:$B$501,A264)))</f>
        <v/>
      </c>
      <c r="E264" s="19" t="str">
        <f aca="false">IF(A264="","",COUNTIF('Injection Sales'!$B$2:$B$501,A264)+COUNTIF('Protein Sales'!$B$2:$B$501,A264)+COUNTIF('Diet Support'!$B$2:$B$501,A264))</f>
        <v/>
      </c>
      <c r="F264" s="20" t="str">
        <f aca="false">IF(A264="","",SUMIF('Injection Sales'!$B$2:$B$501,A264,'Injection Sales'!$G$2:$G$501)+SUMIF('Protein Sales'!$B$2:$B$501,A264,'Protein Sales'!$F$2:$F$501)+SUMIF('Diet Support'!$B$2:$B$501,A264,'Diet Support'!$E$2:$E$501))</f>
        <v/>
      </c>
      <c r="G264" s="21" t="str">
        <f aca="false">IF(OR(A264="",COUNTIF('Injection Sales'!$B$2:$B$501,A264)=0),"",IFERROR(LOOKUP(2,1/(('Injection Sales'!$B$2:$B$501=A264)*('Injection Sales'!$A$2:$A$501=_xlfn.MAXIFS('Injection Sales'!$A$2:$A$501,'Injection Sales'!$B$2:$B$501,A264))),'Injection Sales'!$E$2:$E$501),""))</f>
        <v/>
      </c>
      <c r="H264" s="21" t="str">
        <f aca="false">IF(OR(A264="",COUNTIF('Injection Sales'!$B$2:$B$501,A264)=0),"",IFERROR(LOOKUP(2,1/(('Injection Sales'!$B$2:$B$501=A264)*('Injection Sales'!$A$2:$A$501=_xlfn.MAXIFS('Injection Sales'!$A$2:$A$501,'Injection Sales'!$B$2:$B$501,A264))),'Injection Sales'!$H$2:$H$501),""))</f>
        <v/>
      </c>
      <c r="I264" s="21" t="str">
        <f aca="true">IF(OR(A264="",D264=""),"",IF(TODAY()-D264&lt;=Settings!$B$7,"Active","Inactive"))</f>
        <v/>
      </c>
    </row>
    <row r="265" customFormat="false" ht="15" hidden="false" customHeight="false" outlineLevel="0" collapsed="false">
      <c r="A265" s="1"/>
      <c r="B265" s="22"/>
      <c r="C265" s="18" t="str">
        <f aca="false">IF(OR(A265="",COUNTIF('Injection Sales'!$B$2:$B$501,A265)+COUNTIF('Protein Sales'!$B$2:$B$501,A265)+COUNTIF('Diet Support'!$B$2:$B$501,A265)=0),"",MIN(IF(COUNTIF('Injection Sales'!$B$2:$B$501,A265),_xlfn.MINIFS('Injection Sales'!$A$2:$A$501,'Injection Sales'!$B$2:$B$501,A265),99999),IF(COUNTIF('Protein Sales'!$B$2:$B$501,A265),_xlfn.MINIFS('Protein Sales'!$A$2:$A$501,'Protein Sales'!$B$2:$B$501,A265),99999),IF(COUNTIF('Diet Support'!$B$2:$B$501,A265),_xlfn.MINIFS('Diet Support'!$A$2:$A$501,'Diet Support'!$B$2:$B$501,A265),99999)))</f>
        <v/>
      </c>
      <c r="D265" s="18" t="str">
        <f aca="false">IF(OR(A265="",COUNTIF('Injection Sales'!$B$2:$B$501,A265)+COUNTIF('Protein Sales'!$B$2:$B$501,A265)+COUNTIF('Diet Support'!$B$2:$B$501,A265)=0),"",MAX(_xlfn.MAXIFS('Injection Sales'!$A$2:$A$501,'Injection Sales'!$B$2:$B$501,A265),_xlfn.MAXIFS('Protein Sales'!$A$2:$A$501,'Protein Sales'!$B$2:$B$501,A265),_xlfn.MAXIFS('Diet Support'!$A$2:$A$501,'Diet Support'!$B$2:$B$501,A265)))</f>
        <v/>
      </c>
      <c r="E265" s="19" t="str">
        <f aca="false">IF(A265="","",COUNTIF('Injection Sales'!$B$2:$B$501,A265)+COUNTIF('Protein Sales'!$B$2:$B$501,A265)+COUNTIF('Diet Support'!$B$2:$B$501,A265))</f>
        <v/>
      </c>
      <c r="F265" s="20" t="str">
        <f aca="false">IF(A265="","",SUMIF('Injection Sales'!$B$2:$B$501,A265,'Injection Sales'!$G$2:$G$501)+SUMIF('Protein Sales'!$B$2:$B$501,A265,'Protein Sales'!$F$2:$F$501)+SUMIF('Diet Support'!$B$2:$B$501,A265,'Diet Support'!$E$2:$E$501))</f>
        <v/>
      </c>
      <c r="G265" s="21" t="str">
        <f aca="false">IF(OR(A265="",COUNTIF('Injection Sales'!$B$2:$B$501,A265)=0),"",IFERROR(LOOKUP(2,1/(('Injection Sales'!$B$2:$B$501=A265)*('Injection Sales'!$A$2:$A$501=_xlfn.MAXIFS('Injection Sales'!$A$2:$A$501,'Injection Sales'!$B$2:$B$501,A265))),'Injection Sales'!$E$2:$E$501),""))</f>
        <v/>
      </c>
      <c r="H265" s="21" t="str">
        <f aca="false">IF(OR(A265="",COUNTIF('Injection Sales'!$B$2:$B$501,A265)=0),"",IFERROR(LOOKUP(2,1/(('Injection Sales'!$B$2:$B$501=A265)*('Injection Sales'!$A$2:$A$501=_xlfn.MAXIFS('Injection Sales'!$A$2:$A$501,'Injection Sales'!$B$2:$B$501,A265))),'Injection Sales'!$H$2:$H$501),""))</f>
        <v/>
      </c>
      <c r="I265" s="21" t="str">
        <f aca="true">IF(OR(A265="",D265=""),"",IF(TODAY()-D265&lt;=Settings!$B$7,"Active","Inactive"))</f>
        <v/>
      </c>
    </row>
    <row r="266" customFormat="false" ht="15" hidden="false" customHeight="false" outlineLevel="0" collapsed="false">
      <c r="A266" s="1"/>
      <c r="B266" s="22"/>
      <c r="C266" s="18" t="str">
        <f aca="false">IF(OR(A266="",COUNTIF('Injection Sales'!$B$2:$B$501,A266)+COUNTIF('Protein Sales'!$B$2:$B$501,A266)+COUNTIF('Diet Support'!$B$2:$B$501,A266)=0),"",MIN(IF(COUNTIF('Injection Sales'!$B$2:$B$501,A266),_xlfn.MINIFS('Injection Sales'!$A$2:$A$501,'Injection Sales'!$B$2:$B$501,A266),99999),IF(COUNTIF('Protein Sales'!$B$2:$B$501,A266),_xlfn.MINIFS('Protein Sales'!$A$2:$A$501,'Protein Sales'!$B$2:$B$501,A266),99999),IF(COUNTIF('Diet Support'!$B$2:$B$501,A266),_xlfn.MINIFS('Diet Support'!$A$2:$A$501,'Diet Support'!$B$2:$B$501,A266),99999)))</f>
        <v/>
      </c>
      <c r="D266" s="18" t="str">
        <f aca="false">IF(OR(A266="",COUNTIF('Injection Sales'!$B$2:$B$501,A266)+COUNTIF('Protein Sales'!$B$2:$B$501,A266)+COUNTIF('Diet Support'!$B$2:$B$501,A266)=0),"",MAX(_xlfn.MAXIFS('Injection Sales'!$A$2:$A$501,'Injection Sales'!$B$2:$B$501,A266),_xlfn.MAXIFS('Protein Sales'!$A$2:$A$501,'Protein Sales'!$B$2:$B$501,A266),_xlfn.MAXIFS('Diet Support'!$A$2:$A$501,'Diet Support'!$B$2:$B$501,A266)))</f>
        <v/>
      </c>
      <c r="E266" s="19" t="str">
        <f aca="false">IF(A266="","",COUNTIF('Injection Sales'!$B$2:$B$501,A266)+COUNTIF('Protein Sales'!$B$2:$B$501,A266)+COUNTIF('Diet Support'!$B$2:$B$501,A266))</f>
        <v/>
      </c>
      <c r="F266" s="20" t="str">
        <f aca="false">IF(A266="","",SUMIF('Injection Sales'!$B$2:$B$501,A266,'Injection Sales'!$G$2:$G$501)+SUMIF('Protein Sales'!$B$2:$B$501,A266,'Protein Sales'!$F$2:$F$501)+SUMIF('Diet Support'!$B$2:$B$501,A266,'Diet Support'!$E$2:$E$501))</f>
        <v/>
      </c>
      <c r="G266" s="21" t="str">
        <f aca="false">IF(OR(A266="",COUNTIF('Injection Sales'!$B$2:$B$501,A266)=0),"",IFERROR(LOOKUP(2,1/(('Injection Sales'!$B$2:$B$501=A266)*('Injection Sales'!$A$2:$A$501=_xlfn.MAXIFS('Injection Sales'!$A$2:$A$501,'Injection Sales'!$B$2:$B$501,A266))),'Injection Sales'!$E$2:$E$501),""))</f>
        <v/>
      </c>
      <c r="H266" s="21" t="str">
        <f aca="false">IF(OR(A266="",COUNTIF('Injection Sales'!$B$2:$B$501,A266)=0),"",IFERROR(LOOKUP(2,1/(('Injection Sales'!$B$2:$B$501=A266)*('Injection Sales'!$A$2:$A$501=_xlfn.MAXIFS('Injection Sales'!$A$2:$A$501,'Injection Sales'!$B$2:$B$501,A266))),'Injection Sales'!$H$2:$H$501),""))</f>
        <v/>
      </c>
      <c r="I266" s="21" t="str">
        <f aca="true">IF(OR(A266="",D266=""),"",IF(TODAY()-D266&lt;=Settings!$B$7,"Active","Inactive"))</f>
        <v/>
      </c>
    </row>
    <row r="267" customFormat="false" ht="15" hidden="false" customHeight="false" outlineLevel="0" collapsed="false">
      <c r="A267" s="1"/>
      <c r="B267" s="22"/>
      <c r="C267" s="18" t="str">
        <f aca="false">IF(OR(A267="",COUNTIF('Injection Sales'!$B$2:$B$501,A267)+COUNTIF('Protein Sales'!$B$2:$B$501,A267)+COUNTIF('Diet Support'!$B$2:$B$501,A267)=0),"",MIN(IF(COUNTIF('Injection Sales'!$B$2:$B$501,A267),_xlfn.MINIFS('Injection Sales'!$A$2:$A$501,'Injection Sales'!$B$2:$B$501,A267),99999),IF(COUNTIF('Protein Sales'!$B$2:$B$501,A267),_xlfn.MINIFS('Protein Sales'!$A$2:$A$501,'Protein Sales'!$B$2:$B$501,A267),99999),IF(COUNTIF('Diet Support'!$B$2:$B$501,A267),_xlfn.MINIFS('Diet Support'!$A$2:$A$501,'Diet Support'!$B$2:$B$501,A267),99999)))</f>
        <v/>
      </c>
      <c r="D267" s="18" t="str">
        <f aca="false">IF(OR(A267="",COUNTIF('Injection Sales'!$B$2:$B$501,A267)+COUNTIF('Protein Sales'!$B$2:$B$501,A267)+COUNTIF('Diet Support'!$B$2:$B$501,A267)=0),"",MAX(_xlfn.MAXIFS('Injection Sales'!$A$2:$A$501,'Injection Sales'!$B$2:$B$501,A267),_xlfn.MAXIFS('Protein Sales'!$A$2:$A$501,'Protein Sales'!$B$2:$B$501,A267),_xlfn.MAXIFS('Diet Support'!$A$2:$A$501,'Diet Support'!$B$2:$B$501,A267)))</f>
        <v/>
      </c>
      <c r="E267" s="19" t="str">
        <f aca="false">IF(A267="","",COUNTIF('Injection Sales'!$B$2:$B$501,A267)+COUNTIF('Protein Sales'!$B$2:$B$501,A267)+COUNTIF('Diet Support'!$B$2:$B$501,A267))</f>
        <v/>
      </c>
      <c r="F267" s="20" t="str">
        <f aca="false">IF(A267="","",SUMIF('Injection Sales'!$B$2:$B$501,A267,'Injection Sales'!$G$2:$G$501)+SUMIF('Protein Sales'!$B$2:$B$501,A267,'Protein Sales'!$F$2:$F$501)+SUMIF('Diet Support'!$B$2:$B$501,A267,'Diet Support'!$E$2:$E$501))</f>
        <v/>
      </c>
      <c r="G267" s="21" t="str">
        <f aca="false">IF(OR(A267="",COUNTIF('Injection Sales'!$B$2:$B$501,A267)=0),"",IFERROR(LOOKUP(2,1/(('Injection Sales'!$B$2:$B$501=A267)*('Injection Sales'!$A$2:$A$501=_xlfn.MAXIFS('Injection Sales'!$A$2:$A$501,'Injection Sales'!$B$2:$B$501,A267))),'Injection Sales'!$E$2:$E$501),""))</f>
        <v/>
      </c>
      <c r="H267" s="21" t="str">
        <f aca="false">IF(OR(A267="",COUNTIF('Injection Sales'!$B$2:$B$501,A267)=0),"",IFERROR(LOOKUP(2,1/(('Injection Sales'!$B$2:$B$501=A267)*('Injection Sales'!$A$2:$A$501=_xlfn.MAXIFS('Injection Sales'!$A$2:$A$501,'Injection Sales'!$B$2:$B$501,A267))),'Injection Sales'!$H$2:$H$501),""))</f>
        <v/>
      </c>
      <c r="I267" s="21" t="str">
        <f aca="true">IF(OR(A267="",D267=""),"",IF(TODAY()-D267&lt;=Settings!$B$7,"Active","Inactive"))</f>
        <v/>
      </c>
    </row>
    <row r="268" customFormat="false" ht="15" hidden="false" customHeight="false" outlineLevel="0" collapsed="false">
      <c r="A268" s="1"/>
      <c r="B268" s="22"/>
      <c r="C268" s="18" t="str">
        <f aca="false">IF(OR(A268="",COUNTIF('Injection Sales'!$B$2:$B$501,A268)+COUNTIF('Protein Sales'!$B$2:$B$501,A268)+COUNTIF('Diet Support'!$B$2:$B$501,A268)=0),"",MIN(IF(COUNTIF('Injection Sales'!$B$2:$B$501,A268),_xlfn.MINIFS('Injection Sales'!$A$2:$A$501,'Injection Sales'!$B$2:$B$501,A268),99999),IF(COUNTIF('Protein Sales'!$B$2:$B$501,A268),_xlfn.MINIFS('Protein Sales'!$A$2:$A$501,'Protein Sales'!$B$2:$B$501,A268),99999),IF(COUNTIF('Diet Support'!$B$2:$B$501,A268),_xlfn.MINIFS('Diet Support'!$A$2:$A$501,'Diet Support'!$B$2:$B$501,A268),99999)))</f>
        <v/>
      </c>
      <c r="D268" s="18" t="str">
        <f aca="false">IF(OR(A268="",COUNTIF('Injection Sales'!$B$2:$B$501,A268)+COUNTIF('Protein Sales'!$B$2:$B$501,A268)+COUNTIF('Diet Support'!$B$2:$B$501,A268)=0),"",MAX(_xlfn.MAXIFS('Injection Sales'!$A$2:$A$501,'Injection Sales'!$B$2:$B$501,A268),_xlfn.MAXIFS('Protein Sales'!$A$2:$A$501,'Protein Sales'!$B$2:$B$501,A268),_xlfn.MAXIFS('Diet Support'!$A$2:$A$501,'Diet Support'!$B$2:$B$501,A268)))</f>
        <v/>
      </c>
      <c r="E268" s="19" t="str">
        <f aca="false">IF(A268="","",COUNTIF('Injection Sales'!$B$2:$B$501,A268)+COUNTIF('Protein Sales'!$B$2:$B$501,A268)+COUNTIF('Diet Support'!$B$2:$B$501,A268))</f>
        <v/>
      </c>
      <c r="F268" s="20" t="str">
        <f aca="false">IF(A268="","",SUMIF('Injection Sales'!$B$2:$B$501,A268,'Injection Sales'!$G$2:$G$501)+SUMIF('Protein Sales'!$B$2:$B$501,A268,'Protein Sales'!$F$2:$F$501)+SUMIF('Diet Support'!$B$2:$B$501,A268,'Diet Support'!$E$2:$E$501))</f>
        <v/>
      </c>
      <c r="G268" s="21" t="str">
        <f aca="false">IF(OR(A268="",COUNTIF('Injection Sales'!$B$2:$B$501,A268)=0),"",IFERROR(LOOKUP(2,1/(('Injection Sales'!$B$2:$B$501=A268)*('Injection Sales'!$A$2:$A$501=_xlfn.MAXIFS('Injection Sales'!$A$2:$A$501,'Injection Sales'!$B$2:$B$501,A268))),'Injection Sales'!$E$2:$E$501),""))</f>
        <v/>
      </c>
      <c r="H268" s="21" t="str">
        <f aca="false">IF(OR(A268="",COUNTIF('Injection Sales'!$B$2:$B$501,A268)=0),"",IFERROR(LOOKUP(2,1/(('Injection Sales'!$B$2:$B$501=A268)*('Injection Sales'!$A$2:$A$501=_xlfn.MAXIFS('Injection Sales'!$A$2:$A$501,'Injection Sales'!$B$2:$B$501,A268))),'Injection Sales'!$H$2:$H$501),""))</f>
        <v/>
      </c>
      <c r="I268" s="21" t="str">
        <f aca="true">IF(OR(A268="",D268=""),"",IF(TODAY()-D268&lt;=Settings!$B$7,"Active","Inactive"))</f>
        <v/>
      </c>
    </row>
    <row r="269" customFormat="false" ht="15" hidden="false" customHeight="false" outlineLevel="0" collapsed="false">
      <c r="A269" s="1"/>
      <c r="B269" s="22"/>
      <c r="C269" s="18" t="str">
        <f aca="false">IF(OR(A269="",COUNTIF('Injection Sales'!$B$2:$B$501,A269)+COUNTIF('Protein Sales'!$B$2:$B$501,A269)+COUNTIF('Diet Support'!$B$2:$B$501,A269)=0),"",MIN(IF(COUNTIF('Injection Sales'!$B$2:$B$501,A269),_xlfn.MINIFS('Injection Sales'!$A$2:$A$501,'Injection Sales'!$B$2:$B$501,A269),99999),IF(COUNTIF('Protein Sales'!$B$2:$B$501,A269),_xlfn.MINIFS('Protein Sales'!$A$2:$A$501,'Protein Sales'!$B$2:$B$501,A269),99999),IF(COUNTIF('Diet Support'!$B$2:$B$501,A269),_xlfn.MINIFS('Diet Support'!$A$2:$A$501,'Diet Support'!$B$2:$B$501,A269),99999)))</f>
        <v/>
      </c>
      <c r="D269" s="18" t="str">
        <f aca="false">IF(OR(A269="",COUNTIF('Injection Sales'!$B$2:$B$501,A269)+COUNTIF('Protein Sales'!$B$2:$B$501,A269)+COUNTIF('Diet Support'!$B$2:$B$501,A269)=0),"",MAX(_xlfn.MAXIFS('Injection Sales'!$A$2:$A$501,'Injection Sales'!$B$2:$B$501,A269),_xlfn.MAXIFS('Protein Sales'!$A$2:$A$501,'Protein Sales'!$B$2:$B$501,A269),_xlfn.MAXIFS('Diet Support'!$A$2:$A$501,'Diet Support'!$B$2:$B$501,A269)))</f>
        <v/>
      </c>
      <c r="E269" s="19" t="str">
        <f aca="false">IF(A269="","",COUNTIF('Injection Sales'!$B$2:$B$501,A269)+COUNTIF('Protein Sales'!$B$2:$B$501,A269)+COUNTIF('Diet Support'!$B$2:$B$501,A269))</f>
        <v/>
      </c>
      <c r="F269" s="20" t="str">
        <f aca="false">IF(A269="","",SUMIF('Injection Sales'!$B$2:$B$501,A269,'Injection Sales'!$G$2:$G$501)+SUMIF('Protein Sales'!$B$2:$B$501,A269,'Protein Sales'!$F$2:$F$501)+SUMIF('Diet Support'!$B$2:$B$501,A269,'Diet Support'!$E$2:$E$501))</f>
        <v/>
      </c>
      <c r="G269" s="21" t="str">
        <f aca="false">IF(OR(A269="",COUNTIF('Injection Sales'!$B$2:$B$501,A269)=0),"",IFERROR(LOOKUP(2,1/(('Injection Sales'!$B$2:$B$501=A269)*('Injection Sales'!$A$2:$A$501=_xlfn.MAXIFS('Injection Sales'!$A$2:$A$501,'Injection Sales'!$B$2:$B$501,A269))),'Injection Sales'!$E$2:$E$501),""))</f>
        <v/>
      </c>
      <c r="H269" s="21" t="str">
        <f aca="false">IF(OR(A269="",COUNTIF('Injection Sales'!$B$2:$B$501,A269)=0),"",IFERROR(LOOKUP(2,1/(('Injection Sales'!$B$2:$B$501=A269)*('Injection Sales'!$A$2:$A$501=_xlfn.MAXIFS('Injection Sales'!$A$2:$A$501,'Injection Sales'!$B$2:$B$501,A269))),'Injection Sales'!$H$2:$H$501),""))</f>
        <v/>
      </c>
      <c r="I269" s="21" t="str">
        <f aca="true">IF(OR(A269="",D269=""),"",IF(TODAY()-D269&lt;=Settings!$B$7,"Active","Inactive"))</f>
        <v/>
      </c>
    </row>
    <row r="270" customFormat="false" ht="15" hidden="false" customHeight="false" outlineLevel="0" collapsed="false">
      <c r="A270" s="1"/>
      <c r="B270" s="22"/>
      <c r="C270" s="18" t="str">
        <f aca="false">IF(OR(A270="",COUNTIF('Injection Sales'!$B$2:$B$501,A270)+COUNTIF('Protein Sales'!$B$2:$B$501,A270)+COUNTIF('Diet Support'!$B$2:$B$501,A270)=0),"",MIN(IF(COUNTIF('Injection Sales'!$B$2:$B$501,A270),_xlfn.MINIFS('Injection Sales'!$A$2:$A$501,'Injection Sales'!$B$2:$B$501,A270),99999),IF(COUNTIF('Protein Sales'!$B$2:$B$501,A270),_xlfn.MINIFS('Protein Sales'!$A$2:$A$501,'Protein Sales'!$B$2:$B$501,A270),99999),IF(COUNTIF('Diet Support'!$B$2:$B$501,A270),_xlfn.MINIFS('Diet Support'!$A$2:$A$501,'Diet Support'!$B$2:$B$501,A270),99999)))</f>
        <v/>
      </c>
      <c r="D270" s="18" t="str">
        <f aca="false">IF(OR(A270="",COUNTIF('Injection Sales'!$B$2:$B$501,A270)+COUNTIF('Protein Sales'!$B$2:$B$501,A270)+COUNTIF('Diet Support'!$B$2:$B$501,A270)=0),"",MAX(_xlfn.MAXIFS('Injection Sales'!$A$2:$A$501,'Injection Sales'!$B$2:$B$501,A270),_xlfn.MAXIFS('Protein Sales'!$A$2:$A$501,'Protein Sales'!$B$2:$B$501,A270),_xlfn.MAXIFS('Diet Support'!$A$2:$A$501,'Diet Support'!$B$2:$B$501,A270)))</f>
        <v/>
      </c>
      <c r="E270" s="19" t="str">
        <f aca="false">IF(A270="","",COUNTIF('Injection Sales'!$B$2:$B$501,A270)+COUNTIF('Protein Sales'!$B$2:$B$501,A270)+COUNTIF('Diet Support'!$B$2:$B$501,A270))</f>
        <v/>
      </c>
      <c r="F270" s="20" t="str">
        <f aca="false">IF(A270="","",SUMIF('Injection Sales'!$B$2:$B$501,A270,'Injection Sales'!$G$2:$G$501)+SUMIF('Protein Sales'!$B$2:$B$501,A270,'Protein Sales'!$F$2:$F$501)+SUMIF('Diet Support'!$B$2:$B$501,A270,'Diet Support'!$E$2:$E$501))</f>
        <v/>
      </c>
      <c r="G270" s="21" t="str">
        <f aca="false">IF(OR(A270="",COUNTIF('Injection Sales'!$B$2:$B$501,A270)=0),"",IFERROR(LOOKUP(2,1/(('Injection Sales'!$B$2:$B$501=A270)*('Injection Sales'!$A$2:$A$501=_xlfn.MAXIFS('Injection Sales'!$A$2:$A$501,'Injection Sales'!$B$2:$B$501,A270))),'Injection Sales'!$E$2:$E$501),""))</f>
        <v/>
      </c>
      <c r="H270" s="21" t="str">
        <f aca="false">IF(OR(A270="",COUNTIF('Injection Sales'!$B$2:$B$501,A270)=0),"",IFERROR(LOOKUP(2,1/(('Injection Sales'!$B$2:$B$501=A270)*('Injection Sales'!$A$2:$A$501=_xlfn.MAXIFS('Injection Sales'!$A$2:$A$501,'Injection Sales'!$B$2:$B$501,A270))),'Injection Sales'!$H$2:$H$501),""))</f>
        <v/>
      </c>
      <c r="I270" s="21" t="str">
        <f aca="true">IF(OR(A270="",D270=""),"",IF(TODAY()-D270&lt;=Settings!$B$7,"Active","Inactive"))</f>
        <v/>
      </c>
    </row>
    <row r="271" customFormat="false" ht="15" hidden="false" customHeight="false" outlineLevel="0" collapsed="false">
      <c r="A271" s="1"/>
      <c r="B271" s="22"/>
      <c r="C271" s="18" t="str">
        <f aca="false">IF(OR(A271="",COUNTIF('Injection Sales'!$B$2:$B$501,A271)+COUNTIF('Protein Sales'!$B$2:$B$501,A271)+COUNTIF('Diet Support'!$B$2:$B$501,A271)=0),"",MIN(IF(COUNTIF('Injection Sales'!$B$2:$B$501,A271),_xlfn.MINIFS('Injection Sales'!$A$2:$A$501,'Injection Sales'!$B$2:$B$501,A271),99999),IF(COUNTIF('Protein Sales'!$B$2:$B$501,A271),_xlfn.MINIFS('Protein Sales'!$A$2:$A$501,'Protein Sales'!$B$2:$B$501,A271),99999),IF(COUNTIF('Diet Support'!$B$2:$B$501,A271),_xlfn.MINIFS('Diet Support'!$A$2:$A$501,'Diet Support'!$B$2:$B$501,A271),99999)))</f>
        <v/>
      </c>
      <c r="D271" s="18" t="str">
        <f aca="false">IF(OR(A271="",COUNTIF('Injection Sales'!$B$2:$B$501,A271)+COUNTIF('Protein Sales'!$B$2:$B$501,A271)+COUNTIF('Diet Support'!$B$2:$B$501,A271)=0),"",MAX(_xlfn.MAXIFS('Injection Sales'!$A$2:$A$501,'Injection Sales'!$B$2:$B$501,A271),_xlfn.MAXIFS('Protein Sales'!$A$2:$A$501,'Protein Sales'!$B$2:$B$501,A271),_xlfn.MAXIFS('Diet Support'!$A$2:$A$501,'Diet Support'!$B$2:$B$501,A271)))</f>
        <v/>
      </c>
      <c r="E271" s="19" t="str">
        <f aca="false">IF(A271="","",COUNTIF('Injection Sales'!$B$2:$B$501,A271)+COUNTIF('Protein Sales'!$B$2:$B$501,A271)+COUNTIF('Diet Support'!$B$2:$B$501,A271))</f>
        <v/>
      </c>
      <c r="F271" s="20" t="str">
        <f aca="false">IF(A271="","",SUMIF('Injection Sales'!$B$2:$B$501,A271,'Injection Sales'!$G$2:$G$501)+SUMIF('Protein Sales'!$B$2:$B$501,A271,'Protein Sales'!$F$2:$F$501)+SUMIF('Diet Support'!$B$2:$B$501,A271,'Diet Support'!$E$2:$E$501))</f>
        <v/>
      </c>
      <c r="G271" s="21" t="str">
        <f aca="false">IF(OR(A271="",COUNTIF('Injection Sales'!$B$2:$B$501,A271)=0),"",IFERROR(LOOKUP(2,1/(('Injection Sales'!$B$2:$B$501=A271)*('Injection Sales'!$A$2:$A$501=_xlfn.MAXIFS('Injection Sales'!$A$2:$A$501,'Injection Sales'!$B$2:$B$501,A271))),'Injection Sales'!$E$2:$E$501),""))</f>
        <v/>
      </c>
      <c r="H271" s="21" t="str">
        <f aca="false">IF(OR(A271="",COUNTIF('Injection Sales'!$B$2:$B$501,A271)=0),"",IFERROR(LOOKUP(2,1/(('Injection Sales'!$B$2:$B$501=A271)*('Injection Sales'!$A$2:$A$501=_xlfn.MAXIFS('Injection Sales'!$A$2:$A$501,'Injection Sales'!$B$2:$B$501,A271))),'Injection Sales'!$H$2:$H$501),""))</f>
        <v/>
      </c>
      <c r="I271" s="21" t="str">
        <f aca="true">IF(OR(A271="",D271=""),"",IF(TODAY()-D271&lt;=Settings!$B$7,"Active","Inactive"))</f>
        <v/>
      </c>
    </row>
    <row r="272" customFormat="false" ht="15" hidden="false" customHeight="false" outlineLevel="0" collapsed="false">
      <c r="A272" s="1"/>
      <c r="B272" s="22"/>
      <c r="C272" s="18" t="str">
        <f aca="false">IF(OR(A272="",COUNTIF('Injection Sales'!$B$2:$B$501,A272)+COUNTIF('Protein Sales'!$B$2:$B$501,A272)+COUNTIF('Diet Support'!$B$2:$B$501,A272)=0),"",MIN(IF(COUNTIF('Injection Sales'!$B$2:$B$501,A272),_xlfn.MINIFS('Injection Sales'!$A$2:$A$501,'Injection Sales'!$B$2:$B$501,A272),99999),IF(COUNTIF('Protein Sales'!$B$2:$B$501,A272),_xlfn.MINIFS('Protein Sales'!$A$2:$A$501,'Protein Sales'!$B$2:$B$501,A272),99999),IF(COUNTIF('Diet Support'!$B$2:$B$501,A272),_xlfn.MINIFS('Diet Support'!$A$2:$A$501,'Diet Support'!$B$2:$B$501,A272),99999)))</f>
        <v/>
      </c>
      <c r="D272" s="18" t="str">
        <f aca="false">IF(OR(A272="",COUNTIF('Injection Sales'!$B$2:$B$501,A272)+COUNTIF('Protein Sales'!$B$2:$B$501,A272)+COUNTIF('Diet Support'!$B$2:$B$501,A272)=0),"",MAX(_xlfn.MAXIFS('Injection Sales'!$A$2:$A$501,'Injection Sales'!$B$2:$B$501,A272),_xlfn.MAXIFS('Protein Sales'!$A$2:$A$501,'Protein Sales'!$B$2:$B$501,A272),_xlfn.MAXIFS('Diet Support'!$A$2:$A$501,'Diet Support'!$B$2:$B$501,A272)))</f>
        <v/>
      </c>
      <c r="E272" s="19" t="str">
        <f aca="false">IF(A272="","",COUNTIF('Injection Sales'!$B$2:$B$501,A272)+COUNTIF('Protein Sales'!$B$2:$B$501,A272)+COUNTIF('Diet Support'!$B$2:$B$501,A272))</f>
        <v/>
      </c>
      <c r="F272" s="20" t="str">
        <f aca="false">IF(A272="","",SUMIF('Injection Sales'!$B$2:$B$501,A272,'Injection Sales'!$G$2:$G$501)+SUMIF('Protein Sales'!$B$2:$B$501,A272,'Protein Sales'!$F$2:$F$501)+SUMIF('Diet Support'!$B$2:$B$501,A272,'Diet Support'!$E$2:$E$501))</f>
        <v/>
      </c>
      <c r="G272" s="21" t="str">
        <f aca="false">IF(OR(A272="",COUNTIF('Injection Sales'!$B$2:$B$501,A272)=0),"",IFERROR(LOOKUP(2,1/(('Injection Sales'!$B$2:$B$501=A272)*('Injection Sales'!$A$2:$A$501=_xlfn.MAXIFS('Injection Sales'!$A$2:$A$501,'Injection Sales'!$B$2:$B$501,A272))),'Injection Sales'!$E$2:$E$501),""))</f>
        <v/>
      </c>
      <c r="H272" s="21" t="str">
        <f aca="false">IF(OR(A272="",COUNTIF('Injection Sales'!$B$2:$B$501,A272)=0),"",IFERROR(LOOKUP(2,1/(('Injection Sales'!$B$2:$B$501=A272)*('Injection Sales'!$A$2:$A$501=_xlfn.MAXIFS('Injection Sales'!$A$2:$A$501,'Injection Sales'!$B$2:$B$501,A272))),'Injection Sales'!$H$2:$H$501),""))</f>
        <v/>
      </c>
      <c r="I272" s="21" t="str">
        <f aca="true">IF(OR(A272="",D272=""),"",IF(TODAY()-D272&lt;=Settings!$B$7,"Active","Inactive"))</f>
        <v/>
      </c>
    </row>
    <row r="273" customFormat="false" ht="15" hidden="false" customHeight="false" outlineLevel="0" collapsed="false">
      <c r="A273" s="1"/>
      <c r="B273" s="22"/>
      <c r="C273" s="18" t="str">
        <f aca="false">IF(OR(A273="",COUNTIF('Injection Sales'!$B$2:$B$501,A273)+COUNTIF('Protein Sales'!$B$2:$B$501,A273)+COUNTIF('Diet Support'!$B$2:$B$501,A273)=0),"",MIN(IF(COUNTIF('Injection Sales'!$B$2:$B$501,A273),_xlfn.MINIFS('Injection Sales'!$A$2:$A$501,'Injection Sales'!$B$2:$B$501,A273),99999),IF(COUNTIF('Protein Sales'!$B$2:$B$501,A273),_xlfn.MINIFS('Protein Sales'!$A$2:$A$501,'Protein Sales'!$B$2:$B$501,A273),99999),IF(COUNTIF('Diet Support'!$B$2:$B$501,A273),_xlfn.MINIFS('Diet Support'!$A$2:$A$501,'Diet Support'!$B$2:$B$501,A273),99999)))</f>
        <v/>
      </c>
      <c r="D273" s="18" t="str">
        <f aca="false">IF(OR(A273="",COUNTIF('Injection Sales'!$B$2:$B$501,A273)+COUNTIF('Protein Sales'!$B$2:$B$501,A273)+COUNTIF('Diet Support'!$B$2:$B$501,A273)=0),"",MAX(_xlfn.MAXIFS('Injection Sales'!$A$2:$A$501,'Injection Sales'!$B$2:$B$501,A273),_xlfn.MAXIFS('Protein Sales'!$A$2:$A$501,'Protein Sales'!$B$2:$B$501,A273),_xlfn.MAXIFS('Diet Support'!$A$2:$A$501,'Diet Support'!$B$2:$B$501,A273)))</f>
        <v/>
      </c>
      <c r="E273" s="19" t="str">
        <f aca="false">IF(A273="","",COUNTIF('Injection Sales'!$B$2:$B$501,A273)+COUNTIF('Protein Sales'!$B$2:$B$501,A273)+COUNTIF('Diet Support'!$B$2:$B$501,A273))</f>
        <v/>
      </c>
      <c r="F273" s="20" t="str">
        <f aca="false">IF(A273="","",SUMIF('Injection Sales'!$B$2:$B$501,A273,'Injection Sales'!$G$2:$G$501)+SUMIF('Protein Sales'!$B$2:$B$501,A273,'Protein Sales'!$F$2:$F$501)+SUMIF('Diet Support'!$B$2:$B$501,A273,'Diet Support'!$E$2:$E$501))</f>
        <v/>
      </c>
      <c r="G273" s="21" t="str">
        <f aca="false">IF(OR(A273="",COUNTIF('Injection Sales'!$B$2:$B$501,A273)=0),"",IFERROR(LOOKUP(2,1/(('Injection Sales'!$B$2:$B$501=A273)*('Injection Sales'!$A$2:$A$501=_xlfn.MAXIFS('Injection Sales'!$A$2:$A$501,'Injection Sales'!$B$2:$B$501,A273))),'Injection Sales'!$E$2:$E$501),""))</f>
        <v/>
      </c>
      <c r="H273" s="21" t="str">
        <f aca="false">IF(OR(A273="",COUNTIF('Injection Sales'!$B$2:$B$501,A273)=0),"",IFERROR(LOOKUP(2,1/(('Injection Sales'!$B$2:$B$501=A273)*('Injection Sales'!$A$2:$A$501=_xlfn.MAXIFS('Injection Sales'!$A$2:$A$501,'Injection Sales'!$B$2:$B$501,A273))),'Injection Sales'!$H$2:$H$501),""))</f>
        <v/>
      </c>
      <c r="I273" s="21" t="str">
        <f aca="true">IF(OR(A273="",D273=""),"",IF(TODAY()-D273&lt;=Settings!$B$7,"Active","Inactive"))</f>
        <v/>
      </c>
    </row>
    <row r="274" customFormat="false" ht="15" hidden="false" customHeight="false" outlineLevel="0" collapsed="false">
      <c r="A274" s="1"/>
      <c r="B274" s="22"/>
      <c r="C274" s="18" t="str">
        <f aca="false">IF(OR(A274="",COUNTIF('Injection Sales'!$B$2:$B$501,A274)+COUNTIF('Protein Sales'!$B$2:$B$501,A274)+COUNTIF('Diet Support'!$B$2:$B$501,A274)=0),"",MIN(IF(COUNTIF('Injection Sales'!$B$2:$B$501,A274),_xlfn.MINIFS('Injection Sales'!$A$2:$A$501,'Injection Sales'!$B$2:$B$501,A274),99999),IF(COUNTIF('Protein Sales'!$B$2:$B$501,A274),_xlfn.MINIFS('Protein Sales'!$A$2:$A$501,'Protein Sales'!$B$2:$B$501,A274),99999),IF(COUNTIF('Diet Support'!$B$2:$B$501,A274),_xlfn.MINIFS('Diet Support'!$A$2:$A$501,'Diet Support'!$B$2:$B$501,A274),99999)))</f>
        <v/>
      </c>
      <c r="D274" s="18" t="str">
        <f aca="false">IF(OR(A274="",COUNTIF('Injection Sales'!$B$2:$B$501,A274)+COUNTIF('Protein Sales'!$B$2:$B$501,A274)+COUNTIF('Diet Support'!$B$2:$B$501,A274)=0),"",MAX(_xlfn.MAXIFS('Injection Sales'!$A$2:$A$501,'Injection Sales'!$B$2:$B$501,A274),_xlfn.MAXIFS('Protein Sales'!$A$2:$A$501,'Protein Sales'!$B$2:$B$501,A274),_xlfn.MAXIFS('Diet Support'!$A$2:$A$501,'Diet Support'!$B$2:$B$501,A274)))</f>
        <v/>
      </c>
      <c r="E274" s="19" t="str">
        <f aca="false">IF(A274="","",COUNTIF('Injection Sales'!$B$2:$B$501,A274)+COUNTIF('Protein Sales'!$B$2:$B$501,A274)+COUNTIF('Diet Support'!$B$2:$B$501,A274))</f>
        <v/>
      </c>
      <c r="F274" s="20" t="str">
        <f aca="false">IF(A274="","",SUMIF('Injection Sales'!$B$2:$B$501,A274,'Injection Sales'!$G$2:$G$501)+SUMIF('Protein Sales'!$B$2:$B$501,A274,'Protein Sales'!$F$2:$F$501)+SUMIF('Diet Support'!$B$2:$B$501,A274,'Diet Support'!$E$2:$E$501))</f>
        <v/>
      </c>
      <c r="G274" s="21" t="str">
        <f aca="false">IF(OR(A274="",COUNTIF('Injection Sales'!$B$2:$B$501,A274)=0),"",IFERROR(LOOKUP(2,1/(('Injection Sales'!$B$2:$B$501=A274)*('Injection Sales'!$A$2:$A$501=_xlfn.MAXIFS('Injection Sales'!$A$2:$A$501,'Injection Sales'!$B$2:$B$501,A274))),'Injection Sales'!$E$2:$E$501),""))</f>
        <v/>
      </c>
      <c r="H274" s="21" t="str">
        <f aca="false">IF(OR(A274="",COUNTIF('Injection Sales'!$B$2:$B$501,A274)=0),"",IFERROR(LOOKUP(2,1/(('Injection Sales'!$B$2:$B$501=A274)*('Injection Sales'!$A$2:$A$501=_xlfn.MAXIFS('Injection Sales'!$A$2:$A$501,'Injection Sales'!$B$2:$B$501,A274))),'Injection Sales'!$H$2:$H$501),""))</f>
        <v/>
      </c>
      <c r="I274" s="21" t="str">
        <f aca="true">IF(OR(A274="",D274=""),"",IF(TODAY()-D274&lt;=Settings!$B$7,"Active","Inactive"))</f>
        <v/>
      </c>
    </row>
    <row r="275" customFormat="false" ht="15" hidden="false" customHeight="false" outlineLevel="0" collapsed="false">
      <c r="A275" s="1"/>
      <c r="B275" s="22"/>
      <c r="C275" s="18" t="str">
        <f aca="false">IF(OR(A275="",COUNTIF('Injection Sales'!$B$2:$B$501,A275)+COUNTIF('Protein Sales'!$B$2:$B$501,A275)+COUNTIF('Diet Support'!$B$2:$B$501,A275)=0),"",MIN(IF(COUNTIF('Injection Sales'!$B$2:$B$501,A275),_xlfn.MINIFS('Injection Sales'!$A$2:$A$501,'Injection Sales'!$B$2:$B$501,A275),99999),IF(COUNTIF('Protein Sales'!$B$2:$B$501,A275),_xlfn.MINIFS('Protein Sales'!$A$2:$A$501,'Protein Sales'!$B$2:$B$501,A275),99999),IF(COUNTIF('Diet Support'!$B$2:$B$501,A275),_xlfn.MINIFS('Diet Support'!$A$2:$A$501,'Diet Support'!$B$2:$B$501,A275),99999)))</f>
        <v/>
      </c>
      <c r="D275" s="18" t="str">
        <f aca="false">IF(OR(A275="",COUNTIF('Injection Sales'!$B$2:$B$501,A275)+COUNTIF('Protein Sales'!$B$2:$B$501,A275)+COUNTIF('Diet Support'!$B$2:$B$501,A275)=0),"",MAX(_xlfn.MAXIFS('Injection Sales'!$A$2:$A$501,'Injection Sales'!$B$2:$B$501,A275),_xlfn.MAXIFS('Protein Sales'!$A$2:$A$501,'Protein Sales'!$B$2:$B$501,A275),_xlfn.MAXIFS('Diet Support'!$A$2:$A$501,'Diet Support'!$B$2:$B$501,A275)))</f>
        <v/>
      </c>
      <c r="E275" s="19" t="str">
        <f aca="false">IF(A275="","",COUNTIF('Injection Sales'!$B$2:$B$501,A275)+COUNTIF('Protein Sales'!$B$2:$B$501,A275)+COUNTIF('Diet Support'!$B$2:$B$501,A275))</f>
        <v/>
      </c>
      <c r="F275" s="20" t="str">
        <f aca="false">IF(A275="","",SUMIF('Injection Sales'!$B$2:$B$501,A275,'Injection Sales'!$G$2:$G$501)+SUMIF('Protein Sales'!$B$2:$B$501,A275,'Protein Sales'!$F$2:$F$501)+SUMIF('Diet Support'!$B$2:$B$501,A275,'Diet Support'!$E$2:$E$501))</f>
        <v/>
      </c>
      <c r="G275" s="21" t="str">
        <f aca="false">IF(OR(A275="",COUNTIF('Injection Sales'!$B$2:$B$501,A275)=0),"",IFERROR(LOOKUP(2,1/(('Injection Sales'!$B$2:$B$501=A275)*('Injection Sales'!$A$2:$A$501=_xlfn.MAXIFS('Injection Sales'!$A$2:$A$501,'Injection Sales'!$B$2:$B$501,A275))),'Injection Sales'!$E$2:$E$501),""))</f>
        <v/>
      </c>
      <c r="H275" s="21" t="str">
        <f aca="false">IF(OR(A275="",COUNTIF('Injection Sales'!$B$2:$B$501,A275)=0),"",IFERROR(LOOKUP(2,1/(('Injection Sales'!$B$2:$B$501=A275)*('Injection Sales'!$A$2:$A$501=_xlfn.MAXIFS('Injection Sales'!$A$2:$A$501,'Injection Sales'!$B$2:$B$501,A275))),'Injection Sales'!$H$2:$H$501),""))</f>
        <v/>
      </c>
      <c r="I275" s="21" t="str">
        <f aca="true">IF(OR(A275="",D275=""),"",IF(TODAY()-D275&lt;=Settings!$B$7,"Active","Inactive"))</f>
        <v/>
      </c>
    </row>
    <row r="276" customFormat="false" ht="15" hidden="false" customHeight="false" outlineLevel="0" collapsed="false">
      <c r="A276" s="1"/>
      <c r="B276" s="22"/>
      <c r="C276" s="18" t="str">
        <f aca="false">IF(OR(A276="",COUNTIF('Injection Sales'!$B$2:$B$501,A276)+COUNTIF('Protein Sales'!$B$2:$B$501,A276)+COUNTIF('Diet Support'!$B$2:$B$501,A276)=0),"",MIN(IF(COUNTIF('Injection Sales'!$B$2:$B$501,A276),_xlfn.MINIFS('Injection Sales'!$A$2:$A$501,'Injection Sales'!$B$2:$B$501,A276),99999),IF(COUNTIF('Protein Sales'!$B$2:$B$501,A276),_xlfn.MINIFS('Protein Sales'!$A$2:$A$501,'Protein Sales'!$B$2:$B$501,A276),99999),IF(COUNTIF('Diet Support'!$B$2:$B$501,A276),_xlfn.MINIFS('Diet Support'!$A$2:$A$501,'Diet Support'!$B$2:$B$501,A276),99999)))</f>
        <v/>
      </c>
      <c r="D276" s="18" t="str">
        <f aca="false">IF(OR(A276="",COUNTIF('Injection Sales'!$B$2:$B$501,A276)+COUNTIF('Protein Sales'!$B$2:$B$501,A276)+COUNTIF('Diet Support'!$B$2:$B$501,A276)=0),"",MAX(_xlfn.MAXIFS('Injection Sales'!$A$2:$A$501,'Injection Sales'!$B$2:$B$501,A276),_xlfn.MAXIFS('Protein Sales'!$A$2:$A$501,'Protein Sales'!$B$2:$B$501,A276),_xlfn.MAXIFS('Diet Support'!$A$2:$A$501,'Diet Support'!$B$2:$B$501,A276)))</f>
        <v/>
      </c>
      <c r="E276" s="19" t="str">
        <f aca="false">IF(A276="","",COUNTIF('Injection Sales'!$B$2:$B$501,A276)+COUNTIF('Protein Sales'!$B$2:$B$501,A276)+COUNTIF('Diet Support'!$B$2:$B$501,A276))</f>
        <v/>
      </c>
      <c r="F276" s="20" t="str">
        <f aca="false">IF(A276="","",SUMIF('Injection Sales'!$B$2:$B$501,A276,'Injection Sales'!$G$2:$G$501)+SUMIF('Protein Sales'!$B$2:$B$501,A276,'Protein Sales'!$F$2:$F$501)+SUMIF('Diet Support'!$B$2:$B$501,A276,'Diet Support'!$E$2:$E$501))</f>
        <v/>
      </c>
      <c r="G276" s="21" t="str">
        <f aca="false">IF(OR(A276="",COUNTIF('Injection Sales'!$B$2:$B$501,A276)=0),"",IFERROR(LOOKUP(2,1/(('Injection Sales'!$B$2:$B$501=A276)*('Injection Sales'!$A$2:$A$501=_xlfn.MAXIFS('Injection Sales'!$A$2:$A$501,'Injection Sales'!$B$2:$B$501,A276))),'Injection Sales'!$E$2:$E$501),""))</f>
        <v/>
      </c>
      <c r="H276" s="21" t="str">
        <f aca="false">IF(OR(A276="",COUNTIF('Injection Sales'!$B$2:$B$501,A276)=0),"",IFERROR(LOOKUP(2,1/(('Injection Sales'!$B$2:$B$501=A276)*('Injection Sales'!$A$2:$A$501=_xlfn.MAXIFS('Injection Sales'!$A$2:$A$501,'Injection Sales'!$B$2:$B$501,A276))),'Injection Sales'!$H$2:$H$501),""))</f>
        <v/>
      </c>
      <c r="I276" s="21" t="str">
        <f aca="true">IF(OR(A276="",D276=""),"",IF(TODAY()-D276&lt;=Settings!$B$7,"Active","Inactive"))</f>
        <v/>
      </c>
    </row>
    <row r="277" customFormat="false" ht="15" hidden="false" customHeight="false" outlineLevel="0" collapsed="false">
      <c r="A277" s="1"/>
      <c r="B277" s="22"/>
      <c r="C277" s="18" t="str">
        <f aca="false">IF(OR(A277="",COUNTIF('Injection Sales'!$B$2:$B$501,A277)+COUNTIF('Protein Sales'!$B$2:$B$501,A277)+COUNTIF('Diet Support'!$B$2:$B$501,A277)=0),"",MIN(IF(COUNTIF('Injection Sales'!$B$2:$B$501,A277),_xlfn.MINIFS('Injection Sales'!$A$2:$A$501,'Injection Sales'!$B$2:$B$501,A277),99999),IF(COUNTIF('Protein Sales'!$B$2:$B$501,A277),_xlfn.MINIFS('Protein Sales'!$A$2:$A$501,'Protein Sales'!$B$2:$B$501,A277),99999),IF(COUNTIF('Diet Support'!$B$2:$B$501,A277),_xlfn.MINIFS('Diet Support'!$A$2:$A$501,'Diet Support'!$B$2:$B$501,A277),99999)))</f>
        <v/>
      </c>
      <c r="D277" s="18" t="str">
        <f aca="false">IF(OR(A277="",COUNTIF('Injection Sales'!$B$2:$B$501,A277)+COUNTIF('Protein Sales'!$B$2:$B$501,A277)+COUNTIF('Diet Support'!$B$2:$B$501,A277)=0),"",MAX(_xlfn.MAXIFS('Injection Sales'!$A$2:$A$501,'Injection Sales'!$B$2:$B$501,A277),_xlfn.MAXIFS('Protein Sales'!$A$2:$A$501,'Protein Sales'!$B$2:$B$501,A277),_xlfn.MAXIFS('Diet Support'!$A$2:$A$501,'Diet Support'!$B$2:$B$501,A277)))</f>
        <v/>
      </c>
      <c r="E277" s="19" t="str">
        <f aca="false">IF(A277="","",COUNTIF('Injection Sales'!$B$2:$B$501,A277)+COUNTIF('Protein Sales'!$B$2:$B$501,A277)+COUNTIF('Diet Support'!$B$2:$B$501,A277))</f>
        <v/>
      </c>
      <c r="F277" s="20" t="str">
        <f aca="false">IF(A277="","",SUMIF('Injection Sales'!$B$2:$B$501,A277,'Injection Sales'!$G$2:$G$501)+SUMIF('Protein Sales'!$B$2:$B$501,A277,'Protein Sales'!$F$2:$F$501)+SUMIF('Diet Support'!$B$2:$B$501,A277,'Diet Support'!$E$2:$E$501))</f>
        <v/>
      </c>
      <c r="G277" s="21" t="str">
        <f aca="false">IF(OR(A277="",COUNTIF('Injection Sales'!$B$2:$B$501,A277)=0),"",IFERROR(LOOKUP(2,1/(('Injection Sales'!$B$2:$B$501=A277)*('Injection Sales'!$A$2:$A$501=_xlfn.MAXIFS('Injection Sales'!$A$2:$A$501,'Injection Sales'!$B$2:$B$501,A277))),'Injection Sales'!$E$2:$E$501),""))</f>
        <v/>
      </c>
      <c r="H277" s="21" t="str">
        <f aca="false">IF(OR(A277="",COUNTIF('Injection Sales'!$B$2:$B$501,A277)=0),"",IFERROR(LOOKUP(2,1/(('Injection Sales'!$B$2:$B$501=A277)*('Injection Sales'!$A$2:$A$501=_xlfn.MAXIFS('Injection Sales'!$A$2:$A$501,'Injection Sales'!$B$2:$B$501,A277))),'Injection Sales'!$H$2:$H$501),""))</f>
        <v/>
      </c>
      <c r="I277" s="21" t="str">
        <f aca="true">IF(OR(A277="",D277=""),"",IF(TODAY()-D277&lt;=Settings!$B$7,"Active","Inactive"))</f>
        <v/>
      </c>
    </row>
    <row r="278" customFormat="false" ht="15" hidden="false" customHeight="false" outlineLevel="0" collapsed="false">
      <c r="A278" s="1"/>
      <c r="B278" s="22"/>
      <c r="C278" s="18" t="str">
        <f aca="false">IF(OR(A278="",COUNTIF('Injection Sales'!$B$2:$B$501,A278)+COUNTIF('Protein Sales'!$B$2:$B$501,A278)+COUNTIF('Diet Support'!$B$2:$B$501,A278)=0),"",MIN(IF(COUNTIF('Injection Sales'!$B$2:$B$501,A278),_xlfn.MINIFS('Injection Sales'!$A$2:$A$501,'Injection Sales'!$B$2:$B$501,A278),99999),IF(COUNTIF('Protein Sales'!$B$2:$B$501,A278),_xlfn.MINIFS('Protein Sales'!$A$2:$A$501,'Protein Sales'!$B$2:$B$501,A278),99999),IF(COUNTIF('Diet Support'!$B$2:$B$501,A278),_xlfn.MINIFS('Diet Support'!$A$2:$A$501,'Diet Support'!$B$2:$B$501,A278),99999)))</f>
        <v/>
      </c>
      <c r="D278" s="18" t="str">
        <f aca="false">IF(OR(A278="",COUNTIF('Injection Sales'!$B$2:$B$501,A278)+COUNTIF('Protein Sales'!$B$2:$B$501,A278)+COUNTIF('Diet Support'!$B$2:$B$501,A278)=0),"",MAX(_xlfn.MAXIFS('Injection Sales'!$A$2:$A$501,'Injection Sales'!$B$2:$B$501,A278),_xlfn.MAXIFS('Protein Sales'!$A$2:$A$501,'Protein Sales'!$B$2:$B$501,A278),_xlfn.MAXIFS('Diet Support'!$A$2:$A$501,'Diet Support'!$B$2:$B$501,A278)))</f>
        <v/>
      </c>
      <c r="E278" s="19" t="str">
        <f aca="false">IF(A278="","",COUNTIF('Injection Sales'!$B$2:$B$501,A278)+COUNTIF('Protein Sales'!$B$2:$B$501,A278)+COUNTIF('Diet Support'!$B$2:$B$501,A278))</f>
        <v/>
      </c>
      <c r="F278" s="20" t="str">
        <f aca="false">IF(A278="","",SUMIF('Injection Sales'!$B$2:$B$501,A278,'Injection Sales'!$G$2:$G$501)+SUMIF('Protein Sales'!$B$2:$B$501,A278,'Protein Sales'!$F$2:$F$501)+SUMIF('Diet Support'!$B$2:$B$501,A278,'Diet Support'!$E$2:$E$501))</f>
        <v/>
      </c>
      <c r="G278" s="21" t="str">
        <f aca="false">IF(OR(A278="",COUNTIF('Injection Sales'!$B$2:$B$501,A278)=0),"",IFERROR(LOOKUP(2,1/(('Injection Sales'!$B$2:$B$501=A278)*('Injection Sales'!$A$2:$A$501=_xlfn.MAXIFS('Injection Sales'!$A$2:$A$501,'Injection Sales'!$B$2:$B$501,A278))),'Injection Sales'!$E$2:$E$501),""))</f>
        <v/>
      </c>
      <c r="H278" s="21" t="str">
        <f aca="false">IF(OR(A278="",COUNTIF('Injection Sales'!$B$2:$B$501,A278)=0),"",IFERROR(LOOKUP(2,1/(('Injection Sales'!$B$2:$B$501=A278)*('Injection Sales'!$A$2:$A$501=_xlfn.MAXIFS('Injection Sales'!$A$2:$A$501,'Injection Sales'!$B$2:$B$501,A278))),'Injection Sales'!$H$2:$H$501),""))</f>
        <v/>
      </c>
      <c r="I278" s="21" t="str">
        <f aca="true">IF(OR(A278="",D278=""),"",IF(TODAY()-D278&lt;=Settings!$B$7,"Active","Inactive"))</f>
        <v/>
      </c>
    </row>
    <row r="279" customFormat="false" ht="15" hidden="false" customHeight="false" outlineLevel="0" collapsed="false">
      <c r="A279" s="1"/>
      <c r="B279" s="22"/>
      <c r="C279" s="18" t="str">
        <f aca="false">IF(OR(A279="",COUNTIF('Injection Sales'!$B$2:$B$501,A279)+COUNTIF('Protein Sales'!$B$2:$B$501,A279)+COUNTIF('Diet Support'!$B$2:$B$501,A279)=0),"",MIN(IF(COUNTIF('Injection Sales'!$B$2:$B$501,A279),_xlfn.MINIFS('Injection Sales'!$A$2:$A$501,'Injection Sales'!$B$2:$B$501,A279),99999),IF(COUNTIF('Protein Sales'!$B$2:$B$501,A279),_xlfn.MINIFS('Protein Sales'!$A$2:$A$501,'Protein Sales'!$B$2:$B$501,A279),99999),IF(COUNTIF('Diet Support'!$B$2:$B$501,A279),_xlfn.MINIFS('Diet Support'!$A$2:$A$501,'Diet Support'!$B$2:$B$501,A279),99999)))</f>
        <v/>
      </c>
      <c r="D279" s="18" t="str">
        <f aca="false">IF(OR(A279="",COUNTIF('Injection Sales'!$B$2:$B$501,A279)+COUNTIF('Protein Sales'!$B$2:$B$501,A279)+COUNTIF('Diet Support'!$B$2:$B$501,A279)=0),"",MAX(_xlfn.MAXIFS('Injection Sales'!$A$2:$A$501,'Injection Sales'!$B$2:$B$501,A279),_xlfn.MAXIFS('Protein Sales'!$A$2:$A$501,'Protein Sales'!$B$2:$B$501,A279),_xlfn.MAXIFS('Diet Support'!$A$2:$A$501,'Diet Support'!$B$2:$B$501,A279)))</f>
        <v/>
      </c>
      <c r="E279" s="19" t="str">
        <f aca="false">IF(A279="","",COUNTIF('Injection Sales'!$B$2:$B$501,A279)+COUNTIF('Protein Sales'!$B$2:$B$501,A279)+COUNTIF('Diet Support'!$B$2:$B$501,A279))</f>
        <v/>
      </c>
      <c r="F279" s="20" t="str">
        <f aca="false">IF(A279="","",SUMIF('Injection Sales'!$B$2:$B$501,A279,'Injection Sales'!$G$2:$G$501)+SUMIF('Protein Sales'!$B$2:$B$501,A279,'Protein Sales'!$F$2:$F$501)+SUMIF('Diet Support'!$B$2:$B$501,A279,'Diet Support'!$E$2:$E$501))</f>
        <v/>
      </c>
      <c r="G279" s="21" t="str">
        <f aca="false">IF(OR(A279="",COUNTIF('Injection Sales'!$B$2:$B$501,A279)=0),"",IFERROR(LOOKUP(2,1/(('Injection Sales'!$B$2:$B$501=A279)*('Injection Sales'!$A$2:$A$501=_xlfn.MAXIFS('Injection Sales'!$A$2:$A$501,'Injection Sales'!$B$2:$B$501,A279))),'Injection Sales'!$E$2:$E$501),""))</f>
        <v/>
      </c>
      <c r="H279" s="21" t="str">
        <f aca="false">IF(OR(A279="",COUNTIF('Injection Sales'!$B$2:$B$501,A279)=0),"",IFERROR(LOOKUP(2,1/(('Injection Sales'!$B$2:$B$501=A279)*('Injection Sales'!$A$2:$A$501=_xlfn.MAXIFS('Injection Sales'!$A$2:$A$501,'Injection Sales'!$B$2:$B$501,A279))),'Injection Sales'!$H$2:$H$501),""))</f>
        <v/>
      </c>
      <c r="I279" s="21" t="str">
        <f aca="true">IF(OR(A279="",D279=""),"",IF(TODAY()-D279&lt;=Settings!$B$7,"Active","Inactive"))</f>
        <v/>
      </c>
    </row>
    <row r="280" customFormat="false" ht="15" hidden="false" customHeight="false" outlineLevel="0" collapsed="false">
      <c r="A280" s="1"/>
      <c r="B280" s="22"/>
      <c r="C280" s="18" t="str">
        <f aca="false">IF(OR(A280="",COUNTIF('Injection Sales'!$B$2:$B$501,A280)+COUNTIF('Protein Sales'!$B$2:$B$501,A280)+COUNTIF('Diet Support'!$B$2:$B$501,A280)=0),"",MIN(IF(COUNTIF('Injection Sales'!$B$2:$B$501,A280),_xlfn.MINIFS('Injection Sales'!$A$2:$A$501,'Injection Sales'!$B$2:$B$501,A280),99999),IF(COUNTIF('Protein Sales'!$B$2:$B$501,A280),_xlfn.MINIFS('Protein Sales'!$A$2:$A$501,'Protein Sales'!$B$2:$B$501,A280),99999),IF(COUNTIF('Diet Support'!$B$2:$B$501,A280),_xlfn.MINIFS('Diet Support'!$A$2:$A$501,'Diet Support'!$B$2:$B$501,A280),99999)))</f>
        <v/>
      </c>
      <c r="D280" s="18" t="str">
        <f aca="false">IF(OR(A280="",COUNTIF('Injection Sales'!$B$2:$B$501,A280)+COUNTIF('Protein Sales'!$B$2:$B$501,A280)+COUNTIF('Diet Support'!$B$2:$B$501,A280)=0),"",MAX(_xlfn.MAXIFS('Injection Sales'!$A$2:$A$501,'Injection Sales'!$B$2:$B$501,A280),_xlfn.MAXIFS('Protein Sales'!$A$2:$A$501,'Protein Sales'!$B$2:$B$501,A280),_xlfn.MAXIFS('Diet Support'!$A$2:$A$501,'Diet Support'!$B$2:$B$501,A280)))</f>
        <v/>
      </c>
      <c r="E280" s="19" t="str">
        <f aca="false">IF(A280="","",COUNTIF('Injection Sales'!$B$2:$B$501,A280)+COUNTIF('Protein Sales'!$B$2:$B$501,A280)+COUNTIF('Diet Support'!$B$2:$B$501,A280))</f>
        <v/>
      </c>
      <c r="F280" s="20" t="str">
        <f aca="false">IF(A280="","",SUMIF('Injection Sales'!$B$2:$B$501,A280,'Injection Sales'!$G$2:$G$501)+SUMIF('Protein Sales'!$B$2:$B$501,A280,'Protein Sales'!$F$2:$F$501)+SUMIF('Diet Support'!$B$2:$B$501,A280,'Diet Support'!$E$2:$E$501))</f>
        <v/>
      </c>
      <c r="G280" s="21" t="str">
        <f aca="false">IF(OR(A280="",COUNTIF('Injection Sales'!$B$2:$B$501,A280)=0),"",IFERROR(LOOKUP(2,1/(('Injection Sales'!$B$2:$B$501=A280)*('Injection Sales'!$A$2:$A$501=_xlfn.MAXIFS('Injection Sales'!$A$2:$A$501,'Injection Sales'!$B$2:$B$501,A280))),'Injection Sales'!$E$2:$E$501),""))</f>
        <v/>
      </c>
      <c r="H280" s="21" t="str">
        <f aca="false">IF(OR(A280="",COUNTIF('Injection Sales'!$B$2:$B$501,A280)=0),"",IFERROR(LOOKUP(2,1/(('Injection Sales'!$B$2:$B$501=A280)*('Injection Sales'!$A$2:$A$501=_xlfn.MAXIFS('Injection Sales'!$A$2:$A$501,'Injection Sales'!$B$2:$B$501,A280))),'Injection Sales'!$H$2:$H$501),""))</f>
        <v/>
      </c>
      <c r="I280" s="21" t="str">
        <f aca="true">IF(OR(A280="",D280=""),"",IF(TODAY()-D280&lt;=Settings!$B$7,"Active","Inactive"))</f>
        <v/>
      </c>
    </row>
    <row r="281" customFormat="false" ht="15" hidden="false" customHeight="false" outlineLevel="0" collapsed="false">
      <c r="A281" s="1"/>
      <c r="B281" s="22"/>
      <c r="C281" s="18" t="str">
        <f aca="false">IF(OR(A281="",COUNTIF('Injection Sales'!$B$2:$B$501,A281)+COUNTIF('Protein Sales'!$B$2:$B$501,A281)+COUNTIF('Diet Support'!$B$2:$B$501,A281)=0),"",MIN(IF(COUNTIF('Injection Sales'!$B$2:$B$501,A281),_xlfn.MINIFS('Injection Sales'!$A$2:$A$501,'Injection Sales'!$B$2:$B$501,A281),99999),IF(COUNTIF('Protein Sales'!$B$2:$B$501,A281),_xlfn.MINIFS('Protein Sales'!$A$2:$A$501,'Protein Sales'!$B$2:$B$501,A281),99999),IF(COUNTIF('Diet Support'!$B$2:$B$501,A281),_xlfn.MINIFS('Diet Support'!$A$2:$A$501,'Diet Support'!$B$2:$B$501,A281),99999)))</f>
        <v/>
      </c>
      <c r="D281" s="18" t="str">
        <f aca="false">IF(OR(A281="",COUNTIF('Injection Sales'!$B$2:$B$501,A281)+COUNTIF('Protein Sales'!$B$2:$B$501,A281)+COUNTIF('Diet Support'!$B$2:$B$501,A281)=0),"",MAX(_xlfn.MAXIFS('Injection Sales'!$A$2:$A$501,'Injection Sales'!$B$2:$B$501,A281),_xlfn.MAXIFS('Protein Sales'!$A$2:$A$501,'Protein Sales'!$B$2:$B$501,A281),_xlfn.MAXIFS('Diet Support'!$A$2:$A$501,'Diet Support'!$B$2:$B$501,A281)))</f>
        <v/>
      </c>
      <c r="E281" s="19" t="str">
        <f aca="false">IF(A281="","",COUNTIF('Injection Sales'!$B$2:$B$501,A281)+COUNTIF('Protein Sales'!$B$2:$B$501,A281)+COUNTIF('Diet Support'!$B$2:$B$501,A281))</f>
        <v/>
      </c>
      <c r="F281" s="20" t="str">
        <f aca="false">IF(A281="","",SUMIF('Injection Sales'!$B$2:$B$501,A281,'Injection Sales'!$G$2:$G$501)+SUMIF('Protein Sales'!$B$2:$B$501,A281,'Protein Sales'!$F$2:$F$501)+SUMIF('Diet Support'!$B$2:$B$501,A281,'Diet Support'!$E$2:$E$501))</f>
        <v/>
      </c>
      <c r="G281" s="21" t="str">
        <f aca="false">IF(OR(A281="",COUNTIF('Injection Sales'!$B$2:$B$501,A281)=0),"",IFERROR(LOOKUP(2,1/(('Injection Sales'!$B$2:$B$501=A281)*('Injection Sales'!$A$2:$A$501=_xlfn.MAXIFS('Injection Sales'!$A$2:$A$501,'Injection Sales'!$B$2:$B$501,A281))),'Injection Sales'!$E$2:$E$501),""))</f>
        <v/>
      </c>
      <c r="H281" s="21" t="str">
        <f aca="false">IF(OR(A281="",COUNTIF('Injection Sales'!$B$2:$B$501,A281)=0),"",IFERROR(LOOKUP(2,1/(('Injection Sales'!$B$2:$B$501=A281)*('Injection Sales'!$A$2:$A$501=_xlfn.MAXIFS('Injection Sales'!$A$2:$A$501,'Injection Sales'!$B$2:$B$501,A281))),'Injection Sales'!$H$2:$H$501),""))</f>
        <v/>
      </c>
      <c r="I281" s="21" t="str">
        <f aca="true">IF(OR(A281="",D281=""),"",IF(TODAY()-D281&lt;=Settings!$B$7,"Active","Inactive"))</f>
        <v/>
      </c>
    </row>
    <row r="282" customFormat="false" ht="15" hidden="false" customHeight="false" outlineLevel="0" collapsed="false">
      <c r="A282" s="1"/>
      <c r="B282" s="22"/>
      <c r="C282" s="18" t="str">
        <f aca="false">IF(OR(A282="",COUNTIF('Injection Sales'!$B$2:$B$501,A282)+COUNTIF('Protein Sales'!$B$2:$B$501,A282)+COUNTIF('Diet Support'!$B$2:$B$501,A282)=0),"",MIN(IF(COUNTIF('Injection Sales'!$B$2:$B$501,A282),_xlfn.MINIFS('Injection Sales'!$A$2:$A$501,'Injection Sales'!$B$2:$B$501,A282),99999),IF(COUNTIF('Protein Sales'!$B$2:$B$501,A282),_xlfn.MINIFS('Protein Sales'!$A$2:$A$501,'Protein Sales'!$B$2:$B$501,A282),99999),IF(COUNTIF('Diet Support'!$B$2:$B$501,A282),_xlfn.MINIFS('Diet Support'!$A$2:$A$501,'Diet Support'!$B$2:$B$501,A282),99999)))</f>
        <v/>
      </c>
      <c r="D282" s="18" t="str">
        <f aca="false">IF(OR(A282="",COUNTIF('Injection Sales'!$B$2:$B$501,A282)+COUNTIF('Protein Sales'!$B$2:$B$501,A282)+COUNTIF('Diet Support'!$B$2:$B$501,A282)=0),"",MAX(_xlfn.MAXIFS('Injection Sales'!$A$2:$A$501,'Injection Sales'!$B$2:$B$501,A282),_xlfn.MAXIFS('Protein Sales'!$A$2:$A$501,'Protein Sales'!$B$2:$B$501,A282),_xlfn.MAXIFS('Diet Support'!$A$2:$A$501,'Diet Support'!$B$2:$B$501,A282)))</f>
        <v/>
      </c>
      <c r="E282" s="19" t="str">
        <f aca="false">IF(A282="","",COUNTIF('Injection Sales'!$B$2:$B$501,A282)+COUNTIF('Protein Sales'!$B$2:$B$501,A282)+COUNTIF('Diet Support'!$B$2:$B$501,A282))</f>
        <v/>
      </c>
      <c r="F282" s="20" t="str">
        <f aca="false">IF(A282="","",SUMIF('Injection Sales'!$B$2:$B$501,A282,'Injection Sales'!$G$2:$G$501)+SUMIF('Protein Sales'!$B$2:$B$501,A282,'Protein Sales'!$F$2:$F$501)+SUMIF('Diet Support'!$B$2:$B$501,A282,'Diet Support'!$E$2:$E$501))</f>
        <v/>
      </c>
      <c r="G282" s="21" t="str">
        <f aca="false">IF(OR(A282="",COUNTIF('Injection Sales'!$B$2:$B$501,A282)=0),"",IFERROR(LOOKUP(2,1/(('Injection Sales'!$B$2:$B$501=A282)*('Injection Sales'!$A$2:$A$501=_xlfn.MAXIFS('Injection Sales'!$A$2:$A$501,'Injection Sales'!$B$2:$B$501,A282))),'Injection Sales'!$E$2:$E$501),""))</f>
        <v/>
      </c>
      <c r="H282" s="21" t="str">
        <f aca="false">IF(OR(A282="",COUNTIF('Injection Sales'!$B$2:$B$501,A282)=0),"",IFERROR(LOOKUP(2,1/(('Injection Sales'!$B$2:$B$501=A282)*('Injection Sales'!$A$2:$A$501=_xlfn.MAXIFS('Injection Sales'!$A$2:$A$501,'Injection Sales'!$B$2:$B$501,A282))),'Injection Sales'!$H$2:$H$501),""))</f>
        <v/>
      </c>
      <c r="I282" s="21" t="str">
        <f aca="true">IF(OR(A282="",D282=""),"",IF(TODAY()-D282&lt;=Settings!$B$7,"Active","Inactive"))</f>
        <v/>
      </c>
    </row>
    <row r="283" customFormat="false" ht="15" hidden="false" customHeight="false" outlineLevel="0" collapsed="false">
      <c r="A283" s="1"/>
      <c r="B283" s="22"/>
      <c r="C283" s="18" t="str">
        <f aca="false">IF(OR(A283="",COUNTIF('Injection Sales'!$B$2:$B$501,A283)+COUNTIF('Protein Sales'!$B$2:$B$501,A283)+COUNTIF('Diet Support'!$B$2:$B$501,A283)=0),"",MIN(IF(COUNTIF('Injection Sales'!$B$2:$B$501,A283),_xlfn.MINIFS('Injection Sales'!$A$2:$A$501,'Injection Sales'!$B$2:$B$501,A283),99999),IF(COUNTIF('Protein Sales'!$B$2:$B$501,A283),_xlfn.MINIFS('Protein Sales'!$A$2:$A$501,'Protein Sales'!$B$2:$B$501,A283),99999),IF(COUNTIF('Diet Support'!$B$2:$B$501,A283),_xlfn.MINIFS('Diet Support'!$A$2:$A$501,'Diet Support'!$B$2:$B$501,A283),99999)))</f>
        <v/>
      </c>
      <c r="D283" s="18" t="str">
        <f aca="false">IF(OR(A283="",COUNTIF('Injection Sales'!$B$2:$B$501,A283)+COUNTIF('Protein Sales'!$B$2:$B$501,A283)+COUNTIF('Diet Support'!$B$2:$B$501,A283)=0),"",MAX(_xlfn.MAXIFS('Injection Sales'!$A$2:$A$501,'Injection Sales'!$B$2:$B$501,A283),_xlfn.MAXIFS('Protein Sales'!$A$2:$A$501,'Protein Sales'!$B$2:$B$501,A283),_xlfn.MAXIFS('Diet Support'!$A$2:$A$501,'Diet Support'!$B$2:$B$501,A283)))</f>
        <v/>
      </c>
      <c r="E283" s="19" t="str">
        <f aca="false">IF(A283="","",COUNTIF('Injection Sales'!$B$2:$B$501,A283)+COUNTIF('Protein Sales'!$B$2:$B$501,A283)+COUNTIF('Diet Support'!$B$2:$B$501,A283))</f>
        <v/>
      </c>
      <c r="F283" s="20" t="str">
        <f aca="false">IF(A283="","",SUMIF('Injection Sales'!$B$2:$B$501,A283,'Injection Sales'!$G$2:$G$501)+SUMIF('Protein Sales'!$B$2:$B$501,A283,'Protein Sales'!$F$2:$F$501)+SUMIF('Diet Support'!$B$2:$B$501,A283,'Diet Support'!$E$2:$E$501))</f>
        <v/>
      </c>
      <c r="G283" s="21" t="str">
        <f aca="false">IF(OR(A283="",COUNTIF('Injection Sales'!$B$2:$B$501,A283)=0),"",IFERROR(LOOKUP(2,1/(('Injection Sales'!$B$2:$B$501=A283)*('Injection Sales'!$A$2:$A$501=_xlfn.MAXIFS('Injection Sales'!$A$2:$A$501,'Injection Sales'!$B$2:$B$501,A283))),'Injection Sales'!$E$2:$E$501),""))</f>
        <v/>
      </c>
      <c r="H283" s="21" t="str">
        <f aca="false">IF(OR(A283="",COUNTIF('Injection Sales'!$B$2:$B$501,A283)=0),"",IFERROR(LOOKUP(2,1/(('Injection Sales'!$B$2:$B$501=A283)*('Injection Sales'!$A$2:$A$501=_xlfn.MAXIFS('Injection Sales'!$A$2:$A$501,'Injection Sales'!$B$2:$B$501,A283))),'Injection Sales'!$H$2:$H$501),""))</f>
        <v/>
      </c>
      <c r="I283" s="21" t="str">
        <f aca="true">IF(OR(A283="",D283=""),"",IF(TODAY()-D283&lt;=Settings!$B$7,"Active","Inactive"))</f>
        <v/>
      </c>
    </row>
    <row r="284" customFormat="false" ht="15" hidden="false" customHeight="false" outlineLevel="0" collapsed="false">
      <c r="A284" s="1"/>
      <c r="B284" s="22"/>
      <c r="C284" s="18" t="str">
        <f aca="false">IF(OR(A284="",COUNTIF('Injection Sales'!$B$2:$B$501,A284)+COUNTIF('Protein Sales'!$B$2:$B$501,A284)+COUNTIF('Diet Support'!$B$2:$B$501,A284)=0),"",MIN(IF(COUNTIF('Injection Sales'!$B$2:$B$501,A284),_xlfn.MINIFS('Injection Sales'!$A$2:$A$501,'Injection Sales'!$B$2:$B$501,A284),99999),IF(COUNTIF('Protein Sales'!$B$2:$B$501,A284),_xlfn.MINIFS('Protein Sales'!$A$2:$A$501,'Protein Sales'!$B$2:$B$501,A284),99999),IF(COUNTIF('Diet Support'!$B$2:$B$501,A284),_xlfn.MINIFS('Diet Support'!$A$2:$A$501,'Diet Support'!$B$2:$B$501,A284),99999)))</f>
        <v/>
      </c>
      <c r="D284" s="18" t="str">
        <f aca="false">IF(OR(A284="",COUNTIF('Injection Sales'!$B$2:$B$501,A284)+COUNTIF('Protein Sales'!$B$2:$B$501,A284)+COUNTIF('Diet Support'!$B$2:$B$501,A284)=0),"",MAX(_xlfn.MAXIFS('Injection Sales'!$A$2:$A$501,'Injection Sales'!$B$2:$B$501,A284),_xlfn.MAXIFS('Protein Sales'!$A$2:$A$501,'Protein Sales'!$B$2:$B$501,A284),_xlfn.MAXIFS('Diet Support'!$A$2:$A$501,'Diet Support'!$B$2:$B$501,A284)))</f>
        <v/>
      </c>
      <c r="E284" s="19" t="str">
        <f aca="false">IF(A284="","",COUNTIF('Injection Sales'!$B$2:$B$501,A284)+COUNTIF('Protein Sales'!$B$2:$B$501,A284)+COUNTIF('Diet Support'!$B$2:$B$501,A284))</f>
        <v/>
      </c>
      <c r="F284" s="20" t="str">
        <f aca="false">IF(A284="","",SUMIF('Injection Sales'!$B$2:$B$501,A284,'Injection Sales'!$G$2:$G$501)+SUMIF('Protein Sales'!$B$2:$B$501,A284,'Protein Sales'!$F$2:$F$501)+SUMIF('Diet Support'!$B$2:$B$501,A284,'Diet Support'!$E$2:$E$501))</f>
        <v/>
      </c>
      <c r="G284" s="21" t="str">
        <f aca="false">IF(OR(A284="",COUNTIF('Injection Sales'!$B$2:$B$501,A284)=0),"",IFERROR(LOOKUP(2,1/(('Injection Sales'!$B$2:$B$501=A284)*('Injection Sales'!$A$2:$A$501=_xlfn.MAXIFS('Injection Sales'!$A$2:$A$501,'Injection Sales'!$B$2:$B$501,A284))),'Injection Sales'!$E$2:$E$501),""))</f>
        <v/>
      </c>
      <c r="H284" s="21" t="str">
        <f aca="false">IF(OR(A284="",COUNTIF('Injection Sales'!$B$2:$B$501,A284)=0),"",IFERROR(LOOKUP(2,1/(('Injection Sales'!$B$2:$B$501=A284)*('Injection Sales'!$A$2:$A$501=_xlfn.MAXIFS('Injection Sales'!$A$2:$A$501,'Injection Sales'!$B$2:$B$501,A284))),'Injection Sales'!$H$2:$H$501),""))</f>
        <v/>
      </c>
      <c r="I284" s="21" t="str">
        <f aca="true">IF(OR(A284="",D284=""),"",IF(TODAY()-D284&lt;=Settings!$B$7,"Active","Inactive"))</f>
        <v/>
      </c>
    </row>
    <row r="285" customFormat="false" ht="15" hidden="false" customHeight="false" outlineLevel="0" collapsed="false">
      <c r="A285" s="1"/>
      <c r="B285" s="22"/>
      <c r="C285" s="18" t="str">
        <f aca="false">IF(OR(A285="",COUNTIF('Injection Sales'!$B$2:$B$501,A285)+COUNTIF('Protein Sales'!$B$2:$B$501,A285)+COUNTIF('Diet Support'!$B$2:$B$501,A285)=0),"",MIN(IF(COUNTIF('Injection Sales'!$B$2:$B$501,A285),_xlfn.MINIFS('Injection Sales'!$A$2:$A$501,'Injection Sales'!$B$2:$B$501,A285),99999),IF(COUNTIF('Protein Sales'!$B$2:$B$501,A285),_xlfn.MINIFS('Protein Sales'!$A$2:$A$501,'Protein Sales'!$B$2:$B$501,A285),99999),IF(COUNTIF('Diet Support'!$B$2:$B$501,A285),_xlfn.MINIFS('Diet Support'!$A$2:$A$501,'Diet Support'!$B$2:$B$501,A285),99999)))</f>
        <v/>
      </c>
      <c r="D285" s="18" t="str">
        <f aca="false">IF(OR(A285="",COUNTIF('Injection Sales'!$B$2:$B$501,A285)+COUNTIF('Protein Sales'!$B$2:$B$501,A285)+COUNTIF('Diet Support'!$B$2:$B$501,A285)=0),"",MAX(_xlfn.MAXIFS('Injection Sales'!$A$2:$A$501,'Injection Sales'!$B$2:$B$501,A285),_xlfn.MAXIFS('Protein Sales'!$A$2:$A$501,'Protein Sales'!$B$2:$B$501,A285),_xlfn.MAXIFS('Diet Support'!$A$2:$A$501,'Diet Support'!$B$2:$B$501,A285)))</f>
        <v/>
      </c>
      <c r="E285" s="19" t="str">
        <f aca="false">IF(A285="","",COUNTIF('Injection Sales'!$B$2:$B$501,A285)+COUNTIF('Protein Sales'!$B$2:$B$501,A285)+COUNTIF('Diet Support'!$B$2:$B$501,A285))</f>
        <v/>
      </c>
      <c r="F285" s="20" t="str">
        <f aca="false">IF(A285="","",SUMIF('Injection Sales'!$B$2:$B$501,A285,'Injection Sales'!$G$2:$G$501)+SUMIF('Protein Sales'!$B$2:$B$501,A285,'Protein Sales'!$F$2:$F$501)+SUMIF('Diet Support'!$B$2:$B$501,A285,'Diet Support'!$E$2:$E$501))</f>
        <v/>
      </c>
      <c r="G285" s="21" t="str">
        <f aca="false">IF(OR(A285="",COUNTIF('Injection Sales'!$B$2:$B$501,A285)=0),"",IFERROR(LOOKUP(2,1/(('Injection Sales'!$B$2:$B$501=A285)*('Injection Sales'!$A$2:$A$501=_xlfn.MAXIFS('Injection Sales'!$A$2:$A$501,'Injection Sales'!$B$2:$B$501,A285))),'Injection Sales'!$E$2:$E$501),""))</f>
        <v/>
      </c>
      <c r="H285" s="21" t="str">
        <f aca="false">IF(OR(A285="",COUNTIF('Injection Sales'!$B$2:$B$501,A285)=0),"",IFERROR(LOOKUP(2,1/(('Injection Sales'!$B$2:$B$501=A285)*('Injection Sales'!$A$2:$A$501=_xlfn.MAXIFS('Injection Sales'!$A$2:$A$501,'Injection Sales'!$B$2:$B$501,A285))),'Injection Sales'!$H$2:$H$501),""))</f>
        <v/>
      </c>
      <c r="I285" s="21" t="str">
        <f aca="true">IF(OR(A285="",D285=""),"",IF(TODAY()-D285&lt;=Settings!$B$7,"Active","Inactive"))</f>
        <v/>
      </c>
    </row>
    <row r="286" customFormat="false" ht="15" hidden="false" customHeight="false" outlineLevel="0" collapsed="false">
      <c r="A286" s="1"/>
      <c r="B286" s="22"/>
      <c r="C286" s="18" t="str">
        <f aca="false">IF(OR(A286="",COUNTIF('Injection Sales'!$B$2:$B$501,A286)+COUNTIF('Protein Sales'!$B$2:$B$501,A286)+COUNTIF('Diet Support'!$B$2:$B$501,A286)=0),"",MIN(IF(COUNTIF('Injection Sales'!$B$2:$B$501,A286),_xlfn.MINIFS('Injection Sales'!$A$2:$A$501,'Injection Sales'!$B$2:$B$501,A286),99999),IF(COUNTIF('Protein Sales'!$B$2:$B$501,A286),_xlfn.MINIFS('Protein Sales'!$A$2:$A$501,'Protein Sales'!$B$2:$B$501,A286),99999),IF(COUNTIF('Diet Support'!$B$2:$B$501,A286),_xlfn.MINIFS('Diet Support'!$A$2:$A$501,'Diet Support'!$B$2:$B$501,A286),99999)))</f>
        <v/>
      </c>
      <c r="D286" s="18" t="str">
        <f aca="false">IF(OR(A286="",COUNTIF('Injection Sales'!$B$2:$B$501,A286)+COUNTIF('Protein Sales'!$B$2:$B$501,A286)+COUNTIF('Diet Support'!$B$2:$B$501,A286)=0),"",MAX(_xlfn.MAXIFS('Injection Sales'!$A$2:$A$501,'Injection Sales'!$B$2:$B$501,A286),_xlfn.MAXIFS('Protein Sales'!$A$2:$A$501,'Protein Sales'!$B$2:$B$501,A286),_xlfn.MAXIFS('Diet Support'!$A$2:$A$501,'Diet Support'!$B$2:$B$501,A286)))</f>
        <v/>
      </c>
      <c r="E286" s="19" t="str">
        <f aca="false">IF(A286="","",COUNTIF('Injection Sales'!$B$2:$B$501,A286)+COUNTIF('Protein Sales'!$B$2:$B$501,A286)+COUNTIF('Diet Support'!$B$2:$B$501,A286))</f>
        <v/>
      </c>
      <c r="F286" s="20" t="str">
        <f aca="false">IF(A286="","",SUMIF('Injection Sales'!$B$2:$B$501,A286,'Injection Sales'!$G$2:$G$501)+SUMIF('Protein Sales'!$B$2:$B$501,A286,'Protein Sales'!$F$2:$F$501)+SUMIF('Diet Support'!$B$2:$B$501,A286,'Diet Support'!$E$2:$E$501))</f>
        <v/>
      </c>
      <c r="G286" s="21" t="str">
        <f aca="false">IF(OR(A286="",COUNTIF('Injection Sales'!$B$2:$B$501,A286)=0),"",IFERROR(LOOKUP(2,1/(('Injection Sales'!$B$2:$B$501=A286)*('Injection Sales'!$A$2:$A$501=_xlfn.MAXIFS('Injection Sales'!$A$2:$A$501,'Injection Sales'!$B$2:$B$501,A286))),'Injection Sales'!$E$2:$E$501),""))</f>
        <v/>
      </c>
      <c r="H286" s="21" t="str">
        <f aca="false">IF(OR(A286="",COUNTIF('Injection Sales'!$B$2:$B$501,A286)=0),"",IFERROR(LOOKUP(2,1/(('Injection Sales'!$B$2:$B$501=A286)*('Injection Sales'!$A$2:$A$501=_xlfn.MAXIFS('Injection Sales'!$A$2:$A$501,'Injection Sales'!$B$2:$B$501,A286))),'Injection Sales'!$H$2:$H$501),""))</f>
        <v/>
      </c>
      <c r="I286" s="21" t="str">
        <f aca="true">IF(OR(A286="",D286=""),"",IF(TODAY()-D286&lt;=Settings!$B$7,"Active","Inactive"))</f>
        <v/>
      </c>
    </row>
    <row r="287" customFormat="false" ht="15" hidden="false" customHeight="false" outlineLevel="0" collapsed="false">
      <c r="A287" s="1"/>
      <c r="B287" s="22"/>
      <c r="C287" s="18" t="str">
        <f aca="false">IF(OR(A287="",COUNTIF('Injection Sales'!$B$2:$B$501,A287)+COUNTIF('Protein Sales'!$B$2:$B$501,A287)+COUNTIF('Diet Support'!$B$2:$B$501,A287)=0),"",MIN(IF(COUNTIF('Injection Sales'!$B$2:$B$501,A287),_xlfn.MINIFS('Injection Sales'!$A$2:$A$501,'Injection Sales'!$B$2:$B$501,A287),99999),IF(COUNTIF('Protein Sales'!$B$2:$B$501,A287),_xlfn.MINIFS('Protein Sales'!$A$2:$A$501,'Protein Sales'!$B$2:$B$501,A287),99999),IF(COUNTIF('Diet Support'!$B$2:$B$501,A287),_xlfn.MINIFS('Diet Support'!$A$2:$A$501,'Diet Support'!$B$2:$B$501,A287),99999)))</f>
        <v/>
      </c>
      <c r="D287" s="18" t="str">
        <f aca="false">IF(OR(A287="",COUNTIF('Injection Sales'!$B$2:$B$501,A287)+COUNTIF('Protein Sales'!$B$2:$B$501,A287)+COUNTIF('Diet Support'!$B$2:$B$501,A287)=0),"",MAX(_xlfn.MAXIFS('Injection Sales'!$A$2:$A$501,'Injection Sales'!$B$2:$B$501,A287),_xlfn.MAXIFS('Protein Sales'!$A$2:$A$501,'Protein Sales'!$B$2:$B$501,A287),_xlfn.MAXIFS('Diet Support'!$A$2:$A$501,'Diet Support'!$B$2:$B$501,A287)))</f>
        <v/>
      </c>
      <c r="E287" s="19" t="str">
        <f aca="false">IF(A287="","",COUNTIF('Injection Sales'!$B$2:$B$501,A287)+COUNTIF('Protein Sales'!$B$2:$B$501,A287)+COUNTIF('Diet Support'!$B$2:$B$501,A287))</f>
        <v/>
      </c>
      <c r="F287" s="20" t="str">
        <f aca="false">IF(A287="","",SUMIF('Injection Sales'!$B$2:$B$501,A287,'Injection Sales'!$G$2:$G$501)+SUMIF('Protein Sales'!$B$2:$B$501,A287,'Protein Sales'!$F$2:$F$501)+SUMIF('Diet Support'!$B$2:$B$501,A287,'Diet Support'!$E$2:$E$501))</f>
        <v/>
      </c>
      <c r="G287" s="21" t="str">
        <f aca="false">IF(OR(A287="",COUNTIF('Injection Sales'!$B$2:$B$501,A287)=0),"",IFERROR(LOOKUP(2,1/(('Injection Sales'!$B$2:$B$501=A287)*('Injection Sales'!$A$2:$A$501=_xlfn.MAXIFS('Injection Sales'!$A$2:$A$501,'Injection Sales'!$B$2:$B$501,A287))),'Injection Sales'!$E$2:$E$501),""))</f>
        <v/>
      </c>
      <c r="H287" s="21" t="str">
        <f aca="false">IF(OR(A287="",COUNTIF('Injection Sales'!$B$2:$B$501,A287)=0),"",IFERROR(LOOKUP(2,1/(('Injection Sales'!$B$2:$B$501=A287)*('Injection Sales'!$A$2:$A$501=_xlfn.MAXIFS('Injection Sales'!$A$2:$A$501,'Injection Sales'!$B$2:$B$501,A287))),'Injection Sales'!$H$2:$H$501),""))</f>
        <v/>
      </c>
      <c r="I287" s="21" t="str">
        <f aca="true">IF(OR(A287="",D287=""),"",IF(TODAY()-D287&lt;=Settings!$B$7,"Active","Inactive"))</f>
        <v/>
      </c>
    </row>
    <row r="288" customFormat="false" ht="15" hidden="false" customHeight="false" outlineLevel="0" collapsed="false">
      <c r="A288" s="1"/>
      <c r="B288" s="22"/>
      <c r="C288" s="18" t="str">
        <f aca="false">IF(OR(A288="",COUNTIF('Injection Sales'!$B$2:$B$501,A288)+COUNTIF('Protein Sales'!$B$2:$B$501,A288)+COUNTIF('Diet Support'!$B$2:$B$501,A288)=0),"",MIN(IF(COUNTIF('Injection Sales'!$B$2:$B$501,A288),_xlfn.MINIFS('Injection Sales'!$A$2:$A$501,'Injection Sales'!$B$2:$B$501,A288),99999),IF(COUNTIF('Protein Sales'!$B$2:$B$501,A288),_xlfn.MINIFS('Protein Sales'!$A$2:$A$501,'Protein Sales'!$B$2:$B$501,A288),99999),IF(COUNTIF('Diet Support'!$B$2:$B$501,A288),_xlfn.MINIFS('Diet Support'!$A$2:$A$501,'Diet Support'!$B$2:$B$501,A288),99999)))</f>
        <v/>
      </c>
      <c r="D288" s="18" t="str">
        <f aca="false">IF(OR(A288="",COUNTIF('Injection Sales'!$B$2:$B$501,A288)+COUNTIF('Protein Sales'!$B$2:$B$501,A288)+COUNTIF('Diet Support'!$B$2:$B$501,A288)=0),"",MAX(_xlfn.MAXIFS('Injection Sales'!$A$2:$A$501,'Injection Sales'!$B$2:$B$501,A288),_xlfn.MAXIFS('Protein Sales'!$A$2:$A$501,'Protein Sales'!$B$2:$B$501,A288),_xlfn.MAXIFS('Diet Support'!$A$2:$A$501,'Diet Support'!$B$2:$B$501,A288)))</f>
        <v/>
      </c>
      <c r="E288" s="19" t="str">
        <f aca="false">IF(A288="","",COUNTIF('Injection Sales'!$B$2:$B$501,A288)+COUNTIF('Protein Sales'!$B$2:$B$501,A288)+COUNTIF('Diet Support'!$B$2:$B$501,A288))</f>
        <v/>
      </c>
      <c r="F288" s="20" t="str">
        <f aca="false">IF(A288="","",SUMIF('Injection Sales'!$B$2:$B$501,A288,'Injection Sales'!$G$2:$G$501)+SUMIF('Protein Sales'!$B$2:$B$501,A288,'Protein Sales'!$F$2:$F$501)+SUMIF('Diet Support'!$B$2:$B$501,A288,'Diet Support'!$E$2:$E$501))</f>
        <v/>
      </c>
      <c r="G288" s="21" t="str">
        <f aca="false">IF(OR(A288="",COUNTIF('Injection Sales'!$B$2:$B$501,A288)=0),"",IFERROR(LOOKUP(2,1/(('Injection Sales'!$B$2:$B$501=A288)*('Injection Sales'!$A$2:$A$501=_xlfn.MAXIFS('Injection Sales'!$A$2:$A$501,'Injection Sales'!$B$2:$B$501,A288))),'Injection Sales'!$E$2:$E$501),""))</f>
        <v/>
      </c>
      <c r="H288" s="21" t="str">
        <f aca="false">IF(OR(A288="",COUNTIF('Injection Sales'!$B$2:$B$501,A288)=0),"",IFERROR(LOOKUP(2,1/(('Injection Sales'!$B$2:$B$501=A288)*('Injection Sales'!$A$2:$A$501=_xlfn.MAXIFS('Injection Sales'!$A$2:$A$501,'Injection Sales'!$B$2:$B$501,A288))),'Injection Sales'!$H$2:$H$501),""))</f>
        <v/>
      </c>
      <c r="I288" s="21" t="str">
        <f aca="true">IF(OR(A288="",D288=""),"",IF(TODAY()-D288&lt;=Settings!$B$7,"Active","Inactive"))</f>
        <v/>
      </c>
    </row>
    <row r="289" customFormat="false" ht="15" hidden="false" customHeight="false" outlineLevel="0" collapsed="false">
      <c r="A289" s="1"/>
      <c r="B289" s="22"/>
      <c r="C289" s="18" t="str">
        <f aca="false">IF(OR(A289="",COUNTIF('Injection Sales'!$B$2:$B$501,A289)+COUNTIF('Protein Sales'!$B$2:$B$501,A289)+COUNTIF('Diet Support'!$B$2:$B$501,A289)=0),"",MIN(IF(COUNTIF('Injection Sales'!$B$2:$B$501,A289),_xlfn.MINIFS('Injection Sales'!$A$2:$A$501,'Injection Sales'!$B$2:$B$501,A289),99999),IF(COUNTIF('Protein Sales'!$B$2:$B$501,A289),_xlfn.MINIFS('Protein Sales'!$A$2:$A$501,'Protein Sales'!$B$2:$B$501,A289),99999),IF(COUNTIF('Diet Support'!$B$2:$B$501,A289),_xlfn.MINIFS('Diet Support'!$A$2:$A$501,'Diet Support'!$B$2:$B$501,A289),99999)))</f>
        <v/>
      </c>
      <c r="D289" s="18" t="str">
        <f aca="false">IF(OR(A289="",COUNTIF('Injection Sales'!$B$2:$B$501,A289)+COUNTIF('Protein Sales'!$B$2:$B$501,A289)+COUNTIF('Diet Support'!$B$2:$B$501,A289)=0),"",MAX(_xlfn.MAXIFS('Injection Sales'!$A$2:$A$501,'Injection Sales'!$B$2:$B$501,A289),_xlfn.MAXIFS('Protein Sales'!$A$2:$A$501,'Protein Sales'!$B$2:$B$501,A289),_xlfn.MAXIFS('Diet Support'!$A$2:$A$501,'Diet Support'!$B$2:$B$501,A289)))</f>
        <v/>
      </c>
      <c r="E289" s="19" t="str">
        <f aca="false">IF(A289="","",COUNTIF('Injection Sales'!$B$2:$B$501,A289)+COUNTIF('Protein Sales'!$B$2:$B$501,A289)+COUNTIF('Diet Support'!$B$2:$B$501,A289))</f>
        <v/>
      </c>
      <c r="F289" s="20" t="str">
        <f aca="false">IF(A289="","",SUMIF('Injection Sales'!$B$2:$B$501,A289,'Injection Sales'!$G$2:$G$501)+SUMIF('Protein Sales'!$B$2:$B$501,A289,'Protein Sales'!$F$2:$F$501)+SUMIF('Diet Support'!$B$2:$B$501,A289,'Diet Support'!$E$2:$E$501))</f>
        <v/>
      </c>
      <c r="G289" s="21" t="str">
        <f aca="false">IF(OR(A289="",COUNTIF('Injection Sales'!$B$2:$B$501,A289)=0),"",IFERROR(LOOKUP(2,1/(('Injection Sales'!$B$2:$B$501=A289)*('Injection Sales'!$A$2:$A$501=_xlfn.MAXIFS('Injection Sales'!$A$2:$A$501,'Injection Sales'!$B$2:$B$501,A289))),'Injection Sales'!$E$2:$E$501),""))</f>
        <v/>
      </c>
      <c r="H289" s="21" t="str">
        <f aca="false">IF(OR(A289="",COUNTIF('Injection Sales'!$B$2:$B$501,A289)=0),"",IFERROR(LOOKUP(2,1/(('Injection Sales'!$B$2:$B$501=A289)*('Injection Sales'!$A$2:$A$501=_xlfn.MAXIFS('Injection Sales'!$A$2:$A$501,'Injection Sales'!$B$2:$B$501,A289))),'Injection Sales'!$H$2:$H$501),""))</f>
        <v/>
      </c>
      <c r="I289" s="21" t="str">
        <f aca="true">IF(OR(A289="",D289=""),"",IF(TODAY()-D289&lt;=Settings!$B$7,"Active","Inactive"))</f>
        <v/>
      </c>
    </row>
    <row r="290" customFormat="false" ht="15" hidden="false" customHeight="false" outlineLevel="0" collapsed="false">
      <c r="A290" s="1"/>
      <c r="B290" s="22"/>
      <c r="C290" s="18" t="str">
        <f aca="false">IF(OR(A290="",COUNTIF('Injection Sales'!$B$2:$B$501,A290)+COUNTIF('Protein Sales'!$B$2:$B$501,A290)+COUNTIF('Diet Support'!$B$2:$B$501,A290)=0),"",MIN(IF(COUNTIF('Injection Sales'!$B$2:$B$501,A290),_xlfn.MINIFS('Injection Sales'!$A$2:$A$501,'Injection Sales'!$B$2:$B$501,A290),99999),IF(COUNTIF('Protein Sales'!$B$2:$B$501,A290),_xlfn.MINIFS('Protein Sales'!$A$2:$A$501,'Protein Sales'!$B$2:$B$501,A290),99999),IF(COUNTIF('Diet Support'!$B$2:$B$501,A290),_xlfn.MINIFS('Diet Support'!$A$2:$A$501,'Diet Support'!$B$2:$B$501,A290),99999)))</f>
        <v/>
      </c>
      <c r="D290" s="18" t="str">
        <f aca="false">IF(OR(A290="",COUNTIF('Injection Sales'!$B$2:$B$501,A290)+COUNTIF('Protein Sales'!$B$2:$B$501,A290)+COUNTIF('Diet Support'!$B$2:$B$501,A290)=0),"",MAX(_xlfn.MAXIFS('Injection Sales'!$A$2:$A$501,'Injection Sales'!$B$2:$B$501,A290),_xlfn.MAXIFS('Protein Sales'!$A$2:$A$501,'Protein Sales'!$B$2:$B$501,A290),_xlfn.MAXIFS('Diet Support'!$A$2:$A$501,'Diet Support'!$B$2:$B$501,A290)))</f>
        <v/>
      </c>
      <c r="E290" s="19" t="str">
        <f aca="false">IF(A290="","",COUNTIF('Injection Sales'!$B$2:$B$501,A290)+COUNTIF('Protein Sales'!$B$2:$B$501,A290)+COUNTIF('Diet Support'!$B$2:$B$501,A290))</f>
        <v/>
      </c>
      <c r="F290" s="20" t="str">
        <f aca="false">IF(A290="","",SUMIF('Injection Sales'!$B$2:$B$501,A290,'Injection Sales'!$G$2:$G$501)+SUMIF('Protein Sales'!$B$2:$B$501,A290,'Protein Sales'!$F$2:$F$501)+SUMIF('Diet Support'!$B$2:$B$501,A290,'Diet Support'!$E$2:$E$501))</f>
        <v/>
      </c>
      <c r="G290" s="21" t="str">
        <f aca="false">IF(OR(A290="",COUNTIF('Injection Sales'!$B$2:$B$501,A290)=0),"",IFERROR(LOOKUP(2,1/(('Injection Sales'!$B$2:$B$501=A290)*('Injection Sales'!$A$2:$A$501=_xlfn.MAXIFS('Injection Sales'!$A$2:$A$501,'Injection Sales'!$B$2:$B$501,A290))),'Injection Sales'!$E$2:$E$501),""))</f>
        <v/>
      </c>
      <c r="H290" s="21" t="str">
        <f aca="false">IF(OR(A290="",COUNTIF('Injection Sales'!$B$2:$B$501,A290)=0),"",IFERROR(LOOKUP(2,1/(('Injection Sales'!$B$2:$B$501=A290)*('Injection Sales'!$A$2:$A$501=_xlfn.MAXIFS('Injection Sales'!$A$2:$A$501,'Injection Sales'!$B$2:$B$501,A290))),'Injection Sales'!$H$2:$H$501),""))</f>
        <v/>
      </c>
      <c r="I290" s="21" t="str">
        <f aca="true">IF(OR(A290="",D290=""),"",IF(TODAY()-D290&lt;=Settings!$B$7,"Active","Inactive"))</f>
        <v/>
      </c>
    </row>
    <row r="291" customFormat="false" ht="15" hidden="false" customHeight="false" outlineLevel="0" collapsed="false">
      <c r="A291" s="1"/>
      <c r="B291" s="22"/>
      <c r="C291" s="18" t="str">
        <f aca="false">IF(OR(A291="",COUNTIF('Injection Sales'!$B$2:$B$501,A291)+COUNTIF('Protein Sales'!$B$2:$B$501,A291)+COUNTIF('Diet Support'!$B$2:$B$501,A291)=0),"",MIN(IF(COUNTIF('Injection Sales'!$B$2:$B$501,A291),_xlfn.MINIFS('Injection Sales'!$A$2:$A$501,'Injection Sales'!$B$2:$B$501,A291),99999),IF(COUNTIF('Protein Sales'!$B$2:$B$501,A291),_xlfn.MINIFS('Protein Sales'!$A$2:$A$501,'Protein Sales'!$B$2:$B$501,A291),99999),IF(COUNTIF('Diet Support'!$B$2:$B$501,A291),_xlfn.MINIFS('Diet Support'!$A$2:$A$501,'Diet Support'!$B$2:$B$501,A291),99999)))</f>
        <v/>
      </c>
      <c r="D291" s="18" t="str">
        <f aca="false">IF(OR(A291="",COUNTIF('Injection Sales'!$B$2:$B$501,A291)+COUNTIF('Protein Sales'!$B$2:$B$501,A291)+COUNTIF('Diet Support'!$B$2:$B$501,A291)=0),"",MAX(_xlfn.MAXIFS('Injection Sales'!$A$2:$A$501,'Injection Sales'!$B$2:$B$501,A291),_xlfn.MAXIFS('Protein Sales'!$A$2:$A$501,'Protein Sales'!$B$2:$B$501,A291),_xlfn.MAXIFS('Diet Support'!$A$2:$A$501,'Diet Support'!$B$2:$B$501,A291)))</f>
        <v/>
      </c>
      <c r="E291" s="19" t="str">
        <f aca="false">IF(A291="","",COUNTIF('Injection Sales'!$B$2:$B$501,A291)+COUNTIF('Protein Sales'!$B$2:$B$501,A291)+COUNTIF('Diet Support'!$B$2:$B$501,A291))</f>
        <v/>
      </c>
      <c r="F291" s="20" t="str">
        <f aca="false">IF(A291="","",SUMIF('Injection Sales'!$B$2:$B$501,A291,'Injection Sales'!$G$2:$G$501)+SUMIF('Protein Sales'!$B$2:$B$501,A291,'Protein Sales'!$F$2:$F$501)+SUMIF('Diet Support'!$B$2:$B$501,A291,'Diet Support'!$E$2:$E$501))</f>
        <v/>
      </c>
      <c r="G291" s="21" t="str">
        <f aca="false">IF(OR(A291="",COUNTIF('Injection Sales'!$B$2:$B$501,A291)=0),"",IFERROR(LOOKUP(2,1/(('Injection Sales'!$B$2:$B$501=A291)*('Injection Sales'!$A$2:$A$501=_xlfn.MAXIFS('Injection Sales'!$A$2:$A$501,'Injection Sales'!$B$2:$B$501,A291))),'Injection Sales'!$E$2:$E$501),""))</f>
        <v/>
      </c>
      <c r="H291" s="21" t="str">
        <f aca="false">IF(OR(A291="",COUNTIF('Injection Sales'!$B$2:$B$501,A291)=0),"",IFERROR(LOOKUP(2,1/(('Injection Sales'!$B$2:$B$501=A291)*('Injection Sales'!$A$2:$A$501=_xlfn.MAXIFS('Injection Sales'!$A$2:$A$501,'Injection Sales'!$B$2:$B$501,A291))),'Injection Sales'!$H$2:$H$501),""))</f>
        <v/>
      </c>
      <c r="I291" s="21" t="str">
        <f aca="true">IF(OR(A291="",D291=""),"",IF(TODAY()-D291&lt;=Settings!$B$7,"Active","Inactive"))</f>
        <v/>
      </c>
    </row>
    <row r="292" customFormat="false" ht="15" hidden="false" customHeight="false" outlineLevel="0" collapsed="false">
      <c r="A292" s="1"/>
      <c r="B292" s="22"/>
      <c r="C292" s="18" t="str">
        <f aca="false">IF(OR(A292="",COUNTIF('Injection Sales'!$B$2:$B$501,A292)+COUNTIF('Protein Sales'!$B$2:$B$501,A292)+COUNTIF('Diet Support'!$B$2:$B$501,A292)=0),"",MIN(IF(COUNTIF('Injection Sales'!$B$2:$B$501,A292),_xlfn.MINIFS('Injection Sales'!$A$2:$A$501,'Injection Sales'!$B$2:$B$501,A292),99999),IF(COUNTIF('Protein Sales'!$B$2:$B$501,A292),_xlfn.MINIFS('Protein Sales'!$A$2:$A$501,'Protein Sales'!$B$2:$B$501,A292),99999),IF(COUNTIF('Diet Support'!$B$2:$B$501,A292),_xlfn.MINIFS('Diet Support'!$A$2:$A$501,'Diet Support'!$B$2:$B$501,A292),99999)))</f>
        <v/>
      </c>
      <c r="D292" s="18" t="str">
        <f aca="false">IF(OR(A292="",COUNTIF('Injection Sales'!$B$2:$B$501,A292)+COUNTIF('Protein Sales'!$B$2:$B$501,A292)+COUNTIF('Diet Support'!$B$2:$B$501,A292)=0),"",MAX(_xlfn.MAXIFS('Injection Sales'!$A$2:$A$501,'Injection Sales'!$B$2:$B$501,A292),_xlfn.MAXIFS('Protein Sales'!$A$2:$A$501,'Protein Sales'!$B$2:$B$501,A292),_xlfn.MAXIFS('Diet Support'!$A$2:$A$501,'Diet Support'!$B$2:$B$501,A292)))</f>
        <v/>
      </c>
      <c r="E292" s="19" t="str">
        <f aca="false">IF(A292="","",COUNTIF('Injection Sales'!$B$2:$B$501,A292)+COUNTIF('Protein Sales'!$B$2:$B$501,A292)+COUNTIF('Diet Support'!$B$2:$B$501,A292))</f>
        <v/>
      </c>
      <c r="F292" s="20" t="str">
        <f aca="false">IF(A292="","",SUMIF('Injection Sales'!$B$2:$B$501,A292,'Injection Sales'!$G$2:$G$501)+SUMIF('Protein Sales'!$B$2:$B$501,A292,'Protein Sales'!$F$2:$F$501)+SUMIF('Diet Support'!$B$2:$B$501,A292,'Diet Support'!$E$2:$E$501))</f>
        <v/>
      </c>
      <c r="G292" s="21" t="str">
        <f aca="false">IF(OR(A292="",COUNTIF('Injection Sales'!$B$2:$B$501,A292)=0),"",IFERROR(LOOKUP(2,1/(('Injection Sales'!$B$2:$B$501=A292)*('Injection Sales'!$A$2:$A$501=_xlfn.MAXIFS('Injection Sales'!$A$2:$A$501,'Injection Sales'!$B$2:$B$501,A292))),'Injection Sales'!$E$2:$E$501),""))</f>
        <v/>
      </c>
      <c r="H292" s="21" t="str">
        <f aca="false">IF(OR(A292="",COUNTIF('Injection Sales'!$B$2:$B$501,A292)=0),"",IFERROR(LOOKUP(2,1/(('Injection Sales'!$B$2:$B$501=A292)*('Injection Sales'!$A$2:$A$501=_xlfn.MAXIFS('Injection Sales'!$A$2:$A$501,'Injection Sales'!$B$2:$B$501,A292))),'Injection Sales'!$H$2:$H$501),""))</f>
        <v/>
      </c>
      <c r="I292" s="21" t="str">
        <f aca="true">IF(OR(A292="",D292=""),"",IF(TODAY()-D292&lt;=Settings!$B$7,"Active","Inactive"))</f>
        <v/>
      </c>
    </row>
    <row r="293" customFormat="false" ht="15" hidden="false" customHeight="false" outlineLevel="0" collapsed="false">
      <c r="A293" s="1"/>
      <c r="B293" s="22"/>
      <c r="C293" s="18" t="str">
        <f aca="false">IF(OR(A293="",COUNTIF('Injection Sales'!$B$2:$B$501,A293)+COUNTIF('Protein Sales'!$B$2:$B$501,A293)+COUNTIF('Diet Support'!$B$2:$B$501,A293)=0),"",MIN(IF(COUNTIF('Injection Sales'!$B$2:$B$501,A293),_xlfn.MINIFS('Injection Sales'!$A$2:$A$501,'Injection Sales'!$B$2:$B$501,A293),99999),IF(COUNTIF('Protein Sales'!$B$2:$B$501,A293),_xlfn.MINIFS('Protein Sales'!$A$2:$A$501,'Protein Sales'!$B$2:$B$501,A293),99999),IF(COUNTIF('Diet Support'!$B$2:$B$501,A293),_xlfn.MINIFS('Diet Support'!$A$2:$A$501,'Diet Support'!$B$2:$B$501,A293),99999)))</f>
        <v/>
      </c>
      <c r="D293" s="18" t="str">
        <f aca="false">IF(OR(A293="",COUNTIF('Injection Sales'!$B$2:$B$501,A293)+COUNTIF('Protein Sales'!$B$2:$B$501,A293)+COUNTIF('Diet Support'!$B$2:$B$501,A293)=0),"",MAX(_xlfn.MAXIFS('Injection Sales'!$A$2:$A$501,'Injection Sales'!$B$2:$B$501,A293),_xlfn.MAXIFS('Protein Sales'!$A$2:$A$501,'Protein Sales'!$B$2:$B$501,A293),_xlfn.MAXIFS('Diet Support'!$A$2:$A$501,'Diet Support'!$B$2:$B$501,A293)))</f>
        <v/>
      </c>
      <c r="E293" s="19" t="str">
        <f aca="false">IF(A293="","",COUNTIF('Injection Sales'!$B$2:$B$501,A293)+COUNTIF('Protein Sales'!$B$2:$B$501,A293)+COUNTIF('Diet Support'!$B$2:$B$501,A293))</f>
        <v/>
      </c>
      <c r="F293" s="20" t="str">
        <f aca="false">IF(A293="","",SUMIF('Injection Sales'!$B$2:$B$501,A293,'Injection Sales'!$G$2:$G$501)+SUMIF('Protein Sales'!$B$2:$B$501,A293,'Protein Sales'!$F$2:$F$501)+SUMIF('Diet Support'!$B$2:$B$501,A293,'Diet Support'!$E$2:$E$501))</f>
        <v/>
      </c>
      <c r="G293" s="21" t="str">
        <f aca="false">IF(OR(A293="",COUNTIF('Injection Sales'!$B$2:$B$501,A293)=0),"",IFERROR(LOOKUP(2,1/(('Injection Sales'!$B$2:$B$501=A293)*('Injection Sales'!$A$2:$A$501=_xlfn.MAXIFS('Injection Sales'!$A$2:$A$501,'Injection Sales'!$B$2:$B$501,A293))),'Injection Sales'!$E$2:$E$501),""))</f>
        <v/>
      </c>
      <c r="H293" s="21" t="str">
        <f aca="false">IF(OR(A293="",COUNTIF('Injection Sales'!$B$2:$B$501,A293)=0),"",IFERROR(LOOKUP(2,1/(('Injection Sales'!$B$2:$B$501=A293)*('Injection Sales'!$A$2:$A$501=_xlfn.MAXIFS('Injection Sales'!$A$2:$A$501,'Injection Sales'!$B$2:$B$501,A293))),'Injection Sales'!$H$2:$H$501),""))</f>
        <v/>
      </c>
      <c r="I293" s="21" t="str">
        <f aca="true">IF(OR(A293="",D293=""),"",IF(TODAY()-D293&lt;=Settings!$B$7,"Active","Inactive"))</f>
        <v/>
      </c>
    </row>
    <row r="294" customFormat="false" ht="15" hidden="false" customHeight="false" outlineLevel="0" collapsed="false">
      <c r="A294" s="1"/>
      <c r="B294" s="22"/>
      <c r="C294" s="18" t="str">
        <f aca="false">IF(OR(A294="",COUNTIF('Injection Sales'!$B$2:$B$501,A294)+COUNTIF('Protein Sales'!$B$2:$B$501,A294)+COUNTIF('Diet Support'!$B$2:$B$501,A294)=0),"",MIN(IF(COUNTIF('Injection Sales'!$B$2:$B$501,A294),_xlfn.MINIFS('Injection Sales'!$A$2:$A$501,'Injection Sales'!$B$2:$B$501,A294),99999),IF(COUNTIF('Protein Sales'!$B$2:$B$501,A294),_xlfn.MINIFS('Protein Sales'!$A$2:$A$501,'Protein Sales'!$B$2:$B$501,A294),99999),IF(COUNTIF('Diet Support'!$B$2:$B$501,A294),_xlfn.MINIFS('Diet Support'!$A$2:$A$501,'Diet Support'!$B$2:$B$501,A294),99999)))</f>
        <v/>
      </c>
      <c r="D294" s="18" t="str">
        <f aca="false">IF(OR(A294="",COUNTIF('Injection Sales'!$B$2:$B$501,A294)+COUNTIF('Protein Sales'!$B$2:$B$501,A294)+COUNTIF('Diet Support'!$B$2:$B$501,A294)=0),"",MAX(_xlfn.MAXIFS('Injection Sales'!$A$2:$A$501,'Injection Sales'!$B$2:$B$501,A294),_xlfn.MAXIFS('Protein Sales'!$A$2:$A$501,'Protein Sales'!$B$2:$B$501,A294),_xlfn.MAXIFS('Diet Support'!$A$2:$A$501,'Diet Support'!$B$2:$B$501,A294)))</f>
        <v/>
      </c>
      <c r="E294" s="19" t="str">
        <f aca="false">IF(A294="","",COUNTIF('Injection Sales'!$B$2:$B$501,A294)+COUNTIF('Protein Sales'!$B$2:$B$501,A294)+COUNTIF('Diet Support'!$B$2:$B$501,A294))</f>
        <v/>
      </c>
      <c r="F294" s="20" t="str">
        <f aca="false">IF(A294="","",SUMIF('Injection Sales'!$B$2:$B$501,A294,'Injection Sales'!$G$2:$G$501)+SUMIF('Protein Sales'!$B$2:$B$501,A294,'Protein Sales'!$F$2:$F$501)+SUMIF('Diet Support'!$B$2:$B$501,A294,'Diet Support'!$E$2:$E$501))</f>
        <v/>
      </c>
      <c r="G294" s="21" t="str">
        <f aca="false">IF(OR(A294="",COUNTIF('Injection Sales'!$B$2:$B$501,A294)=0),"",IFERROR(LOOKUP(2,1/(('Injection Sales'!$B$2:$B$501=A294)*('Injection Sales'!$A$2:$A$501=_xlfn.MAXIFS('Injection Sales'!$A$2:$A$501,'Injection Sales'!$B$2:$B$501,A294))),'Injection Sales'!$E$2:$E$501),""))</f>
        <v/>
      </c>
      <c r="H294" s="21" t="str">
        <f aca="false">IF(OR(A294="",COUNTIF('Injection Sales'!$B$2:$B$501,A294)=0),"",IFERROR(LOOKUP(2,1/(('Injection Sales'!$B$2:$B$501=A294)*('Injection Sales'!$A$2:$A$501=_xlfn.MAXIFS('Injection Sales'!$A$2:$A$501,'Injection Sales'!$B$2:$B$501,A294))),'Injection Sales'!$H$2:$H$501),""))</f>
        <v/>
      </c>
      <c r="I294" s="21" t="str">
        <f aca="true">IF(OR(A294="",D294=""),"",IF(TODAY()-D294&lt;=Settings!$B$7,"Active","Inactive"))</f>
        <v/>
      </c>
    </row>
    <row r="295" customFormat="false" ht="15" hidden="false" customHeight="false" outlineLevel="0" collapsed="false">
      <c r="A295" s="1"/>
      <c r="B295" s="22"/>
      <c r="C295" s="18" t="str">
        <f aca="false">IF(OR(A295="",COUNTIF('Injection Sales'!$B$2:$B$501,A295)+COUNTIF('Protein Sales'!$B$2:$B$501,A295)+COUNTIF('Diet Support'!$B$2:$B$501,A295)=0),"",MIN(IF(COUNTIF('Injection Sales'!$B$2:$B$501,A295),_xlfn.MINIFS('Injection Sales'!$A$2:$A$501,'Injection Sales'!$B$2:$B$501,A295),99999),IF(COUNTIF('Protein Sales'!$B$2:$B$501,A295),_xlfn.MINIFS('Protein Sales'!$A$2:$A$501,'Protein Sales'!$B$2:$B$501,A295),99999),IF(COUNTIF('Diet Support'!$B$2:$B$501,A295),_xlfn.MINIFS('Diet Support'!$A$2:$A$501,'Diet Support'!$B$2:$B$501,A295),99999)))</f>
        <v/>
      </c>
      <c r="D295" s="18" t="str">
        <f aca="false">IF(OR(A295="",COUNTIF('Injection Sales'!$B$2:$B$501,A295)+COUNTIF('Protein Sales'!$B$2:$B$501,A295)+COUNTIF('Diet Support'!$B$2:$B$501,A295)=0),"",MAX(_xlfn.MAXIFS('Injection Sales'!$A$2:$A$501,'Injection Sales'!$B$2:$B$501,A295),_xlfn.MAXIFS('Protein Sales'!$A$2:$A$501,'Protein Sales'!$B$2:$B$501,A295),_xlfn.MAXIFS('Diet Support'!$A$2:$A$501,'Diet Support'!$B$2:$B$501,A295)))</f>
        <v/>
      </c>
      <c r="E295" s="19" t="str">
        <f aca="false">IF(A295="","",COUNTIF('Injection Sales'!$B$2:$B$501,A295)+COUNTIF('Protein Sales'!$B$2:$B$501,A295)+COUNTIF('Diet Support'!$B$2:$B$501,A295))</f>
        <v/>
      </c>
      <c r="F295" s="20" t="str">
        <f aca="false">IF(A295="","",SUMIF('Injection Sales'!$B$2:$B$501,A295,'Injection Sales'!$G$2:$G$501)+SUMIF('Protein Sales'!$B$2:$B$501,A295,'Protein Sales'!$F$2:$F$501)+SUMIF('Diet Support'!$B$2:$B$501,A295,'Diet Support'!$E$2:$E$501))</f>
        <v/>
      </c>
      <c r="G295" s="21" t="str">
        <f aca="false">IF(OR(A295="",COUNTIF('Injection Sales'!$B$2:$B$501,A295)=0),"",IFERROR(LOOKUP(2,1/(('Injection Sales'!$B$2:$B$501=A295)*('Injection Sales'!$A$2:$A$501=_xlfn.MAXIFS('Injection Sales'!$A$2:$A$501,'Injection Sales'!$B$2:$B$501,A295))),'Injection Sales'!$E$2:$E$501),""))</f>
        <v/>
      </c>
      <c r="H295" s="21" t="str">
        <f aca="false">IF(OR(A295="",COUNTIF('Injection Sales'!$B$2:$B$501,A295)=0),"",IFERROR(LOOKUP(2,1/(('Injection Sales'!$B$2:$B$501=A295)*('Injection Sales'!$A$2:$A$501=_xlfn.MAXIFS('Injection Sales'!$A$2:$A$501,'Injection Sales'!$B$2:$B$501,A295))),'Injection Sales'!$H$2:$H$501),""))</f>
        <v/>
      </c>
      <c r="I295" s="21" t="str">
        <f aca="true">IF(OR(A295="",D295=""),"",IF(TODAY()-D295&lt;=Settings!$B$7,"Active","Inactive"))</f>
        <v/>
      </c>
    </row>
    <row r="296" customFormat="false" ht="15" hidden="false" customHeight="false" outlineLevel="0" collapsed="false">
      <c r="A296" s="1"/>
      <c r="B296" s="22"/>
      <c r="C296" s="18" t="str">
        <f aca="false">IF(OR(A296="",COUNTIF('Injection Sales'!$B$2:$B$501,A296)+COUNTIF('Protein Sales'!$B$2:$B$501,A296)+COUNTIF('Diet Support'!$B$2:$B$501,A296)=0),"",MIN(IF(COUNTIF('Injection Sales'!$B$2:$B$501,A296),_xlfn.MINIFS('Injection Sales'!$A$2:$A$501,'Injection Sales'!$B$2:$B$501,A296),99999),IF(COUNTIF('Protein Sales'!$B$2:$B$501,A296),_xlfn.MINIFS('Protein Sales'!$A$2:$A$501,'Protein Sales'!$B$2:$B$501,A296),99999),IF(COUNTIF('Diet Support'!$B$2:$B$501,A296),_xlfn.MINIFS('Diet Support'!$A$2:$A$501,'Diet Support'!$B$2:$B$501,A296),99999)))</f>
        <v/>
      </c>
      <c r="D296" s="18" t="str">
        <f aca="false">IF(OR(A296="",COUNTIF('Injection Sales'!$B$2:$B$501,A296)+COUNTIF('Protein Sales'!$B$2:$B$501,A296)+COUNTIF('Diet Support'!$B$2:$B$501,A296)=0),"",MAX(_xlfn.MAXIFS('Injection Sales'!$A$2:$A$501,'Injection Sales'!$B$2:$B$501,A296),_xlfn.MAXIFS('Protein Sales'!$A$2:$A$501,'Protein Sales'!$B$2:$B$501,A296),_xlfn.MAXIFS('Diet Support'!$A$2:$A$501,'Diet Support'!$B$2:$B$501,A296)))</f>
        <v/>
      </c>
      <c r="E296" s="19" t="str">
        <f aca="false">IF(A296="","",COUNTIF('Injection Sales'!$B$2:$B$501,A296)+COUNTIF('Protein Sales'!$B$2:$B$501,A296)+COUNTIF('Diet Support'!$B$2:$B$501,A296))</f>
        <v/>
      </c>
      <c r="F296" s="20" t="str">
        <f aca="false">IF(A296="","",SUMIF('Injection Sales'!$B$2:$B$501,A296,'Injection Sales'!$G$2:$G$501)+SUMIF('Protein Sales'!$B$2:$B$501,A296,'Protein Sales'!$F$2:$F$501)+SUMIF('Diet Support'!$B$2:$B$501,A296,'Diet Support'!$E$2:$E$501))</f>
        <v/>
      </c>
      <c r="G296" s="21" t="str">
        <f aca="false">IF(OR(A296="",COUNTIF('Injection Sales'!$B$2:$B$501,A296)=0),"",IFERROR(LOOKUP(2,1/(('Injection Sales'!$B$2:$B$501=A296)*('Injection Sales'!$A$2:$A$501=_xlfn.MAXIFS('Injection Sales'!$A$2:$A$501,'Injection Sales'!$B$2:$B$501,A296))),'Injection Sales'!$E$2:$E$501),""))</f>
        <v/>
      </c>
      <c r="H296" s="21" t="str">
        <f aca="false">IF(OR(A296="",COUNTIF('Injection Sales'!$B$2:$B$501,A296)=0),"",IFERROR(LOOKUP(2,1/(('Injection Sales'!$B$2:$B$501=A296)*('Injection Sales'!$A$2:$A$501=_xlfn.MAXIFS('Injection Sales'!$A$2:$A$501,'Injection Sales'!$B$2:$B$501,A296))),'Injection Sales'!$H$2:$H$501),""))</f>
        <v/>
      </c>
      <c r="I296" s="21" t="str">
        <f aca="true">IF(OR(A296="",D296=""),"",IF(TODAY()-D296&lt;=Settings!$B$7,"Active","Inactive"))</f>
        <v/>
      </c>
    </row>
    <row r="297" customFormat="false" ht="15" hidden="false" customHeight="false" outlineLevel="0" collapsed="false">
      <c r="A297" s="1"/>
      <c r="B297" s="22"/>
      <c r="C297" s="18" t="str">
        <f aca="false">IF(OR(A297="",COUNTIF('Injection Sales'!$B$2:$B$501,A297)+COUNTIF('Protein Sales'!$B$2:$B$501,A297)+COUNTIF('Diet Support'!$B$2:$B$501,A297)=0),"",MIN(IF(COUNTIF('Injection Sales'!$B$2:$B$501,A297),_xlfn.MINIFS('Injection Sales'!$A$2:$A$501,'Injection Sales'!$B$2:$B$501,A297),99999),IF(COUNTIF('Protein Sales'!$B$2:$B$501,A297),_xlfn.MINIFS('Protein Sales'!$A$2:$A$501,'Protein Sales'!$B$2:$B$501,A297),99999),IF(COUNTIF('Diet Support'!$B$2:$B$501,A297),_xlfn.MINIFS('Diet Support'!$A$2:$A$501,'Diet Support'!$B$2:$B$501,A297),99999)))</f>
        <v/>
      </c>
      <c r="D297" s="18" t="str">
        <f aca="false">IF(OR(A297="",COUNTIF('Injection Sales'!$B$2:$B$501,A297)+COUNTIF('Protein Sales'!$B$2:$B$501,A297)+COUNTIF('Diet Support'!$B$2:$B$501,A297)=0),"",MAX(_xlfn.MAXIFS('Injection Sales'!$A$2:$A$501,'Injection Sales'!$B$2:$B$501,A297),_xlfn.MAXIFS('Protein Sales'!$A$2:$A$501,'Protein Sales'!$B$2:$B$501,A297),_xlfn.MAXIFS('Diet Support'!$A$2:$A$501,'Diet Support'!$B$2:$B$501,A297)))</f>
        <v/>
      </c>
      <c r="E297" s="19" t="str">
        <f aca="false">IF(A297="","",COUNTIF('Injection Sales'!$B$2:$B$501,A297)+COUNTIF('Protein Sales'!$B$2:$B$501,A297)+COUNTIF('Diet Support'!$B$2:$B$501,A297))</f>
        <v/>
      </c>
      <c r="F297" s="20" t="str">
        <f aca="false">IF(A297="","",SUMIF('Injection Sales'!$B$2:$B$501,A297,'Injection Sales'!$G$2:$G$501)+SUMIF('Protein Sales'!$B$2:$B$501,A297,'Protein Sales'!$F$2:$F$501)+SUMIF('Diet Support'!$B$2:$B$501,A297,'Diet Support'!$E$2:$E$501))</f>
        <v/>
      </c>
      <c r="G297" s="21" t="str">
        <f aca="false">IF(OR(A297="",COUNTIF('Injection Sales'!$B$2:$B$501,A297)=0),"",IFERROR(LOOKUP(2,1/(('Injection Sales'!$B$2:$B$501=A297)*('Injection Sales'!$A$2:$A$501=_xlfn.MAXIFS('Injection Sales'!$A$2:$A$501,'Injection Sales'!$B$2:$B$501,A297))),'Injection Sales'!$E$2:$E$501),""))</f>
        <v/>
      </c>
      <c r="H297" s="21" t="str">
        <f aca="false">IF(OR(A297="",COUNTIF('Injection Sales'!$B$2:$B$501,A297)=0),"",IFERROR(LOOKUP(2,1/(('Injection Sales'!$B$2:$B$501=A297)*('Injection Sales'!$A$2:$A$501=_xlfn.MAXIFS('Injection Sales'!$A$2:$A$501,'Injection Sales'!$B$2:$B$501,A297))),'Injection Sales'!$H$2:$H$501),""))</f>
        <v/>
      </c>
      <c r="I297" s="21" t="str">
        <f aca="true">IF(OR(A297="",D297=""),"",IF(TODAY()-D297&lt;=Settings!$B$7,"Active","Inactive"))</f>
        <v/>
      </c>
    </row>
    <row r="298" customFormat="false" ht="15" hidden="false" customHeight="false" outlineLevel="0" collapsed="false">
      <c r="A298" s="1"/>
      <c r="B298" s="22"/>
      <c r="C298" s="18" t="str">
        <f aca="false">IF(OR(A298="",COUNTIF('Injection Sales'!$B$2:$B$501,A298)+COUNTIF('Protein Sales'!$B$2:$B$501,A298)+COUNTIF('Diet Support'!$B$2:$B$501,A298)=0),"",MIN(IF(COUNTIF('Injection Sales'!$B$2:$B$501,A298),_xlfn.MINIFS('Injection Sales'!$A$2:$A$501,'Injection Sales'!$B$2:$B$501,A298),99999),IF(COUNTIF('Protein Sales'!$B$2:$B$501,A298),_xlfn.MINIFS('Protein Sales'!$A$2:$A$501,'Protein Sales'!$B$2:$B$501,A298),99999),IF(COUNTIF('Diet Support'!$B$2:$B$501,A298),_xlfn.MINIFS('Diet Support'!$A$2:$A$501,'Diet Support'!$B$2:$B$501,A298),99999)))</f>
        <v/>
      </c>
      <c r="D298" s="18" t="str">
        <f aca="false">IF(OR(A298="",COUNTIF('Injection Sales'!$B$2:$B$501,A298)+COUNTIF('Protein Sales'!$B$2:$B$501,A298)+COUNTIF('Diet Support'!$B$2:$B$501,A298)=0),"",MAX(_xlfn.MAXIFS('Injection Sales'!$A$2:$A$501,'Injection Sales'!$B$2:$B$501,A298),_xlfn.MAXIFS('Protein Sales'!$A$2:$A$501,'Protein Sales'!$B$2:$B$501,A298),_xlfn.MAXIFS('Diet Support'!$A$2:$A$501,'Diet Support'!$B$2:$B$501,A298)))</f>
        <v/>
      </c>
      <c r="E298" s="19" t="str">
        <f aca="false">IF(A298="","",COUNTIF('Injection Sales'!$B$2:$B$501,A298)+COUNTIF('Protein Sales'!$B$2:$B$501,A298)+COUNTIF('Diet Support'!$B$2:$B$501,A298))</f>
        <v/>
      </c>
      <c r="F298" s="20" t="str">
        <f aca="false">IF(A298="","",SUMIF('Injection Sales'!$B$2:$B$501,A298,'Injection Sales'!$G$2:$G$501)+SUMIF('Protein Sales'!$B$2:$B$501,A298,'Protein Sales'!$F$2:$F$501)+SUMIF('Diet Support'!$B$2:$B$501,A298,'Diet Support'!$E$2:$E$501))</f>
        <v/>
      </c>
      <c r="G298" s="21" t="str">
        <f aca="false">IF(OR(A298="",COUNTIF('Injection Sales'!$B$2:$B$501,A298)=0),"",IFERROR(LOOKUP(2,1/(('Injection Sales'!$B$2:$B$501=A298)*('Injection Sales'!$A$2:$A$501=_xlfn.MAXIFS('Injection Sales'!$A$2:$A$501,'Injection Sales'!$B$2:$B$501,A298))),'Injection Sales'!$E$2:$E$501),""))</f>
        <v/>
      </c>
      <c r="H298" s="21" t="str">
        <f aca="false">IF(OR(A298="",COUNTIF('Injection Sales'!$B$2:$B$501,A298)=0),"",IFERROR(LOOKUP(2,1/(('Injection Sales'!$B$2:$B$501=A298)*('Injection Sales'!$A$2:$A$501=_xlfn.MAXIFS('Injection Sales'!$A$2:$A$501,'Injection Sales'!$B$2:$B$501,A298))),'Injection Sales'!$H$2:$H$501),""))</f>
        <v/>
      </c>
      <c r="I298" s="21" t="str">
        <f aca="true">IF(OR(A298="",D298=""),"",IF(TODAY()-D298&lt;=Settings!$B$7,"Active","Inactive"))</f>
        <v/>
      </c>
    </row>
    <row r="299" customFormat="false" ht="15" hidden="false" customHeight="false" outlineLevel="0" collapsed="false">
      <c r="A299" s="1"/>
      <c r="B299" s="22"/>
      <c r="C299" s="18" t="str">
        <f aca="false">IF(OR(A299="",COUNTIF('Injection Sales'!$B$2:$B$501,A299)+COUNTIF('Protein Sales'!$B$2:$B$501,A299)+COUNTIF('Diet Support'!$B$2:$B$501,A299)=0),"",MIN(IF(COUNTIF('Injection Sales'!$B$2:$B$501,A299),_xlfn.MINIFS('Injection Sales'!$A$2:$A$501,'Injection Sales'!$B$2:$B$501,A299),99999),IF(COUNTIF('Protein Sales'!$B$2:$B$501,A299),_xlfn.MINIFS('Protein Sales'!$A$2:$A$501,'Protein Sales'!$B$2:$B$501,A299),99999),IF(COUNTIF('Diet Support'!$B$2:$B$501,A299),_xlfn.MINIFS('Diet Support'!$A$2:$A$501,'Diet Support'!$B$2:$B$501,A299),99999)))</f>
        <v/>
      </c>
      <c r="D299" s="18" t="str">
        <f aca="false">IF(OR(A299="",COUNTIF('Injection Sales'!$B$2:$B$501,A299)+COUNTIF('Protein Sales'!$B$2:$B$501,A299)+COUNTIF('Diet Support'!$B$2:$B$501,A299)=0),"",MAX(_xlfn.MAXIFS('Injection Sales'!$A$2:$A$501,'Injection Sales'!$B$2:$B$501,A299),_xlfn.MAXIFS('Protein Sales'!$A$2:$A$501,'Protein Sales'!$B$2:$B$501,A299),_xlfn.MAXIFS('Diet Support'!$A$2:$A$501,'Diet Support'!$B$2:$B$501,A299)))</f>
        <v/>
      </c>
      <c r="E299" s="19" t="str">
        <f aca="false">IF(A299="","",COUNTIF('Injection Sales'!$B$2:$B$501,A299)+COUNTIF('Protein Sales'!$B$2:$B$501,A299)+COUNTIF('Diet Support'!$B$2:$B$501,A299))</f>
        <v/>
      </c>
      <c r="F299" s="20" t="str">
        <f aca="false">IF(A299="","",SUMIF('Injection Sales'!$B$2:$B$501,A299,'Injection Sales'!$G$2:$G$501)+SUMIF('Protein Sales'!$B$2:$B$501,A299,'Protein Sales'!$F$2:$F$501)+SUMIF('Diet Support'!$B$2:$B$501,A299,'Diet Support'!$E$2:$E$501))</f>
        <v/>
      </c>
      <c r="G299" s="21" t="str">
        <f aca="false">IF(OR(A299="",COUNTIF('Injection Sales'!$B$2:$B$501,A299)=0),"",IFERROR(LOOKUP(2,1/(('Injection Sales'!$B$2:$B$501=A299)*('Injection Sales'!$A$2:$A$501=_xlfn.MAXIFS('Injection Sales'!$A$2:$A$501,'Injection Sales'!$B$2:$B$501,A299))),'Injection Sales'!$E$2:$E$501),""))</f>
        <v/>
      </c>
      <c r="H299" s="21" t="str">
        <f aca="false">IF(OR(A299="",COUNTIF('Injection Sales'!$B$2:$B$501,A299)=0),"",IFERROR(LOOKUP(2,1/(('Injection Sales'!$B$2:$B$501=A299)*('Injection Sales'!$A$2:$A$501=_xlfn.MAXIFS('Injection Sales'!$A$2:$A$501,'Injection Sales'!$B$2:$B$501,A299))),'Injection Sales'!$H$2:$H$501),""))</f>
        <v/>
      </c>
      <c r="I299" s="21" t="str">
        <f aca="true">IF(OR(A299="",D299=""),"",IF(TODAY()-D299&lt;=Settings!$B$7,"Active","Inactive"))</f>
        <v/>
      </c>
    </row>
    <row r="300" customFormat="false" ht="15" hidden="false" customHeight="false" outlineLevel="0" collapsed="false">
      <c r="A300" s="1"/>
      <c r="B300" s="22"/>
      <c r="C300" s="18" t="str">
        <f aca="false">IF(OR(A300="",COUNTIF('Injection Sales'!$B$2:$B$501,A300)+COUNTIF('Protein Sales'!$B$2:$B$501,A300)+COUNTIF('Diet Support'!$B$2:$B$501,A300)=0),"",MIN(IF(COUNTIF('Injection Sales'!$B$2:$B$501,A300),_xlfn.MINIFS('Injection Sales'!$A$2:$A$501,'Injection Sales'!$B$2:$B$501,A300),99999),IF(COUNTIF('Protein Sales'!$B$2:$B$501,A300),_xlfn.MINIFS('Protein Sales'!$A$2:$A$501,'Protein Sales'!$B$2:$B$501,A300),99999),IF(COUNTIF('Diet Support'!$B$2:$B$501,A300),_xlfn.MINIFS('Diet Support'!$A$2:$A$501,'Diet Support'!$B$2:$B$501,A300),99999)))</f>
        <v/>
      </c>
      <c r="D300" s="18" t="str">
        <f aca="false">IF(OR(A300="",COUNTIF('Injection Sales'!$B$2:$B$501,A300)+COUNTIF('Protein Sales'!$B$2:$B$501,A300)+COUNTIF('Diet Support'!$B$2:$B$501,A300)=0),"",MAX(_xlfn.MAXIFS('Injection Sales'!$A$2:$A$501,'Injection Sales'!$B$2:$B$501,A300),_xlfn.MAXIFS('Protein Sales'!$A$2:$A$501,'Protein Sales'!$B$2:$B$501,A300),_xlfn.MAXIFS('Diet Support'!$A$2:$A$501,'Diet Support'!$B$2:$B$501,A300)))</f>
        <v/>
      </c>
      <c r="E300" s="19" t="str">
        <f aca="false">IF(A300="","",COUNTIF('Injection Sales'!$B$2:$B$501,A300)+COUNTIF('Protein Sales'!$B$2:$B$501,A300)+COUNTIF('Diet Support'!$B$2:$B$501,A300))</f>
        <v/>
      </c>
      <c r="F300" s="20" t="str">
        <f aca="false">IF(A300="","",SUMIF('Injection Sales'!$B$2:$B$501,A300,'Injection Sales'!$G$2:$G$501)+SUMIF('Protein Sales'!$B$2:$B$501,A300,'Protein Sales'!$F$2:$F$501)+SUMIF('Diet Support'!$B$2:$B$501,A300,'Diet Support'!$E$2:$E$501))</f>
        <v/>
      </c>
      <c r="G300" s="21" t="str">
        <f aca="false">IF(OR(A300="",COUNTIF('Injection Sales'!$B$2:$B$501,A300)=0),"",IFERROR(LOOKUP(2,1/(('Injection Sales'!$B$2:$B$501=A300)*('Injection Sales'!$A$2:$A$501=_xlfn.MAXIFS('Injection Sales'!$A$2:$A$501,'Injection Sales'!$B$2:$B$501,A300))),'Injection Sales'!$E$2:$E$501),""))</f>
        <v/>
      </c>
      <c r="H300" s="21" t="str">
        <f aca="false">IF(OR(A300="",COUNTIF('Injection Sales'!$B$2:$B$501,A300)=0),"",IFERROR(LOOKUP(2,1/(('Injection Sales'!$B$2:$B$501=A300)*('Injection Sales'!$A$2:$A$501=_xlfn.MAXIFS('Injection Sales'!$A$2:$A$501,'Injection Sales'!$B$2:$B$501,A300))),'Injection Sales'!$H$2:$H$501),""))</f>
        <v/>
      </c>
      <c r="I300" s="21" t="str">
        <f aca="true">IF(OR(A300="",D300=""),"",IF(TODAY()-D300&lt;=Settings!$B$7,"Active","Inactive"))</f>
        <v/>
      </c>
    </row>
    <row r="301" customFormat="false" ht="15" hidden="false" customHeight="false" outlineLevel="0" collapsed="false">
      <c r="A301" s="1"/>
      <c r="B301" s="22"/>
      <c r="C301" s="18" t="str">
        <f aca="false">IF(OR(A301="",COUNTIF('Injection Sales'!$B$2:$B$501,A301)+COUNTIF('Protein Sales'!$B$2:$B$501,A301)+COUNTIF('Diet Support'!$B$2:$B$501,A301)=0),"",MIN(IF(COUNTIF('Injection Sales'!$B$2:$B$501,A301),_xlfn.MINIFS('Injection Sales'!$A$2:$A$501,'Injection Sales'!$B$2:$B$501,A301),99999),IF(COUNTIF('Protein Sales'!$B$2:$B$501,A301),_xlfn.MINIFS('Protein Sales'!$A$2:$A$501,'Protein Sales'!$B$2:$B$501,A301),99999),IF(COUNTIF('Diet Support'!$B$2:$B$501,A301),_xlfn.MINIFS('Diet Support'!$A$2:$A$501,'Diet Support'!$B$2:$B$501,A301),99999)))</f>
        <v/>
      </c>
      <c r="D301" s="18" t="str">
        <f aca="false">IF(OR(A301="",COUNTIF('Injection Sales'!$B$2:$B$501,A301)+COUNTIF('Protein Sales'!$B$2:$B$501,A301)+COUNTIF('Diet Support'!$B$2:$B$501,A301)=0),"",MAX(_xlfn.MAXIFS('Injection Sales'!$A$2:$A$501,'Injection Sales'!$B$2:$B$501,A301),_xlfn.MAXIFS('Protein Sales'!$A$2:$A$501,'Protein Sales'!$B$2:$B$501,A301),_xlfn.MAXIFS('Diet Support'!$A$2:$A$501,'Diet Support'!$B$2:$B$501,A301)))</f>
        <v/>
      </c>
      <c r="E301" s="19" t="str">
        <f aca="false">IF(A301="","",COUNTIF('Injection Sales'!$B$2:$B$501,A301)+COUNTIF('Protein Sales'!$B$2:$B$501,A301)+COUNTIF('Diet Support'!$B$2:$B$501,A301))</f>
        <v/>
      </c>
      <c r="F301" s="20" t="str">
        <f aca="false">IF(A301="","",SUMIF('Injection Sales'!$B$2:$B$501,A301,'Injection Sales'!$G$2:$G$501)+SUMIF('Protein Sales'!$B$2:$B$501,A301,'Protein Sales'!$F$2:$F$501)+SUMIF('Diet Support'!$B$2:$B$501,A301,'Diet Support'!$E$2:$E$501))</f>
        <v/>
      </c>
      <c r="G301" s="21" t="str">
        <f aca="false">IF(OR(A301="",COUNTIF('Injection Sales'!$B$2:$B$501,A301)=0),"",IFERROR(LOOKUP(2,1/(('Injection Sales'!$B$2:$B$501=A301)*('Injection Sales'!$A$2:$A$501=_xlfn.MAXIFS('Injection Sales'!$A$2:$A$501,'Injection Sales'!$B$2:$B$501,A301))),'Injection Sales'!$E$2:$E$501),""))</f>
        <v/>
      </c>
      <c r="H301" s="21" t="str">
        <f aca="false">IF(OR(A301="",COUNTIF('Injection Sales'!$B$2:$B$501,A301)=0),"",IFERROR(LOOKUP(2,1/(('Injection Sales'!$B$2:$B$501=A301)*('Injection Sales'!$A$2:$A$501=_xlfn.MAXIFS('Injection Sales'!$A$2:$A$501,'Injection Sales'!$B$2:$B$501,A301))),'Injection Sales'!$H$2:$H$501),""))</f>
        <v/>
      </c>
      <c r="I301" s="21" t="str">
        <f aca="true">IF(OR(A301="",D301=""),"",IF(TODAY()-D301&lt;=Settings!$B$7,"Active","Inactive"))</f>
        <v/>
      </c>
    </row>
    <row r="302" customFormat="false" ht="15" hidden="false" customHeight="false" outlineLevel="0" collapsed="false">
      <c r="A302" s="1"/>
      <c r="B302" s="22"/>
      <c r="C302" s="18" t="str">
        <f aca="false">IF(OR(A302="",COUNTIF('Injection Sales'!$B$2:$B$501,A302)+COUNTIF('Protein Sales'!$B$2:$B$501,A302)+COUNTIF('Diet Support'!$B$2:$B$501,A302)=0),"",MIN(IF(COUNTIF('Injection Sales'!$B$2:$B$501,A302),_xlfn.MINIFS('Injection Sales'!$A$2:$A$501,'Injection Sales'!$B$2:$B$501,A302),99999),IF(COUNTIF('Protein Sales'!$B$2:$B$501,A302),_xlfn.MINIFS('Protein Sales'!$A$2:$A$501,'Protein Sales'!$B$2:$B$501,A302),99999),IF(COUNTIF('Diet Support'!$B$2:$B$501,A302),_xlfn.MINIFS('Diet Support'!$A$2:$A$501,'Diet Support'!$B$2:$B$501,A302),99999)))</f>
        <v/>
      </c>
      <c r="D302" s="18" t="str">
        <f aca="false">IF(OR(A302="",COUNTIF('Injection Sales'!$B$2:$B$501,A302)+COUNTIF('Protein Sales'!$B$2:$B$501,A302)+COUNTIF('Diet Support'!$B$2:$B$501,A302)=0),"",MAX(_xlfn.MAXIFS('Injection Sales'!$A$2:$A$501,'Injection Sales'!$B$2:$B$501,A302),_xlfn.MAXIFS('Protein Sales'!$A$2:$A$501,'Protein Sales'!$B$2:$B$501,A302),_xlfn.MAXIFS('Diet Support'!$A$2:$A$501,'Diet Support'!$B$2:$B$501,A302)))</f>
        <v/>
      </c>
      <c r="E302" s="19" t="str">
        <f aca="false">IF(A302="","",COUNTIF('Injection Sales'!$B$2:$B$501,A302)+COUNTIF('Protein Sales'!$B$2:$B$501,A302)+COUNTIF('Diet Support'!$B$2:$B$501,A302))</f>
        <v/>
      </c>
      <c r="F302" s="20" t="str">
        <f aca="false">IF(A302="","",SUMIF('Injection Sales'!$B$2:$B$501,A302,'Injection Sales'!$G$2:$G$501)+SUMIF('Protein Sales'!$B$2:$B$501,A302,'Protein Sales'!$F$2:$F$501)+SUMIF('Diet Support'!$B$2:$B$501,A302,'Diet Support'!$E$2:$E$501))</f>
        <v/>
      </c>
      <c r="G302" s="21" t="str">
        <f aca="false">IF(OR(A302="",COUNTIF('Injection Sales'!$B$2:$B$501,A302)=0),"",IFERROR(LOOKUP(2,1/(('Injection Sales'!$B$2:$B$501=A302)*('Injection Sales'!$A$2:$A$501=_xlfn.MAXIFS('Injection Sales'!$A$2:$A$501,'Injection Sales'!$B$2:$B$501,A302))),'Injection Sales'!$E$2:$E$501),""))</f>
        <v/>
      </c>
      <c r="H302" s="21" t="str">
        <f aca="false">IF(OR(A302="",COUNTIF('Injection Sales'!$B$2:$B$501,A302)=0),"",IFERROR(LOOKUP(2,1/(('Injection Sales'!$B$2:$B$501=A302)*('Injection Sales'!$A$2:$A$501=_xlfn.MAXIFS('Injection Sales'!$A$2:$A$501,'Injection Sales'!$B$2:$B$501,A302))),'Injection Sales'!$H$2:$H$501),""))</f>
        <v/>
      </c>
      <c r="I302" s="21" t="str">
        <f aca="true">IF(OR(A302="",D302=""),"",IF(TODAY()-D302&lt;=Settings!$B$7,"Active","Inactive"))</f>
        <v/>
      </c>
    </row>
    <row r="303" customFormat="false" ht="15" hidden="false" customHeight="false" outlineLevel="0" collapsed="false">
      <c r="A303" s="1"/>
      <c r="B303" s="22"/>
      <c r="C303" s="18" t="str">
        <f aca="false">IF(OR(A303="",COUNTIF('Injection Sales'!$B$2:$B$501,A303)+COUNTIF('Protein Sales'!$B$2:$B$501,A303)+COUNTIF('Diet Support'!$B$2:$B$501,A303)=0),"",MIN(IF(COUNTIF('Injection Sales'!$B$2:$B$501,A303),_xlfn.MINIFS('Injection Sales'!$A$2:$A$501,'Injection Sales'!$B$2:$B$501,A303),99999),IF(COUNTIF('Protein Sales'!$B$2:$B$501,A303),_xlfn.MINIFS('Protein Sales'!$A$2:$A$501,'Protein Sales'!$B$2:$B$501,A303),99999),IF(COUNTIF('Diet Support'!$B$2:$B$501,A303),_xlfn.MINIFS('Diet Support'!$A$2:$A$501,'Diet Support'!$B$2:$B$501,A303),99999)))</f>
        <v/>
      </c>
      <c r="D303" s="18" t="str">
        <f aca="false">IF(OR(A303="",COUNTIF('Injection Sales'!$B$2:$B$501,A303)+COUNTIF('Protein Sales'!$B$2:$B$501,A303)+COUNTIF('Diet Support'!$B$2:$B$501,A303)=0),"",MAX(_xlfn.MAXIFS('Injection Sales'!$A$2:$A$501,'Injection Sales'!$B$2:$B$501,A303),_xlfn.MAXIFS('Protein Sales'!$A$2:$A$501,'Protein Sales'!$B$2:$B$501,A303),_xlfn.MAXIFS('Diet Support'!$A$2:$A$501,'Diet Support'!$B$2:$B$501,A303)))</f>
        <v/>
      </c>
      <c r="E303" s="19" t="str">
        <f aca="false">IF(A303="","",COUNTIF('Injection Sales'!$B$2:$B$501,A303)+COUNTIF('Protein Sales'!$B$2:$B$501,A303)+COUNTIF('Diet Support'!$B$2:$B$501,A303))</f>
        <v/>
      </c>
      <c r="F303" s="20" t="str">
        <f aca="false">IF(A303="","",SUMIF('Injection Sales'!$B$2:$B$501,A303,'Injection Sales'!$G$2:$G$501)+SUMIF('Protein Sales'!$B$2:$B$501,A303,'Protein Sales'!$F$2:$F$501)+SUMIF('Diet Support'!$B$2:$B$501,A303,'Diet Support'!$E$2:$E$501))</f>
        <v/>
      </c>
      <c r="G303" s="21" t="str">
        <f aca="false">IF(OR(A303="",COUNTIF('Injection Sales'!$B$2:$B$501,A303)=0),"",IFERROR(LOOKUP(2,1/(('Injection Sales'!$B$2:$B$501=A303)*('Injection Sales'!$A$2:$A$501=_xlfn.MAXIFS('Injection Sales'!$A$2:$A$501,'Injection Sales'!$B$2:$B$501,A303))),'Injection Sales'!$E$2:$E$501),""))</f>
        <v/>
      </c>
      <c r="H303" s="21" t="str">
        <f aca="false">IF(OR(A303="",COUNTIF('Injection Sales'!$B$2:$B$501,A303)=0),"",IFERROR(LOOKUP(2,1/(('Injection Sales'!$B$2:$B$501=A303)*('Injection Sales'!$A$2:$A$501=_xlfn.MAXIFS('Injection Sales'!$A$2:$A$501,'Injection Sales'!$B$2:$B$501,A303))),'Injection Sales'!$H$2:$H$501),""))</f>
        <v/>
      </c>
      <c r="I303" s="21" t="str">
        <f aca="true">IF(OR(A303="",D303=""),"",IF(TODAY()-D303&lt;=Settings!$B$7,"Active","Inactive"))</f>
        <v/>
      </c>
    </row>
    <row r="304" customFormat="false" ht="15" hidden="false" customHeight="false" outlineLevel="0" collapsed="false">
      <c r="A304" s="1"/>
      <c r="B304" s="22"/>
      <c r="C304" s="18" t="str">
        <f aca="false">IF(OR(A304="",COUNTIF('Injection Sales'!$B$2:$B$501,A304)+COUNTIF('Protein Sales'!$B$2:$B$501,A304)+COUNTIF('Diet Support'!$B$2:$B$501,A304)=0),"",MIN(IF(COUNTIF('Injection Sales'!$B$2:$B$501,A304),_xlfn.MINIFS('Injection Sales'!$A$2:$A$501,'Injection Sales'!$B$2:$B$501,A304),99999),IF(COUNTIF('Protein Sales'!$B$2:$B$501,A304),_xlfn.MINIFS('Protein Sales'!$A$2:$A$501,'Protein Sales'!$B$2:$B$501,A304),99999),IF(COUNTIF('Diet Support'!$B$2:$B$501,A304),_xlfn.MINIFS('Diet Support'!$A$2:$A$501,'Diet Support'!$B$2:$B$501,A304),99999)))</f>
        <v/>
      </c>
      <c r="D304" s="18" t="str">
        <f aca="false">IF(OR(A304="",COUNTIF('Injection Sales'!$B$2:$B$501,A304)+COUNTIF('Protein Sales'!$B$2:$B$501,A304)+COUNTIF('Diet Support'!$B$2:$B$501,A304)=0),"",MAX(_xlfn.MAXIFS('Injection Sales'!$A$2:$A$501,'Injection Sales'!$B$2:$B$501,A304),_xlfn.MAXIFS('Protein Sales'!$A$2:$A$501,'Protein Sales'!$B$2:$B$501,A304),_xlfn.MAXIFS('Diet Support'!$A$2:$A$501,'Diet Support'!$B$2:$B$501,A304)))</f>
        <v/>
      </c>
      <c r="E304" s="19" t="str">
        <f aca="false">IF(A304="","",COUNTIF('Injection Sales'!$B$2:$B$501,A304)+COUNTIF('Protein Sales'!$B$2:$B$501,A304)+COUNTIF('Diet Support'!$B$2:$B$501,A304))</f>
        <v/>
      </c>
      <c r="F304" s="20" t="str">
        <f aca="false">IF(A304="","",SUMIF('Injection Sales'!$B$2:$B$501,A304,'Injection Sales'!$G$2:$G$501)+SUMIF('Protein Sales'!$B$2:$B$501,A304,'Protein Sales'!$F$2:$F$501)+SUMIF('Diet Support'!$B$2:$B$501,A304,'Diet Support'!$E$2:$E$501))</f>
        <v/>
      </c>
      <c r="G304" s="21" t="str">
        <f aca="false">IF(OR(A304="",COUNTIF('Injection Sales'!$B$2:$B$501,A304)=0),"",IFERROR(LOOKUP(2,1/(('Injection Sales'!$B$2:$B$501=A304)*('Injection Sales'!$A$2:$A$501=_xlfn.MAXIFS('Injection Sales'!$A$2:$A$501,'Injection Sales'!$B$2:$B$501,A304))),'Injection Sales'!$E$2:$E$501),""))</f>
        <v/>
      </c>
      <c r="H304" s="21" t="str">
        <f aca="false">IF(OR(A304="",COUNTIF('Injection Sales'!$B$2:$B$501,A304)=0),"",IFERROR(LOOKUP(2,1/(('Injection Sales'!$B$2:$B$501=A304)*('Injection Sales'!$A$2:$A$501=_xlfn.MAXIFS('Injection Sales'!$A$2:$A$501,'Injection Sales'!$B$2:$B$501,A304))),'Injection Sales'!$H$2:$H$501),""))</f>
        <v/>
      </c>
      <c r="I304" s="21" t="str">
        <f aca="true">IF(OR(A304="",D304=""),"",IF(TODAY()-D304&lt;=Settings!$B$7,"Active","Inactive"))</f>
        <v/>
      </c>
    </row>
    <row r="305" customFormat="false" ht="15" hidden="false" customHeight="false" outlineLevel="0" collapsed="false">
      <c r="A305" s="1"/>
      <c r="B305" s="22"/>
      <c r="C305" s="18" t="str">
        <f aca="false">IF(OR(A305="",COUNTIF('Injection Sales'!$B$2:$B$501,A305)+COUNTIF('Protein Sales'!$B$2:$B$501,A305)+COUNTIF('Diet Support'!$B$2:$B$501,A305)=0),"",MIN(IF(COUNTIF('Injection Sales'!$B$2:$B$501,A305),_xlfn.MINIFS('Injection Sales'!$A$2:$A$501,'Injection Sales'!$B$2:$B$501,A305),99999),IF(COUNTIF('Protein Sales'!$B$2:$B$501,A305),_xlfn.MINIFS('Protein Sales'!$A$2:$A$501,'Protein Sales'!$B$2:$B$501,A305),99999),IF(COUNTIF('Diet Support'!$B$2:$B$501,A305),_xlfn.MINIFS('Diet Support'!$A$2:$A$501,'Diet Support'!$B$2:$B$501,A305),99999)))</f>
        <v/>
      </c>
      <c r="D305" s="18" t="str">
        <f aca="false">IF(OR(A305="",COUNTIF('Injection Sales'!$B$2:$B$501,A305)+COUNTIF('Protein Sales'!$B$2:$B$501,A305)+COUNTIF('Diet Support'!$B$2:$B$501,A305)=0),"",MAX(_xlfn.MAXIFS('Injection Sales'!$A$2:$A$501,'Injection Sales'!$B$2:$B$501,A305),_xlfn.MAXIFS('Protein Sales'!$A$2:$A$501,'Protein Sales'!$B$2:$B$501,A305),_xlfn.MAXIFS('Diet Support'!$A$2:$A$501,'Diet Support'!$B$2:$B$501,A305)))</f>
        <v/>
      </c>
      <c r="E305" s="19" t="str">
        <f aca="false">IF(A305="","",COUNTIF('Injection Sales'!$B$2:$B$501,A305)+COUNTIF('Protein Sales'!$B$2:$B$501,A305)+COUNTIF('Diet Support'!$B$2:$B$501,A305))</f>
        <v/>
      </c>
      <c r="F305" s="20" t="str">
        <f aca="false">IF(A305="","",SUMIF('Injection Sales'!$B$2:$B$501,A305,'Injection Sales'!$G$2:$G$501)+SUMIF('Protein Sales'!$B$2:$B$501,A305,'Protein Sales'!$F$2:$F$501)+SUMIF('Diet Support'!$B$2:$B$501,A305,'Diet Support'!$E$2:$E$501))</f>
        <v/>
      </c>
      <c r="G305" s="21" t="str">
        <f aca="false">IF(OR(A305="",COUNTIF('Injection Sales'!$B$2:$B$501,A305)=0),"",IFERROR(LOOKUP(2,1/(('Injection Sales'!$B$2:$B$501=A305)*('Injection Sales'!$A$2:$A$501=_xlfn.MAXIFS('Injection Sales'!$A$2:$A$501,'Injection Sales'!$B$2:$B$501,A305))),'Injection Sales'!$E$2:$E$501),""))</f>
        <v/>
      </c>
      <c r="H305" s="21" t="str">
        <f aca="false">IF(OR(A305="",COUNTIF('Injection Sales'!$B$2:$B$501,A305)=0),"",IFERROR(LOOKUP(2,1/(('Injection Sales'!$B$2:$B$501=A305)*('Injection Sales'!$A$2:$A$501=_xlfn.MAXIFS('Injection Sales'!$A$2:$A$501,'Injection Sales'!$B$2:$B$501,A305))),'Injection Sales'!$H$2:$H$501),""))</f>
        <v/>
      </c>
      <c r="I305" s="21" t="str">
        <f aca="true">IF(OR(A305="",D305=""),"",IF(TODAY()-D305&lt;=Settings!$B$7,"Active","Inactive"))</f>
        <v/>
      </c>
    </row>
    <row r="306" customFormat="false" ht="15" hidden="false" customHeight="false" outlineLevel="0" collapsed="false">
      <c r="A306" s="1"/>
      <c r="B306" s="22"/>
      <c r="C306" s="18" t="str">
        <f aca="false">IF(OR(A306="",COUNTIF('Injection Sales'!$B$2:$B$501,A306)+COUNTIF('Protein Sales'!$B$2:$B$501,A306)+COUNTIF('Diet Support'!$B$2:$B$501,A306)=0),"",MIN(IF(COUNTIF('Injection Sales'!$B$2:$B$501,A306),_xlfn.MINIFS('Injection Sales'!$A$2:$A$501,'Injection Sales'!$B$2:$B$501,A306),99999),IF(COUNTIF('Protein Sales'!$B$2:$B$501,A306),_xlfn.MINIFS('Protein Sales'!$A$2:$A$501,'Protein Sales'!$B$2:$B$501,A306),99999),IF(COUNTIF('Diet Support'!$B$2:$B$501,A306),_xlfn.MINIFS('Diet Support'!$A$2:$A$501,'Diet Support'!$B$2:$B$501,A306),99999)))</f>
        <v/>
      </c>
      <c r="D306" s="18" t="str">
        <f aca="false">IF(OR(A306="",COUNTIF('Injection Sales'!$B$2:$B$501,A306)+COUNTIF('Protein Sales'!$B$2:$B$501,A306)+COUNTIF('Diet Support'!$B$2:$B$501,A306)=0),"",MAX(_xlfn.MAXIFS('Injection Sales'!$A$2:$A$501,'Injection Sales'!$B$2:$B$501,A306),_xlfn.MAXIFS('Protein Sales'!$A$2:$A$501,'Protein Sales'!$B$2:$B$501,A306),_xlfn.MAXIFS('Diet Support'!$A$2:$A$501,'Diet Support'!$B$2:$B$501,A306)))</f>
        <v/>
      </c>
      <c r="E306" s="19" t="str">
        <f aca="false">IF(A306="","",COUNTIF('Injection Sales'!$B$2:$B$501,A306)+COUNTIF('Protein Sales'!$B$2:$B$501,A306)+COUNTIF('Diet Support'!$B$2:$B$501,A306))</f>
        <v/>
      </c>
      <c r="F306" s="20" t="str">
        <f aca="false">IF(A306="","",SUMIF('Injection Sales'!$B$2:$B$501,A306,'Injection Sales'!$G$2:$G$501)+SUMIF('Protein Sales'!$B$2:$B$501,A306,'Protein Sales'!$F$2:$F$501)+SUMIF('Diet Support'!$B$2:$B$501,A306,'Diet Support'!$E$2:$E$501))</f>
        <v/>
      </c>
      <c r="G306" s="21" t="str">
        <f aca="false">IF(OR(A306="",COUNTIF('Injection Sales'!$B$2:$B$501,A306)=0),"",IFERROR(LOOKUP(2,1/(('Injection Sales'!$B$2:$B$501=A306)*('Injection Sales'!$A$2:$A$501=_xlfn.MAXIFS('Injection Sales'!$A$2:$A$501,'Injection Sales'!$B$2:$B$501,A306))),'Injection Sales'!$E$2:$E$501),""))</f>
        <v/>
      </c>
      <c r="H306" s="21" t="str">
        <f aca="false">IF(OR(A306="",COUNTIF('Injection Sales'!$B$2:$B$501,A306)=0),"",IFERROR(LOOKUP(2,1/(('Injection Sales'!$B$2:$B$501=A306)*('Injection Sales'!$A$2:$A$501=_xlfn.MAXIFS('Injection Sales'!$A$2:$A$501,'Injection Sales'!$B$2:$B$501,A306))),'Injection Sales'!$H$2:$H$501),""))</f>
        <v/>
      </c>
      <c r="I306" s="21" t="str">
        <f aca="true">IF(OR(A306="",D306=""),"",IF(TODAY()-D306&lt;=Settings!$B$7,"Active","Inactive"))</f>
        <v/>
      </c>
    </row>
    <row r="307" customFormat="false" ht="15" hidden="false" customHeight="false" outlineLevel="0" collapsed="false">
      <c r="A307" s="1"/>
      <c r="B307" s="22"/>
      <c r="C307" s="18" t="str">
        <f aca="false">IF(OR(A307="",COUNTIF('Injection Sales'!$B$2:$B$501,A307)+COUNTIF('Protein Sales'!$B$2:$B$501,A307)+COUNTIF('Diet Support'!$B$2:$B$501,A307)=0),"",MIN(IF(COUNTIF('Injection Sales'!$B$2:$B$501,A307),_xlfn.MINIFS('Injection Sales'!$A$2:$A$501,'Injection Sales'!$B$2:$B$501,A307),99999),IF(COUNTIF('Protein Sales'!$B$2:$B$501,A307),_xlfn.MINIFS('Protein Sales'!$A$2:$A$501,'Protein Sales'!$B$2:$B$501,A307),99999),IF(COUNTIF('Diet Support'!$B$2:$B$501,A307),_xlfn.MINIFS('Diet Support'!$A$2:$A$501,'Diet Support'!$B$2:$B$501,A307),99999)))</f>
        <v/>
      </c>
      <c r="D307" s="18" t="str">
        <f aca="false">IF(OR(A307="",COUNTIF('Injection Sales'!$B$2:$B$501,A307)+COUNTIF('Protein Sales'!$B$2:$B$501,A307)+COUNTIF('Diet Support'!$B$2:$B$501,A307)=0),"",MAX(_xlfn.MAXIFS('Injection Sales'!$A$2:$A$501,'Injection Sales'!$B$2:$B$501,A307),_xlfn.MAXIFS('Protein Sales'!$A$2:$A$501,'Protein Sales'!$B$2:$B$501,A307),_xlfn.MAXIFS('Diet Support'!$A$2:$A$501,'Diet Support'!$B$2:$B$501,A307)))</f>
        <v/>
      </c>
      <c r="E307" s="19" t="str">
        <f aca="false">IF(A307="","",COUNTIF('Injection Sales'!$B$2:$B$501,A307)+COUNTIF('Protein Sales'!$B$2:$B$501,A307)+COUNTIF('Diet Support'!$B$2:$B$501,A307))</f>
        <v/>
      </c>
      <c r="F307" s="20" t="str">
        <f aca="false">IF(A307="","",SUMIF('Injection Sales'!$B$2:$B$501,A307,'Injection Sales'!$G$2:$G$501)+SUMIF('Protein Sales'!$B$2:$B$501,A307,'Protein Sales'!$F$2:$F$501)+SUMIF('Diet Support'!$B$2:$B$501,A307,'Diet Support'!$E$2:$E$501))</f>
        <v/>
      </c>
      <c r="G307" s="21" t="str">
        <f aca="false">IF(OR(A307="",COUNTIF('Injection Sales'!$B$2:$B$501,A307)=0),"",IFERROR(LOOKUP(2,1/(('Injection Sales'!$B$2:$B$501=A307)*('Injection Sales'!$A$2:$A$501=_xlfn.MAXIFS('Injection Sales'!$A$2:$A$501,'Injection Sales'!$B$2:$B$501,A307))),'Injection Sales'!$E$2:$E$501),""))</f>
        <v/>
      </c>
      <c r="H307" s="21" t="str">
        <f aca="false">IF(OR(A307="",COUNTIF('Injection Sales'!$B$2:$B$501,A307)=0),"",IFERROR(LOOKUP(2,1/(('Injection Sales'!$B$2:$B$501=A307)*('Injection Sales'!$A$2:$A$501=_xlfn.MAXIFS('Injection Sales'!$A$2:$A$501,'Injection Sales'!$B$2:$B$501,A307))),'Injection Sales'!$H$2:$H$501),""))</f>
        <v/>
      </c>
      <c r="I307" s="21" t="str">
        <f aca="true">IF(OR(A307="",D307=""),"",IF(TODAY()-D307&lt;=Settings!$B$7,"Active","Inactive"))</f>
        <v/>
      </c>
    </row>
    <row r="308" customFormat="false" ht="15" hidden="false" customHeight="false" outlineLevel="0" collapsed="false">
      <c r="A308" s="1"/>
      <c r="B308" s="22"/>
      <c r="C308" s="18" t="str">
        <f aca="false">IF(OR(A308="",COUNTIF('Injection Sales'!$B$2:$B$501,A308)+COUNTIF('Protein Sales'!$B$2:$B$501,A308)+COUNTIF('Diet Support'!$B$2:$B$501,A308)=0),"",MIN(IF(COUNTIF('Injection Sales'!$B$2:$B$501,A308),_xlfn.MINIFS('Injection Sales'!$A$2:$A$501,'Injection Sales'!$B$2:$B$501,A308),99999),IF(COUNTIF('Protein Sales'!$B$2:$B$501,A308),_xlfn.MINIFS('Protein Sales'!$A$2:$A$501,'Protein Sales'!$B$2:$B$501,A308),99999),IF(COUNTIF('Diet Support'!$B$2:$B$501,A308),_xlfn.MINIFS('Diet Support'!$A$2:$A$501,'Diet Support'!$B$2:$B$501,A308),99999)))</f>
        <v/>
      </c>
      <c r="D308" s="18" t="str">
        <f aca="false">IF(OR(A308="",COUNTIF('Injection Sales'!$B$2:$B$501,A308)+COUNTIF('Protein Sales'!$B$2:$B$501,A308)+COUNTIF('Diet Support'!$B$2:$B$501,A308)=0),"",MAX(_xlfn.MAXIFS('Injection Sales'!$A$2:$A$501,'Injection Sales'!$B$2:$B$501,A308),_xlfn.MAXIFS('Protein Sales'!$A$2:$A$501,'Protein Sales'!$B$2:$B$501,A308),_xlfn.MAXIFS('Diet Support'!$A$2:$A$501,'Diet Support'!$B$2:$B$501,A308)))</f>
        <v/>
      </c>
      <c r="E308" s="19" t="str">
        <f aca="false">IF(A308="","",COUNTIF('Injection Sales'!$B$2:$B$501,A308)+COUNTIF('Protein Sales'!$B$2:$B$501,A308)+COUNTIF('Diet Support'!$B$2:$B$501,A308))</f>
        <v/>
      </c>
      <c r="F308" s="20" t="str">
        <f aca="false">IF(A308="","",SUMIF('Injection Sales'!$B$2:$B$501,A308,'Injection Sales'!$G$2:$G$501)+SUMIF('Protein Sales'!$B$2:$B$501,A308,'Protein Sales'!$F$2:$F$501)+SUMIF('Diet Support'!$B$2:$B$501,A308,'Diet Support'!$E$2:$E$501))</f>
        <v/>
      </c>
      <c r="G308" s="21" t="str">
        <f aca="false">IF(OR(A308="",COUNTIF('Injection Sales'!$B$2:$B$501,A308)=0),"",IFERROR(LOOKUP(2,1/(('Injection Sales'!$B$2:$B$501=A308)*('Injection Sales'!$A$2:$A$501=_xlfn.MAXIFS('Injection Sales'!$A$2:$A$501,'Injection Sales'!$B$2:$B$501,A308))),'Injection Sales'!$E$2:$E$501),""))</f>
        <v/>
      </c>
      <c r="H308" s="21" t="str">
        <f aca="false">IF(OR(A308="",COUNTIF('Injection Sales'!$B$2:$B$501,A308)=0),"",IFERROR(LOOKUP(2,1/(('Injection Sales'!$B$2:$B$501=A308)*('Injection Sales'!$A$2:$A$501=_xlfn.MAXIFS('Injection Sales'!$A$2:$A$501,'Injection Sales'!$B$2:$B$501,A308))),'Injection Sales'!$H$2:$H$501),""))</f>
        <v/>
      </c>
      <c r="I308" s="21" t="str">
        <f aca="true">IF(OR(A308="",D308=""),"",IF(TODAY()-D308&lt;=Settings!$B$7,"Active","Inactive"))</f>
        <v/>
      </c>
    </row>
    <row r="309" customFormat="false" ht="15" hidden="false" customHeight="false" outlineLevel="0" collapsed="false">
      <c r="A309" s="1"/>
      <c r="B309" s="22"/>
      <c r="C309" s="18" t="str">
        <f aca="false">IF(OR(A309="",COUNTIF('Injection Sales'!$B$2:$B$501,A309)+COUNTIF('Protein Sales'!$B$2:$B$501,A309)+COUNTIF('Diet Support'!$B$2:$B$501,A309)=0),"",MIN(IF(COUNTIF('Injection Sales'!$B$2:$B$501,A309),_xlfn.MINIFS('Injection Sales'!$A$2:$A$501,'Injection Sales'!$B$2:$B$501,A309),99999),IF(COUNTIF('Protein Sales'!$B$2:$B$501,A309),_xlfn.MINIFS('Protein Sales'!$A$2:$A$501,'Protein Sales'!$B$2:$B$501,A309),99999),IF(COUNTIF('Diet Support'!$B$2:$B$501,A309),_xlfn.MINIFS('Diet Support'!$A$2:$A$501,'Diet Support'!$B$2:$B$501,A309),99999)))</f>
        <v/>
      </c>
      <c r="D309" s="18" t="str">
        <f aca="false">IF(OR(A309="",COUNTIF('Injection Sales'!$B$2:$B$501,A309)+COUNTIF('Protein Sales'!$B$2:$B$501,A309)+COUNTIF('Diet Support'!$B$2:$B$501,A309)=0),"",MAX(_xlfn.MAXIFS('Injection Sales'!$A$2:$A$501,'Injection Sales'!$B$2:$B$501,A309),_xlfn.MAXIFS('Protein Sales'!$A$2:$A$501,'Protein Sales'!$B$2:$B$501,A309),_xlfn.MAXIFS('Diet Support'!$A$2:$A$501,'Diet Support'!$B$2:$B$501,A309)))</f>
        <v/>
      </c>
      <c r="E309" s="19" t="str">
        <f aca="false">IF(A309="","",COUNTIF('Injection Sales'!$B$2:$B$501,A309)+COUNTIF('Protein Sales'!$B$2:$B$501,A309)+COUNTIF('Diet Support'!$B$2:$B$501,A309))</f>
        <v/>
      </c>
      <c r="F309" s="20" t="str">
        <f aca="false">IF(A309="","",SUMIF('Injection Sales'!$B$2:$B$501,A309,'Injection Sales'!$G$2:$G$501)+SUMIF('Protein Sales'!$B$2:$B$501,A309,'Protein Sales'!$F$2:$F$501)+SUMIF('Diet Support'!$B$2:$B$501,A309,'Diet Support'!$E$2:$E$501))</f>
        <v/>
      </c>
      <c r="G309" s="21" t="str">
        <f aca="false">IF(OR(A309="",COUNTIF('Injection Sales'!$B$2:$B$501,A309)=0),"",IFERROR(LOOKUP(2,1/(('Injection Sales'!$B$2:$B$501=A309)*('Injection Sales'!$A$2:$A$501=_xlfn.MAXIFS('Injection Sales'!$A$2:$A$501,'Injection Sales'!$B$2:$B$501,A309))),'Injection Sales'!$E$2:$E$501),""))</f>
        <v/>
      </c>
      <c r="H309" s="21" t="str">
        <f aca="false">IF(OR(A309="",COUNTIF('Injection Sales'!$B$2:$B$501,A309)=0),"",IFERROR(LOOKUP(2,1/(('Injection Sales'!$B$2:$B$501=A309)*('Injection Sales'!$A$2:$A$501=_xlfn.MAXIFS('Injection Sales'!$A$2:$A$501,'Injection Sales'!$B$2:$B$501,A309))),'Injection Sales'!$H$2:$H$501),""))</f>
        <v/>
      </c>
      <c r="I309" s="21" t="str">
        <f aca="true">IF(OR(A309="",D309=""),"",IF(TODAY()-D309&lt;=Settings!$B$7,"Active","Inactive"))</f>
        <v/>
      </c>
    </row>
    <row r="310" customFormat="false" ht="15" hidden="false" customHeight="false" outlineLevel="0" collapsed="false">
      <c r="A310" s="1"/>
      <c r="B310" s="22"/>
      <c r="C310" s="18" t="str">
        <f aca="false">IF(OR(A310="",COUNTIF('Injection Sales'!$B$2:$B$501,A310)+COUNTIF('Protein Sales'!$B$2:$B$501,A310)+COUNTIF('Diet Support'!$B$2:$B$501,A310)=0),"",MIN(IF(COUNTIF('Injection Sales'!$B$2:$B$501,A310),_xlfn.MINIFS('Injection Sales'!$A$2:$A$501,'Injection Sales'!$B$2:$B$501,A310),99999),IF(COUNTIF('Protein Sales'!$B$2:$B$501,A310),_xlfn.MINIFS('Protein Sales'!$A$2:$A$501,'Protein Sales'!$B$2:$B$501,A310),99999),IF(COUNTIF('Diet Support'!$B$2:$B$501,A310),_xlfn.MINIFS('Diet Support'!$A$2:$A$501,'Diet Support'!$B$2:$B$501,A310),99999)))</f>
        <v/>
      </c>
      <c r="D310" s="18" t="str">
        <f aca="false">IF(OR(A310="",COUNTIF('Injection Sales'!$B$2:$B$501,A310)+COUNTIF('Protein Sales'!$B$2:$B$501,A310)+COUNTIF('Diet Support'!$B$2:$B$501,A310)=0),"",MAX(_xlfn.MAXIFS('Injection Sales'!$A$2:$A$501,'Injection Sales'!$B$2:$B$501,A310),_xlfn.MAXIFS('Protein Sales'!$A$2:$A$501,'Protein Sales'!$B$2:$B$501,A310),_xlfn.MAXIFS('Diet Support'!$A$2:$A$501,'Diet Support'!$B$2:$B$501,A310)))</f>
        <v/>
      </c>
      <c r="E310" s="19" t="str">
        <f aca="false">IF(A310="","",COUNTIF('Injection Sales'!$B$2:$B$501,A310)+COUNTIF('Protein Sales'!$B$2:$B$501,A310)+COUNTIF('Diet Support'!$B$2:$B$501,A310))</f>
        <v/>
      </c>
      <c r="F310" s="20" t="str">
        <f aca="false">IF(A310="","",SUMIF('Injection Sales'!$B$2:$B$501,A310,'Injection Sales'!$G$2:$G$501)+SUMIF('Protein Sales'!$B$2:$B$501,A310,'Protein Sales'!$F$2:$F$501)+SUMIF('Diet Support'!$B$2:$B$501,A310,'Diet Support'!$E$2:$E$501))</f>
        <v/>
      </c>
      <c r="G310" s="21" t="str">
        <f aca="false">IF(OR(A310="",COUNTIF('Injection Sales'!$B$2:$B$501,A310)=0),"",IFERROR(LOOKUP(2,1/(('Injection Sales'!$B$2:$B$501=A310)*('Injection Sales'!$A$2:$A$501=_xlfn.MAXIFS('Injection Sales'!$A$2:$A$501,'Injection Sales'!$B$2:$B$501,A310))),'Injection Sales'!$E$2:$E$501),""))</f>
        <v/>
      </c>
      <c r="H310" s="21" t="str">
        <f aca="false">IF(OR(A310="",COUNTIF('Injection Sales'!$B$2:$B$501,A310)=0),"",IFERROR(LOOKUP(2,1/(('Injection Sales'!$B$2:$B$501=A310)*('Injection Sales'!$A$2:$A$501=_xlfn.MAXIFS('Injection Sales'!$A$2:$A$501,'Injection Sales'!$B$2:$B$501,A310))),'Injection Sales'!$H$2:$H$501),""))</f>
        <v/>
      </c>
      <c r="I310" s="21" t="str">
        <f aca="true">IF(OR(A310="",D310=""),"",IF(TODAY()-D310&lt;=Settings!$B$7,"Active","Inactive"))</f>
        <v/>
      </c>
    </row>
    <row r="311" customFormat="false" ht="15" hidden="false" customHeight="false" outlineLevel="0" collapsed="false">
      <c r="A311" s="1"/>
      <c r="B311" s="22"/>
      <c r="C311" s="18" t="str">
        <f aca="false">IF(OR(A311="",COUNTIF('Injection Sales'!$B$2:$B$501,A311)+COUNTIF('Protein Sales'!$B$2:$B$501,A311)+COUNTIF('Diet Support'!$B$2:$B$501,A311)=0),"",MIN(IF(COUNTIF('Injection Sales'!$B$2:$B$501,A311),_xlfn.MINIFS('Injection Sales'!$A$2:$A$501,'Injection Sales'!$B$2:$B$501,A311),99999),IF(COUNTIF('Protein Sales'!$B$2:$B$501,A311),_xlfn.MINIFS('Protein Sales'!$A$2:$A$501,'Protein Sales'!$B$2:$B$501,A311),99999),IF(COUNTIF('Diet Support'!$B$2:$B$501,A311),_xlfn.MINIFS('Diet Support'!$A$2:$A$501,'Diet Support'!$B$2:$B$501,A311),99999)))</f>
        <v/>
      </c>
      <c r="D311" s="18" t="str">
        <f aca="false">IF(OR(A311="",COUNTIF('Injection Sales'!$B$2:$B$501,A311)+COUNTIF('Protein Sales'!$B$2:$B$501,A311)+COUNTIF('Diet Support'!$B$2:$B$501,A311)=0),"",MAX(_xlfn.MAXIFS('Injection Sales'!$A$2:$A$501,'Injection Sales'!$B$2:$B$501,A311),_xlfn.MAXIFS('Protein Sales'!$A$2:$A$501,'Protein Sales'!$B$2:$B$501,A311),_xlfn.MAXIFS('Diet Support'!$A$2:$A$501,'Diet Support'!$B$2:$B$501,A311)))</f>
        <v/>
      </c>
      <c r="E311" s="19" t="str">
        <f aca="false">IF(A311="","",COUNTIF('Injection Sales'!$B$2:$B$501,A311)+COUNTIF('Protein Sales'!$B$2:$B$501,A311)+COUNTIF('Diet Support'!$B$2:$B$501,A311))</f>
        <v/>
      </c>
      <c r="F311" s="20" t="str">
        <f aca="false">IF(A311="","",SUMIF('Injection Sales'!$B$2:$B$501,A311,'Injection Sales'!$G$2:$G$501)+SUMIF('Protein Sales'!$B$2:$B$501,A311,'Protein Sales'!$F$2:$F$501)+SUMIF('Diet Support'!$B$2:$B$501,A311,'Diet Support'!$E$2:$E$501))</f>
        <v/>
      </c>
      <c r="G311" s="21" t="str">
        <f aca="false">IF(OR(A311="",COUNTIF('Injection Sales'!$B$2:$B$501,A311)=0),"",IFERROR(LOOKUP(2,1/(('Injection Sales'!$B$2:$B$501=A311)*('Injection Sales'!$A$2:$A$501=_xlfn.MAXIFS('Injection Sales'!$A$2:$A$501,'Injection Sales'!$B$2:$B$501,A311))),'Injection Sales'!$E$2:$E$501),""))</f>
        <v/>
      </c>
      <c r="H311" s="21" t="str">
        <f aca="false">IF(OR(A311="",COUNTIF('Injection Sales'!$B$2:$B$501,A311)=0),"",IFERROR(LOOKUP(2,1/(('Injection Sales'!$B$2:$B$501=A311)*('Injection Sales'!$A$2:$A$501=_xlfn.MAXIFS('Injection Sales'!$A$2:$A$501,'Injection Sales'!$B$2:$B$501,A311))),'Injection Sales'!$H$2:$H$501),""))</f>
        <v/>
      </c>
      <c r="I311" s="21" t="str">
        <f aca="true">IF(OR(A311="",D311=""),"",IF(TODAY()-D311&lt;=Settings!$B$7,"Active","Inactive"))</f>
        <v/>
      </c>
    </row>
    <row r="312" customFormat="false" ht="15" hidden="false" customHeight="false" outlineLevel="0" collapsed="false">
      <c r="A312" s="1"/>
      <c r="B312" s="22"/>
      <c r="C312" s="18" t="str">
        <f aca="false">IF(OR(A312="",COUNTIF('Injection Sales'!$B$2:$B$501,A312)+COUNTIF('Protein Sales'!$B$2:$B$501,A312)+COUNTIF('Diet Support'!$B$2:$B$501,A312)=0),"",MIN(IF(COUNTIF('Injection Sales'!$B$2:$B$501,A312),_xlfn.MINIFS('Injection Sales'!$A$2:$A$501,'Injection Sales'!$B$2:$B$501,A312),99999),IF(COUNTIF('Protein Sales'!$B$2:$B$501,A312),_xlfn.MINIFS('Protein Sales'!$A$2:$A$501,'Protein Sales'!$B$2:$B$501,A312),99999),IF(COUNTIF('Diet Support'!$B$2:$B$501,A312),_xlfn.MINIFS('Diet Support'!$A$2:$A$501,'Diet Support'!$B$2:$B$501,A312),99999)))</f>
        <v/>
      </c>
      <c r="D312" s="18" t="str">
        <f aca="false">IF(OR(A312="",COUNTIF('Injection Sales'!$B$2:$B$501,A312)+COUNTIF('Protein Sales'!$B$2:$B$501,A312)+COUNTIF('Diet Support'!$B$2:$B$501,A312)=0),"",MAX(_xlfn.MAXIFS('Injection Sales'!$A$2:$A$501,'Injection Sales'!$B$2:$B$501,A312),_xlfn.MAXIFS('Protein Sales'!$A$2:$A$501,'Protein Sales'!$B$2:$B$501,A312),_xlfn.MAXIFS('Diet Support'!$A$2:$A$501,'Diet Support'!$B$2:$B$501,A312)))</f>
        <v/>
      </c>
      <c r="E312" s="19" t="str">
        <f aca="false">IF(A312="","",COUNTIF('Injection Sales'!$B$2:$B$501,A312)+COUNTIF('Protein Sales'!$B$2:$B$501,A312)+COUNTIF('Diet Support'!$B$2:$B$501,A312))</f>
        <v/>
      </c>
      <c r="F312" s="20" t="str">
        <f aca="false">IF(A312="","",SUMIF('Injection Sales'!$B$2:$B$501,A312,'Injection Sales'!$G$2:$G$501)+SUMIF('Protein Sales'!$B$2:$B$501,A312,'Protein Sales'!$F$2:$F$501)+SUMIF('Diet Support'!$B$2:$B$501,A312,'Diet Support'!$E$2:$E$501))</f>
        <v/>
      </c>
      <c r="G312" s="21" t="str">
        <f aca="false">IF(OR(A312="",COUNTIF('Injection Sales'!$B$2:$B$501,A312)=0),"",IFERROR(LOOKUP(2,1/(('Injection Sales'!$B$2:$B$501=A312)*('Injection Sales'!$A$2:$A$501=_xlfn.MAXIFS('Injection Sales'!$A$2:$A$501,'Injection Sales'!$B$2:$B$501,A312))),'Injection Sales'!$E$2:$E$501),""))</f>
        <v/>
      </c>
      <c r="H312" s="21" t="str">
        <f aca="false">IF(OR(A312="",COUNTIF('Injection Sales'!$B$2:$B$501,A312)=0),"",IFERROR(LOOKUP(2,1/(('Injection Sales'!$B$2:$B$501=A312)*('Injection Sales'!$A$2:$A$501=_xlfn.MAXIFS('Injection Sales'!$A$2:$A$501,'Injection Sales'!$B$2:$B$501,A312))),'Injection Sales'!$H$2:$H$501),""))</f>
        <v/>
      </c>
      <c r="I312" s="21" t="str">
        <f aca="true">IF(OR(A312="",D312=""),"",IF(TODAY()-D312&lt;=Settings!$B$7,"Active","Inactive"))</f>
        <v/>
      </c>
    </row>
    <row r="313" customFormat="false" ht="15" hidden="false" customHeight="false" outlineLevel="0" collapsed="false">
      <c r="A313" s="1"/>
      <c r="B313" s="22"/>
      <c r="C313" s="18" t="str">
        <f aca="false">IF(OR(A313="",COUNTIF('Injection Sales'!$B$2:$B$501,A313)+COUNTIF('Protein Sales'!$B$2:$B$501,A313)+COUNTIF('Diet Support'!$B$2:$B$501,A313)=0),"",MIN(IF(COUNTIF('Injection Sales'!$B$2:$B$501,A313),_xlfn.MINIFS('Injection Sales'!$A$2:$A$501,'Injection Sales'!$B$2:$B$501,A313),99999),IF(COUNTIF('Protein Sales'!$B$2:$B$501,A313),_xlfn.MINIFS('Protein Sales'!$A$2:$A$501,'Protein Sales'!$B$2:$B$501,A313),99999),IF(COUNTIF('Diet Support'!$B$2:$B$501,A313),_xlfn.MINIFS('Diet Support'!$A$2:$A$501,'Diet Support'!$B$2:$B$501,A313),99999)))</f>
        <v/>
      </c>
      <c r="D313" s="18" t="str">
        <f aca="false">IF(OR(A313="",COUNTIF('Injection Sales'!$B$2:$B$501,A313)+COUNTIF('Protein Sales'!$B$2:$B$501,A313)+COUNTIF('Diet Support'!$B$2:$B$501,A313)=0),"",MAX(_xlfn.MAXIFS('Injection Sales'!$A$2:$A$501,'Injection Sales'!$B$2:$B$501,A313),_xlfn.MAXIFS('Protein Sales'!$A$2:$A$501,'Protein Sales'!$B$2:$B$501,A313),_xlfn.MAXIFS('Diet Support'!$A$2:$A$501,'Diet Support'!$B$2:$B$501,A313)))</f>
        <v/>
      </c>
      <c r="E313" s="19" t="str">
        <f aca="false">IF(A313="","",COUNTIF('Injection Sales'!$B$2:$B$501,A313)+COUNTIF('Protein Sales'!$B$2:$B$501,A313)+COUNTIF('Diet Support'!$B$2:$B$501,A313))</f>
        <v/>
      </c>
      <c r="F313" s="20" t="str">
        <f aca="false">IF(A313="","",SUMIF('Injection Sales'!$B$2:$B$501,A313,'Injection Sales'!$G$2:$G$501)+SUMIF('Protein Sales'!$B$2:$B$501,A313,'Protein Sales'!$F$2:$F$501)+SUMIF('Diet Support'!$B$2:$B$501,A313,'Diet Support'!$E$2:$E$501))</f>
        <v/>
      </c>
      <c r="G313" s="21" t="str">
        <f aca="false">IF(OR(A313="",COUNTIF('Injection Sales'!$B$2:$B$501,A313)=0),"",IFERROR(LOOKUP(2,1/(('Injection Sales'!$B$2:$B$501=A313)*('Injection Sales'!$A$2:$A$501=_xlfn.MAXIFS('Injection Sales'!$A$2:$A$501,'Injection Sales'!$B$2:$B$501,A313))),'Injection Sales'!$E$2:$E$501),""))</f>
        <v/>
      </c>
      <c r="H313" s="21" t="str">
        <f aca="false">IF(OR(A313="",COUNTIF('Injection Sales'!$B$2:$B$501,A313)=0),"",IFERROR(LOOKUP(2,1/(('Injection Sales'!$B$2:$B$501=A313)*('Injection Sales'!$A$2:$A$501=_xlfn.MAXIFS('Injection Sales'!$A$2:$A$501,'Injection Sales'!$B$2:$B$501,A313))),'Injection Sales'!$H$2:$H$501),""))</f>
        <v/>
      </c>
      <c r="I313" s="21" t="str">
        <f aca="true">IF(OR(A313="",D313=""),"",IF(TODAY()-D313&lt;=Settings!$B$7,"Active","Inactive"))</f>
        <v/>
      </c>
    </row>
    <row r="314" customFormat="false" ht="15" hidden="false" customHeight="false" outlineLevel="0" collapsed="false">
      <c r="A314" s="1"/>
      <c r="B314" s="22"/>
      <c r="C314" s="18" t="str">
        <f aca="false">IF(OR(A314="",COUNTIF('Injection Sales'!$B$2:$B$501,A314)+COUNTIF('Protein Sales'!$B$2:$B$501,A314)+COUNTIF('Diet Support'!$B$2:$B$501,A314)=0),"",MIN(IF(COUNTIF('Injection Sales'!$B$2:$B$501,A314),_xlfn.MINIFS('Injection Sales'!$A$2:$A$501,'Injection Sales'!$B$2:$B$501,A314),99999),IF(COUNTIF('Protein Sales'!$B$2:$B$501,A314),_xlfn.MINIFS('Protein Sales'!$A$2:$A$501,'Protein Sales'!$B$2:$B$501,A314),99999),IF(COUNTIF('Diet Support'!$B$2:$B$501,A314),_xlfn.MINIFS('Diet Support'!$A$2:$A$501,'Diet Support'!$B$2:$B$501,A314),99999)))</f>
        <v/>
      </c>
      <c r="D314" s="18" t="str">
        <f aca="false">IF(OR(A314="",COUNTIF('Injection Sales'!$B$2:$B$501,A314)+COUNTIF('Protein Sales'!$B$2:$B$501,A314)+COUNTIF('Diet Support'!$B$2:$B$501,A314)=0),"",MAX(_xlfn.MAXIFS('Injection Sales'!$A$2:$A$501,'Injection Sales'!$B$2:$B$501,A314),_xlfn.MAXIFS('Protein Sales'!$A$2:$A$501,'Protein Sales'!$B$2:$B$501,A314),_xlfn.MAXIFS('Diet Support'!$A$2:$A$501,'Diet Support'!$B$2:$B$501,A314)))</f>
        <v/>
      </c>
      <c r="E314" s="19" t="str">
        <f aca="false">IF(A314="","",COUNTIF('Injection Sales'!$B$2:$B$501,A314)+COUNTIF('Protein Sales'!$B$2:$B$501,A314)+COUNTIF('Diet Support'!$B$2:$B$501,A314))</f>
        <v/>
      </c>
      <c r="F314" s="20" t="str">
        <f aca="false">IF(A314="","",SUMIF('Injection Sales'!$B$2:$B$501,A314,'Injection Sales'!$G$2:$G$501)+SUMIF('Protein Sales'!$B$2:$B$501,A314,'Protein Sales'!$F$2:$F$501)+SUMIF('Diet Support'!$B$2:$B$501,A314,'Diet Support'!$E$2:$E$501))</f>
        <v/>
      </c>
      <c r="G314" s="21" t="str">
        <f aca="false">IF(OR(A314="",COUNTIF('Injection Sales'!$B$2:$B$501,A314)=0),"",IFERROR(LOOKUP(2,1/(('Injection Sales'!$B$2:$B$501=A314)*('Injection Sales'!$A$2:$A$501=_xlfn.MAXIFS('Injection Sales'!$A$2:$A$501,'Injection Sales'!$B$2:$B$501,A314))),'Injection Sales'!$E$2:$E$501),""))</f>
        <v/>
      </c>
      <c r="H314" s="21" t="str">
        <f aca="false">IF(OR(A314="",COUNTIF('Injection Sales'!$B$2:$B$501,A314)=0),"",IFERROR(LOOKUP(2,1/(('Injection Sales'!$B$2:$B$501=A314)*('Injection Sales'!$A$2:$A$501=_xlfn.MAXIFS('Injection Sales'!$A$2:$A$501,'Injection Sales'!$B$2:$B$501,A314))),'Injection Sales'!$H$2:$H$501),""))</f>
        <v/>
      </c>
      <c r="I314" s="21" t="str">
        <f aca="true">IF(OR(A314="",D314=""),"",IF(TODAY()-D314&lt;=Settings!$B$7,"Active","Inactive"))</f>
        <v/>
      </c>
    </row>
    <row r="315" customFormat="false" ht="15" hidden="false" customHeight="false" outlineLevel="0" collapsed="false">
      <c r="A315" s="1"/>
      <c r="B315" s="22"/>
      <c r="C315" s="18" t="str">
        <f aca="false">IF(OR(A315="",COUNTIF('Injection Sales'!$B$2:$B$501,A315)+COUNTIF('Protein Sales'!$B$2:$B$501,A315)+COUNTIF('Diet Support'!$B$2:$B$501,A315)=0),"",MIN(IF(COUNTIF('Injection Sales'!$B$2:$B$501,A315),_xlfn.MINIFS('Injection Sales'!$A$2:$A$501,'Injection Sales'!$B$2:$B$501,A315),99999),IF(COUNTIF('Protein Sales'!$B$2:$B$501,A315),_xlfn.MINIFS('Protein Sales'!$A$2:$A$501,'Protein Sales'!$B$2:$B$501,A315),99999),IF(COUNTIF('Diet Support'!$B$2:$B$501,A315),_xlfn.MINIFS('Diet Support'!$A$2:$A$501,'Diet Support'!$B$2:$B$501,A315),99999)))</f>
        <v/>
      </c>
      <c r="D315" s="18" t="str">
        <f aca="false">IF(OR(A315="",COUNTIF('Injection Sales'!$B$2:$B$501,A315)+COUNTIF('Protein Sales'!$B$2:$B$501,A315)+COUNTIF('Diet Support'!$B$2:$B$501,A315)=0),"",MAX(_xlfn.MAXIFS('Injection Sales'!$A$2:$A$501,'Injection Sales'!$B$2:$B$501,A315),_xlfn.MAXIFS('Protein Sales'!$A$2:$A$501,'Protein Sales'!$B$2:$B$501,A315),_xlfn.MAXIFS('Diet Support'!$A$2:$A$501,'Diet Support'!$B$2:$B$501,A315)))</f>
        <v/>
      </c>
      <c r="E315" s="19" t="str">
        <f aca="false">IF(A315="","",COUNTIF('Injection Sales'!$B$2:$B$501,A315)+COUNTIF('Protein Sales'!$B$2:$B$501,A315)+COUNTIF('Diet Support'!$B$2:$B$501,A315))</f>
        <v/>
      </c>
      <c r="F315" s="20" t="str">
        <f aca="false">IF(A315="","",SUMIF('Injection Sales'!$B$2:$B$501,A315,'Injection Sales'!$G$2:$G$501)+SUMIF('Protein Sales'!$B$2:$B$501,A315,'Protein Sales'!$F$2:$F$501)+SUMIF('Diet Support'!$B$2:$B$501,A315,'Diet Support'!$E$2:$E$501))</f>
        <v/>
      </c>
      <c r="G315" s="21" t="str">
        <f aca="false">IF(OR(A315="",COUNTIF('Injection Sales'!$B$2:$B$501,A315)=0),"",IFERROR(LOOKUP(2,1/(('Injection Sales'!$B$2:$B$501=A315)*('Injection Sales'!$A$2:$A$501=_xlfn.MAXIFS('Injection Sales'!$A$2:$A$501,'Injection Sales'!$B$2:$B$501,A315))),'Injection Sales'!$E$2:$E$501),""))</f>
        <v/>
      </c>
      <c r="H315" s="21" t="str">
        <f aca="false">IF(OR(A315="",COUNTIF('Injection Sales'!$B$2:$B$501,A315)=0),"",IFERROR(LOOKUP(2,1/(('Injection Sales'!$B$2:$B$501=A315)*('Injection Sales'!$A$2:$A$501=_xlfn.MAXIFS('Injection Sales'!$A$2:$A$501,'Injection Sales'!$B$2:$B$501,A315))),'Injection Sales'!$H$2:$H$501),""))</f>
        <v/>
      </c>
      <c r="I315" s="21" t="str">
        <f aca="true">IF(OR(A315="",D315=""),"",IF(TODAY()-D315&lt;=Settings!$B$7,"Active","Inactive"))</f>
        <v/>
      </c>
    </row>
    <row r="316" customFormat="false" ht="15" hidden="false" customHeight="false" outlineLevel="0" collapsed="false">
      <c r="A316" s="1"/>
      <c r="B316" s="22"/>
      <c r="C316" s="18" t="str">
        <f aca="false">IF(OR(A316="",COUNTIF('Injection Sales'!$B$2:$B$501,A316)+COUNTIF('Protein Sales'!$B$2:$B$501,A316)+COUNTIF('Diet Support'!$B$2:$B$501,A316)=0),"",MIN(IF(COUNTIF('Injection Sales'!$B$2:$B$501,A316),_xlfn.MINIFS('Injection Sales'!$A$2:$A$501,'Injection Sales'!$B$2:$B$501,A316),99999),IF(COUNTIF('Protein Sales'!$B$2:$B$501,A316),_xlfn.MINIFS('Protein Sales'!$A$2:$A$501,'Protein Sales'!$B$2:$B$501,A316),99999),IF(COUNTIF('Diet Support'!$B$2:$B$501,A316),_xlfn.MINIFS('Diet Support'!$A$2:$A$501,'Diet Support'!$B$2:$B$501,A316),99999)))</f>
        <v/>
      </c>
      <c r="D316" s="18" t="str">
        <f aca="false">IF(OR(A316="",COUNTIF('Injection Sales'!$B$2:$B$501,A316)+COUNTIF('Protein Sales'!$B$2:$B$501,A316)+COUNTIF('Diet Support'!$B$2:$B$501,A316)=0),"",MAX(_xlfn.MAXIFS('Injection Sales'!$A$2:$A$501,'Injection Sales'!$B$2:$B$501,A316),_xlfn.MAXIFS('Protein Sales'!$A$2:$A$501,'Protein Sales'!$B$2:$B$501,A316),_xlfn.MAXIFS('Diet Support'!$A$2:$A$501,'Diet Support'!$B$2:$B$501,A316)))</f>
        <v/>
      </c>
      <c r="E316" s="19" t="str">
        <f aca="false">IF(A316="","",COUNTIF('Injection Sales'!$B$2:$B$501,A316)+COUNTIF('Protein Sales'!$B$2:$B$501,A316)+COUNTIF('Diet Support'!$B$2:$B$501,A316))</f>
        <v/>
      </c>
      <c r="F316" s="20" t="str">
        <f aca="false">IF(A316="","",SUMIF('Injection Sales'!$B$2:$B$501,A316,'Injection Sales'!$G$2:$G$501)+SUMIF('Protein Sales'!$B$2:$B$501,A316,'Protein Sales'!$F$2:$F$501)+SUMIF('Diet Support'!$B$2:$B$501,A316,'Diet Support'!$E$2:$E$501))</f>
        <v/>
      </c>
      <c r="G316" s="21" t="str">
        <f aca="false">IF(OR(A316="",COUNTIF('Injection Sales'!$B$2:$B$501,A316)=0),"",IFERROR(LOOKUP(2,1/(('Injection Sales'!$B$2:$B$501=A316)*('Injection Sales'!$A$2:$A$501=_xlfn.MAXIFS('Injection Sales'!$A$2:$A$501,'Injection Sales'!$B$2:$B$501,A316))),'Injection Sales'!$E$2:$E$501),""))</f>
        <v/>
      </c>
      <c r="H316" s="21" t="str">
        <f aca="false">IF(OR(A316="",COUNTIF('Injection Sales'!$B$2:$B$501,A316)=0),"",IFERROR(LOOKUP(2,1/(('Injection Sales'!$B$2:$B$501=A316)*('Injection Sales'!$A$2:$A$501=_xlfn.MAXIFS('Injection Sales'!$A$2:$A$501,'Injection Sales'!$B$2:$B$501,A316))),'Injection Sales'!$H$2:$H$501),""))</f>
        <v/>
      </c>
      <c r="I316" s="21" t="str">
        <f aca="true">IF(OR(A316="",D316=""),"",IF(TODAY()-D316&lt;=Settings!$B$7,"Active","Inactive"))</f>
        <v/>
      </c>
    </row>
    <row r="317" customFormat="false" ht="15" hidden="false" customHeight="false" outlineLevel="0" collapsed="false">
      <c r="A317" s="1"/>
      <c r="B317" s="22"/>
      <c r="C317" s="18" t="str">
        <f aca="false">IF(OR(A317="",COUNTIF('Injection Sales'!$B$2:$B$501,A317)+COUNTIF('Protein Sales'!$B$2:$B$501,A317)+COUNTIF('Diet Support'!$B$2:$B$501,A317)=0),"",MIN(IF(COUNTIF('Injection Sales'!$B$2:$B$501,A317),_xlfn.MINIFS('Injection Sales'!$A$2:$A$501,'Injection Sales'!$B$2:$B$501,A317),99999),IF(COUNTIF('Protein Sales'!$B$2:$B$501,A317),_xlfn.MINIFS('Protein Sales'!$A$2:$A$501,'Protein Sales'!$B$2:$B$501,A317),99999),IF(COUNTIF('Diet Support'!$B$2:$B$501,A317),_xlfn.MINIFS('Diet Support'!$A$2:$A$501,'Diet Support'!$B$2:$B$501,A317),99999)))</f>
        <v/>
      </c>
      <c r="D317" s="18" t="str">
        <f aca="false">IF(OR(A317="",COUNTIF('Injection Sales'!$B$2:$B$501,A317)+COUNTIF('Protein Sales'!$B$2:$B$501,A317)+COUNTIF('Diet Support'!$B$2:$B$501,A317)=0),"",MAX(_xlfn.MAXIFS('Injection Sales'!$A$2:$A$501,'Injection Sales'!$B$2:$B$501,A317),_xlfn.MAXIFS('Protein Sales'!$A$2:$A$501,'Protein Sales'!$B$2:$B$501,A317),_xlfn.MAXIFS('Diet Support'!$A$2:$A$501,'Diet Support'!$B$2:$B$501,A317)))</f>
        <v/>
      </c>
      <c r="E317" s="19" t="str">
        <f aca="false">IF(A317="","",COUNTIF('Injection Sales'!$B$2:$B$501,A317)+COUNTIF('Protein Sales'!$B$2:$B$501,A317)+COUNTIF('Diet Support'!$B$2:$B$501,A317))</f>
        <v/>
      </c>
      <c r="F317" s="20" t="str">
        <f aca="false">IF(A317="","",SUMIF('Injection Sales'!$B$2:$B$501,A317,'Injection Sales'!$G$2:$G$501)+SUMIF('Protein Sales'!$B$2:$B$501,A317,'Protein Sales'!$F$2:$F$501)+SUMIF('Diet Support'!$B$2:$B$501,A317,'Diet Support'!$E$2:$E$501))</f>
        <v/>
      </c>
      <c r="G317" s="21" t="str">
        <f aca="false">IF(OR(A317="",COUNTIF('Injection Sales'!$B$2:$B$501,A317)=0),"",IFERROR(LOOKUP(2,1/(('Injection Sales'!$B$2:$B$501=A317)*('Injection Sales'!$A$2:$A$501=_xlfn.MAXIFS('Injection Sales'!$A$2:$A$501,'Injection Sales'!$B$2:$B$501,A317))),'Injection Sales'!$E$2:$E$501),""))</f>
        <v/>
      </c>
      <c r="H317" s="21" t="str">
        <f aca="false">IF(OR(A317="",COUNTIF('Injection Sales'!$B$2:$B$501,A317)=0),"",IFERROR(LOOKUP(2,1/(('Injection Sales'!$B$2:$B$501=A317)*('Injection Sales'!$A$2:$A$501=_xlfn.MAXIFS('Injection Sales'!$A$2:$A$501,'Injection Sales'!$B$2:$B$501,A317))),'Injection Sales'!$H$2:$H$501),""))</f>
        <v/>
      </c>
      <c r="I317" s="21" t="str">
        <f aca="true">IF(OR(A317="",D317=""),"",IF(TODAY()-D317&lt;=Settings!$B$7,"Active","Inactive"))</f>
        <v/>
      </c>
    </row>
    <row r="318" customFormat="false" ht="15" hidden="false" customHeight="false" outlineLevel="0" collapsed="false">
      <c r="A318" s="1"/>
      <c r="B318" s="22"/>
      <c r="C318" s="18" t="str">
        <f aca="false">IF(OR(A318="",COUNTIF('Injection Sales'!$B$2:$B$501,A318)+COUNTIF('Protein Sales'!$B$2:$B$501,A318)+COUNTIF('Diet Support'!$B$2:$B$501,A318)=0),"",MIN(IF(COUNTIF('Injection Sales'!$B$2:$B$501,A318),_xlfn.MINIFS('Injection Sales'!$A$2:$A$501,'Injection Sales'!$B$2:$B$501,A318),99999),IF(COUNTIF('Protein Sales'!$B$2:$B$501,A318),_xlfn.MINIFS('Protein Sales'!$A$2:$A$501,'Protein Sales'!$B$2:$B$501,A318),99999),IF(COUNTIF('Diet Support'!$B$2:$B$501,A318),_xlfn.MINIFS('Diet Support'!$A$2:$A$501,'Diet Support'!$B$2:$B$501,A318),99999)))</f>
        <v/>
      </c>
      <c r="D318" s="18" t="str">
        <f aca="false">IF(OR(A318="",COUNTIF('Injection Sales'!$B$2:$B$501,A318)+COUNTIF('Protein Sales'!$B$2:$B$501,A318)+COUNTIF('Diet Support'!$B$2:$B$501,A318)=0),"",MAX(_xlfn.MAXIFS('Injection Sales'!$A$2:$A$501,'Injection Sales'!$B$2:$B$501,A318),_xlfn.MAXIFS('Protein Sales'!$A$2:$A$501,'Protein Sales'!$B$2:$B$501,A318),_xlfn.MAXIFS('Diet Support'!$A$2:$A$501,'Diet Support'!$B$2:$B$501,A318)))</f>
        <v/>
      </c>
      <c r="E318" s="19" t="str">
        <f aca="false">IF(A318="","",COUNTIF('Injection Sales'!$B$2:$B$501,A318)+COUNTIF('Protein Sales'!$B$2:$B$501,A318)+COUNTIF('Diet Support'!$B$2:$B$501,A318))</f>
        <v/>
      </c>
      <c r="F318" s="20" t="str">
        <f aca="false">IF(A318="","",SUMIF('Injection Sales'!$B$2:$B$501,A318,'Injection Sales'!$G$2:$G$501)+SUMIF('Protein Sales'!$B$2:$B$501,A318,'Protein Sales'!$F$2:$F$501)+SUMIF('Diet Support'!$B$2:$B$501,A318,'Diet Support'!$E$2:$E$501))</f>
        <v/>
      </c>
      <c r="G318" s="21" t="str">
        <f aca="false">IF(OR(A318="",COUNTIF('Injection Sales'!$B$2:$B$501,A318)=0),"",IFERROR(LOOKUP(2,1/(('Injection Sales'!$B$2:$B$501=A318)*('Injection Sales'!$A$2:$A$501=_xlfn.MAXIFS('Injection Sales'!$A$2:$A$501,'Injection Sales'!$B$2:$B$501,A318))),'Injection Sales'!$E$2:$E$501),""))</f>
        <v/>
      </c>
      <c r="H318" s="21" t="str">
        <f aca="false">IF(OR(A318="",COUNTIF('Injection Sales'!$B$2:$B$501,A318)=0),"",IFERROR(LOOKUP(2,1/(('Injection Sales'!$B$2:$B$501=A318)*('Injection Sales'!$A$2:$A$501=_xlfn.MAXIFS('Injection Sales'!$A$2:$A$501,'Injection Sales'!$B$2:$B$501,A318))),'Injection Sales'!$H$2:$H$501),""))</f>
        <v/>
      </c>
      <c r="I318" s="21" t="str">
        <f aca="true">IF(OR(A318="",D318=""),"",IF(TODAY()-D318&lt;=Settings!$B$7,"Active","Inactive"))</f>
        <v/>
      </c>
    </row>
    <row r="319" customFormat="false" ht="15" hidden="false" customHeight="false" outlineLevel="0" collapsed="false">
      <c r="A319" s="1"/>
      <c r="B319" s="22"/>
      <c r="C319" s="18" t="str">
        <f aca="false">IF(OR(A319="",COUNTIF('Injection Sales'!$B$2:$B$501,A319)+COUNTIF('Protein Sales'!$B$2:$B$501,A319)+COUNTIF('Diet Support'!$B$2:$B$501,A319)=0),"",MIN(IF(COUNTIF('Injection Sales'!$B$2:$B$501,A319),_xlfn.MINIFS('Injection Sales'!$A$2:$A$501,'Injection Sales'!$B$2:$B$501,A319),99999),IF(COUNTIF('Protein Sales'!$B$2:$B$501,A319),_xlfn.MINIFS('Protein Sales'!$A$2:$A$501,'Protein Sales'!$B$2:$B$501,A319),99999),IF(COUNTIF('Diet Support'!$B$2:$B$501,A319),_xlfn.MINIFS('Diet Support'!$A$2:$A$501,'Diet Support'!$B$2:$B$501,A319),99999)))</f>
        <v/>
      </c>
      <c r="D319" s="18" t="str">
        <f aca="false">IF(OR(A319="",COUNTIF('Injection Sales'!$B$2:$B$501,A319)+COUNTIF('Protein Sales'!$B$2:$B$501,A319)+COUNTIF('Diet Support'!$B$2:$B$501,A319)=0),"",MAX(_xlfn.MAXIFS('Injection Sales'!$A$2:$A$501,'Injection Sales'!$B$2:$B$501,A319),_xlfn.MAXIFS('Protein Sales'!$A$2:$A$501,'Protein Sales'!$B$2:$B$501,A319),_xlfn.MAXIFS('Diet Support'!$A$2:$A$501,'Diet Support'!$B$2:$B$501,A319)))</f>
        <v/>
      </c>
      <c r="E319" s="19" t="str">
        <f aca="false">IF(A319="","",COUNTIF('Injection Sales'!$B$2:$B$501,A319)+COUNTIF('Protein Sales'!$B$2:$B$501,A319)+COUNTIF('Diet Support'!$B$2:$B$501,A319))</f>
        <v/>
      </c>
      <c r="F319" s="20" t="str">
        <f aca="false">IF(A319="","",SUMIF('Injection Sales'!$B$2:$B$501,A319,'Injection Sales'!$G$2:$G$501)+SUMIF('Protein Sales'!$B$2:$B$501,A319,'Protein Sales'!$F$2:$F$501)+SUMIF('Diet Support'!$B$2:$B$501,A319,'Diet Support'!$E$2:$E$501))</f>
        <v/>
      </c>
      <c r="G319" s="21" t="str">
        <f aca="false">IF(OR(A319="",COUNTIF('Injection Sales'!$B$2:$B$501,A319)=0),"",IFERROR(LOOKUP(2,1/(('Injection Sales'!$B$2:$B$501=A319)*('Injection Sales'!$A$2:$A$501=_xlfn.MAXIFS('Injection Sales'!$A$2:$A$501,'Injection Sales'!$B$2:$B$501,A319))),'Injection Sales'!$E$2:$E$501),""))</f>
        <v/>
      </c>
      <c r="H319" s="21" t="str">
        <f aca="false">IF(OR(A319="",COUNTIF('Injection Sales'!$B$2:$B$501,A319)=0),"",IFERROR(LOOKUP(2,1/(('Injection Sales'!$B$2:$B$501=A319)*('Injection Sales'!$A$2:$A$501=_xlfn.MAXIFS('Injection Sales'!$A$2:$A$501,'Injection Sales'!$B$2:$B$501,A319))),'Injection Sales'!$H$2:$H$501),""))</f>
        <v/>
      </c>
      <c r="I319" s="21" t="str">
        <f aca="true">IF(OR(A319="",D319=""),"",IF(TODAY()-D319&lt;=Settings!$B$7,"Active","Inactive"))</f>
        <v/>
      </c>
    </row>
    <row r="320" customFormat="false" ht="15" hidden="false" customHeight="false" outlineLevel="0" collapsed="false">
      <c r="A320" s="1"/>
      <c r="B320" s="22"/>
      <c r="C320" s="18" t="str">
        <f aca="false">IF(OR(A320="",COUNTIF('Injection Sales'!$B$2:$B$501,A320)+COUNTIF('Protein Sales'!$B$2:$B$501,A320)+COUNTIF('Diet Support'!$B$2:$B$501,A320)=0),"",MIN(IF(COUNTIF('Injection Sales'!$B$2:$B$501,A320),_xlfn.MINIFS('Injection Sales'!$A$2:$A$501,'Injection Sales'!$B$2:$B$501,A320),99999),IF(COUNTIF('Protein Sales'!$B$2:$B$501,A320),_xlfn.MINIFS('Protein Sales'!$A$2:$A$501,'Protein Sales'!$B$2:$B$501,A320),99999),IF(COUNTIF('Diet Support'!$B$2:$B$501,A320),_xlfn.MINIFS('Diet Support'!$A$2:$A$501,'Diet Support'!$B$2:$B$501,A320),99999)))</f>
        <v/>
      </c>
      <c r="D320" s="18" t="str">
        <f aca="false">IF(OR(A320="",COUNTIF('Injection Sales'!$B$2:$B$501,A320)+COUNTIF('Protein Sales'!$B$2:$B$501,A320)+COUNTIF('Diet Support'!$B$2:$B$501,A320)=0),"",MAX(_xlfn.MAXIFS('Injection Sales'!$A$2:$A$501,'Injection Sales'!$B$2:$B$501,A320),_xlfn.MAXIFS('Protein Sales'!$A$2:$A$501,'Protein Sales'!$B$2:$B$501,A320),_xlfn.MAXIFS('Diet Support'!$A$2:$A$501,'Diet Support'!$B$2:$B$501,A320)))</f>
        <v/>
      </c>
      <c r="E320" s="19" t="str">
        <f aca="false">IF(A320="","",COUNTIF('Injection Sales'!$B$2:$B$501,A320)+COUNTIF('Protein Sales'!$B$2:$B$501,A320)+COUNTIF('Diet Support'!$B$2:$B$501,A320))</f>
        <v/>
      </c>
      <c r="F320" s="20" t="str">
        <f aca="false">IF(A320="","",SUMIF('Injection Sales'!$B$2:$B$501,A320,'Injection Sales'!$G$2:$G$501)+SUMIF('Protein Sales'!$B$2:$B$501,A320,'Protein Sales'!$F$2:$F$501)+SUMIF('Diet Support'!$B$2:$B$501,A320,'Diet Support'!$E$2:$E$501))</f>
        <v/>
      </c>
      <c r="G320" s="21" t="str">
        <f aca="false">IF(OR(A320="",COUNTIF('Injection Sales'!$B$2:$B$501,A320)=0),"",IFERROR(LOOKUP(2,1/(('Injection Sales'!$B$2:$B$501=A320)*('Injection Sales'!$A$2:$A$501=_xlfn.MAXIFS('Injection Sales'!$A$2:$A$501,'Injection Sales'!$B$2:$B$501,A320))),'Injection Sales'!$E$2:$E$501),""))</f>
        <v/>
      </c>
      <c r="H320" s="21" t="str">
        <f aca="false">IF(OR(A320="",COUNTIF('Injection Sales'!$B$2:$B$501,A320)=0),"",IFERROR(LOOKUP(2,1/(('Injection Sales'!$B$2:$B$501=A320)*('Injection Sales'!$A$2:$A$501=_xlfn.MAXIFS('Injection Sales'!$A$2:$A$501,'Injection Sales'!$B$2:$B$501,A320))),'Injection Sales'!$H$2:$H$501),""))</f>
        <v/>
      </c>
      <c r="I320" s="21" t="str">
        <f aca="true">IF(OR(A320="",D320=""),"",IF(TODAY()-D320&lt;=Settings!$B$7,"Active","Inactive"))</f>
        <v/>
      </c>
    </row>
    <row r="321" customFormat="false" ht="15" hidden="false" customHeight="false" outlineLevel="0" collapsed="false">
      <c r="A321" s="1"/>
      <c r="B321" s="22"/>
      <c r="C321" s="18" t="str">
        <f aca="false">IF(OR(A321="",COUNTIF('Injection Sales'!$B$2:$B$501,A321)+COUNTIF('Protein Sales'!$B$2:$B$501,A321)+COUNTIF('Diet Support'!$B$2:$B$501,A321)=0),"",MIN(IF(COUNTIF('Injection Sales'!$B$2:$B$501,A321),_xlfn.MINIFS('Injection Sales'!$A$2:$A$501,'Injection Sales'!$B$2:$B$501,A321),99999),IF(COUNTIF('Protein Sales'!$B$2:$B$501,A321),_xlfn.MINIFS('Protein Sales'!$A$2:$A$501,'Protein Sales'!$B$2:$B$501,A321),99999),IF(COUNTIF('Diet Support'!$B$2:$B$501,A321),_xlfn.MINIFS('Diet Support'!$A$2:$A$501,'Diet Support'!$B$2:$B$501,A321),99999)))</f>
        <v/>
      </c>
      <c r="D321" s="18" t="str">
        <f aca="false">IF(OR(A321="",COUNTIF('Injection Sales'!$B$2:$B$501,A321)+COUNTIF('Protein Sales'!$B$2:$B$501,A321)+COUNTIF('Diet Support'!$B$2:$B$501,A321)=0),"",MAX(_xlfn.MAXIFS('Injection Sales'!$A$2:$A$501,'Injection Sales'!$B$2:$B$501,A321),_xlfn.MAXIFS('Protein Sales'!$A$2:$A$501,'Protein Sales'!$B$2:$B$501,A321),_xlfn.MAXIFS('Diet Support'!$A$2:$A$501,'Diet Support'!$B$2:$B$501,A321)))</f>
        <v/>
      </c>
      <c r="E321" s="19" t="str">
        <f aca="false">IF(A321="","",COUNTIF('Injection Sales'!$B$2:$B$501,A321)+COUNTIF('Protein Sales'!$B$2:$B$501,A321)+COUNTIF('Diet Support'!$B$2:$B$501,A321))</f>
        <v/>
      </c>
      <c r="F321" s="20" t="str">
        <f aca="false">IF(A321="","",SUMIF('Injection Sales'!$B$2:$B$501,A321,'Injection Sales'!$G$2:$G$501)+SUMIF('Protein Sales'!$B$2:$B$501,A321,'Protein Sales'!$F$2:$F$501)+SUMIF('Diet Support'!$B$2:$B$501,A321,'Diet Support'!$E$2:$E$501))</f>
        <v/>
      </c>
      <c r="G321" s="21" t="str">
        <f aca="false">IF(OR(A321="",COUNTIF('Injection Sales'!$B$2:$B$501,A321)=0),"",IFERROR(LOOKUP(2,1/(('Injection Sales'!$B$2:$B$501=A321)*('Injection Sales'!$A$2:$A$501=_xlfn.MAXIFS('Injection Sales'!$A$2:$A$501,'Injection Sales'!$B$2:$B$501,A321))),'Injection Sales'!$E$2:$E$501),""))</f>
        <v/>
      </c>
      <c r="H321" s="21" t="str">
        <f aca="false">IF(OR(A321="",COUNTIF('Injection Sales'!$B$2:$B$501,A321)=0),"",IFERROR(LOOKUP(2,1/(('Injection Sales'!$B$2:$B$501=A321)*('Injection Sales'!$A$2:$A$501=_xlfn.MAXIFS('Injection Sales'!$A$2:$A$501,'Injection Sales'!$B$2:$B$501,A321))),'Injection Sales'!$H$2:$H$501),""))</f>
        <v/>
      </c>
      <c r="I321" s="21" t="str">
        <f aca="true">IF(OR(A321="",D321=""),"",IF(TODAY()-D321&lt;=Settings!$B$7,"Active","Inactive"))</f>
        <v/>
      </c>
    </row>
    <row r="322" customFormat="false" ht="15" hidden="false" customHeight="false" outlineLevel="0" collapsed="false">
      <c r="A322" s="1"/>
      <c r="B322" s="22"/>
      <c r="C322" s="18" t="str">
        <f aca="false">IF(OR(A322="",COUNTIF('Injection Sales'!$B$2:$B$501,A322)+COUNTIF('Protein Sales'!$B$2:$B$501,A322)+COUNTIF('Diet Support'!$B$2:$B$501,A322)=0),"",MIN(IF(COUNTIF('Injection Sales'!$B$2:$B$501,A322),_xlfn.MINIFS('Injection Sales'!$A$2:$A$501,'Injection Sales'!$B$2:$B$501,A322),99999),IF(COUNTIF('Protein Sales'!$B$2:$B$501,A322),_xlfn.MINIFS('Protein Sales'!$A$2:$A$501,'Protein Sales'!$B$2:$B$501,A322),99999),IF(COUNTIF('Diet Support'!$B$2:$B$501,A322),_xlfn.MINIFS('Diet Support'!$A$2:$A$501,'Diet Support'!$B$2:$B$501,A322),99999)))</f>
        <v/>
      </c>
      <c r="D322" s="18" t="str">
        <f aca="false">IF(OR(A322="",COUNTIF('Injection Sales'!$B$2:$B$501,A322)+COUNTIF('Protein Sales'!$B$2:$B$501,A322)+COUNTIF('Diet Support'!$B$2:$B$501,A322)=0),"",MAX(_xlfn.MAXIFS('Injection Sales'!$A$2:$A$501,'Injection Sales'!$B$2:$B$501,A322),_xlfn.MAXIFS('Protein Sales'!$A$2:$A$501,'Protein Sales'!$B$2:$B$501,A322),_xlfn.MAXIFS('Diet Support'!$A$2:$A$501,'Diet Support'!$B$2:$B$501,A322)))</f>
        <v/>
      </c>
      <c r="E322" s="19" t="str">
        <f aca="false">IF(A322="","",COUNTIF('Injection Sales'!$B$2:$B$501,A322)+COUNTIF('Protein Sales'!$B$2:$B$501,A322)+COUNTIF('Diet Support'!$B$2:$B$501,A322))</f>
        <v/>
      </c>
      <c r="F322" s="20" t="str">
        <f aca="false">IF(A322="","",SUMIF('Injection Sales'!$B$2:$B$501,A322,'Injection Sales'!$G$2:$G$501)+SUMIF('Protein Sales'!$B$2:$B$501,A322,'Protein Sales'!$F$2:$F$501)+SUMIF('Diet Support'!$B$2:$B$501,A322,'Diet Support'!$E$2:$E$501))</f>
        <v/>
      </c>
      <c r="G322" s="21" t="str">
        <f aca="false">IF(OR(A322="",COUNTIF('Injection Sales'!$B$2:$B$501,A322)=0),"",IFERROR(LOOKUP(2,1/(('Injection Sales'!$B$2:$B$501=A322)*('Injection Sales'!$A$2:$A$501=_xlfn.MAXIFS('Injection Sales'!$A$2:$A$501,'Injection Sales'!$B$2:$B$501,A322))),'Injection Sales'!$E$2:$E$501),""))</f>
        <v/>
      </c>
      <c r="H322" s="21" t="str">
        <f aca="false">IF(OR(A322="",COUNTIF('Injection Sales'!$B$2:$B$501,A322)=0),"",IFERROR(LOOKUP(2,1/(('Injection Sales'!$B$2:$B$501=A322)*('Injection Sales'!$A$2:$A$501=_xlfn.MAXIFS('Injection Sales'!$A$2:$A$501,'Injection Sales'!$B$2:$B$501,A322))),'Injection Sales'!$H$2:$H$501),""))</f>
        <v/>
      </c>
      <c r="I322" s="21" t="str">
        <f aca="true">IF(OR(A322="",D322=""),"",IF(TODAY()-D322&lt;=Settings!$B$7,"Active","Inactive"))</f>
        <v/>
      </c>
    </row>
    <row r="323" customFormat="false" ht="15" hidden="false" customHeight="false" outlineLevel="0" collapsed="false">
      <c r="A323" s="1"/>
      <c r="B323" s="22"/>
      <c r="C323" s="18" t="str">
        <f aca="false">IF(OR(A323="",COUNTIF('Injection Sales'!$B$2:$B$501,A323)+COUNTIF('Protein Sales'!$B$2:$B$501,A323)+COUNTIF('Diet Support'!$B$2:$B$501,A323)=0),"",MIN(IF(COUNTIF('Injection Sales'!$B$2:$B$501,A323),_xlfn.MINIFS('Injection Sales'!$A$2:$A$501,'Injection Sales'!$B$2:$B$501,A323),99999),IF(COUNTIF('Protein Sales'!$B$2:$B$501,A323),_xlfn.MINIFS('Protein Sales'!$A$2:$A$501,'Protein Sales'!$B$2:$B$501,A323),99999),IF(COUNTIF('Diet Support'!$B$2:$B$501,A323),_xlfn.MINIFS('Diet Support'!$A$2:$A$501,'Diet Support'!$B$2:$B$501,A323),99999)))</f>
        <v/>
      </c>
      <c r="D323" s="18" t="str">
        <f aca="false">IF(OR(A323="",COUNTIF('Injection Sales'!$B$2:$B$501,A323)+COUNTIF('Protein Sales'!$B$2:$B$501,A323)+COUNTIF('Diet Support'!$B$2:$B$501,A323)=0),"",MAX(_xlfn.MAXIFS('Injection Sales'!$A$2:$A$501,'Injection Sales'!$B$2:$B$501,A323),_xlfn.MAXIFS('Protein Sales'!$A$2:$A$501,'Protein Sales'!$B$2:$B$501,A323),_xlfn.MAXIFS('Diet Support'!$A$2:$A$501,'Diet Support'!$B$2:$B$501,A323)))</f>
        <v/>
      </c>
      <c r="E323" s="19" t="str">
        <f aca="false">IF(A323="","",COUNTIF('Injection Sales'!$B$2:$B$501,A323)+COUNTIF('Protein Sales'!$B$2:$B$501,A323)+COUNTIF('Diet Support'!$B$2:$B$501,A323))</f>
        <v/>
      </c>
      <c r="F323" s="20" t="str">
        <f aca="false">IF(A323="","",SUMIF('Injection Sales'!$B$2:$B$501,A323,'Injection Sales'!$G$2:$G$501)+SUMIF('Protein Sales'!$B$2:$B$501,A323,'Protein Sales'!$F$2:$F$501)+SUMIF('Diet Support'!$B$2:$B$501,A323,'Diet Support'!$E$2:$E$501))</f>
        <v/>
      </c>
      <c r="G323" s="21" t="str">
        <f aca="false">IF(OR(A323="",COUNTIF('Injection Sales'!$B$2:$B$501,A323)=0),"",IFERROR(LOOKUP(2,1/(('Injection Sales'!$B$2:$B$501=A323)*('Injection Sales'!$A$2:$A$501=_xlfn.MAXIFS('Injection Sales'!$A$2:$A$501,'Injection Sales'!$B$2:$B$501,A323))),'Injection Sales'!$E$2:$E$501),""))</f>
        <v/>
      </c>
      <c r="H323" s="21" t="str">
        <f aca="false">IF(OR(A323="",COUNTIF('Injection Sales'!$B$2:$B$501,A323)=0),"",IFERROR(LOOKUP(2,1/(('Injection Sales'!$B$2:$B$501=A323)*('Injection Sales'!$A$2:$A$501=_xlfn.MAXIFS('Injection Sales'!$A$2:$A$501,'Injection Sales'!$B$2:$B$501,A323))),'Injection Sales'!$H$2:$H$501),""))</f>
        <v/>
      </c>
      <c r="I323" s="21" t="str">
        <f aca="true">IF(OR(A323="",D323=""),"",IF(TODAY()-D323&lt;=Settings!$B$7,"Active","Inactive"))</f>
        <v/>
      </c>
    </row>
    <row r="324" customFormat="false" ht="15" hidden="false" customHeight="false" outlineLevel="0" collapsed="false">
      <c r="A324" s="1"/>
      <c r="B324" s="22"/>
      <c r="C324" s="18" t="str">
        <f aca="false">IF(OR(A324="",COUNTIF('Injection Sales'!$B$2:$B$501,A324)+COUNTIF('Protein Sales'!$B$2:$B$501,A324)+COUNTIF('Diet Support'!$B$2:$B$501,A324)=0),"",MIN(IF(COUNTIF('Injection Sales'!$B$2:$B$501,A324),_xlfn.MINIFS('Injection Sales'!$A$2:$A$501,'Injection Sales'!$B$2:$B$501,A324),99999),IF(COUNTIF('Protein Sales'!$B$2:$B$501,A324),_xlfn.MINIFS('Protein Sales'!$A$2:$A$501,'Protein Sales'!$B$2:$B$501,A324),99999),IF(COUNTIF('Diet Support'!$B$2:$B$501,A324),_xlfn.MINIFS('Diet Support'!$A$2:$A$501,'Diet Support'!$B$2:$B$501,A324),99999)))</f>
        <v/>
      </c>
      <c r="D324" s="18" t="str">
        <f aca="false">IF(OR(A324="",COUNTIF('Injection Sales'!$B$2:$B$501,A324)+COUNTIF('Protein Sales'!$B$2:$B$501,A324)+COUNTIF('Diet Support'!$B$2:$B$501,A324)=0),"",MAX(_xlfn.MAXIFS('Injection Sales'!$A$2:$A$501,'Injection Sales'!$B$2:$B$501,A324),_xlfn.MAXIFS('Protein Sales'!$A$2:$A$501,'Protein Sales'!$B$2:$B$501,A324),_xlfn.MAXIFS('Diet Support'!$A$2:$A$501,'Diet Support'!$B$2:$B$501,A324)))</f>
        <v/>
      </c>
      <c r="E324" s="19" t="str">
        <f aca="false">IF(A324="","",COUNTIF('Injection Sales'!$B$2:$B$501,A324)+COUNTIF('Protein Sales'!$B$2:$B$501,A324)+COUNTIF('Diet Support'!$B$2:$B$501,A324))</f>
        <v/>
      </c>
      <c r="F324" s="20" t="str">
        <f aca="false">IF(A324="","",SUMIF('Injection Sales'!$B$2:$B$501,A324,'Injection Sales'!$G$2:$G$501)+SUMIF('Protein Sales'!$B$2:$B$501,A324,'Protein Sales'!$F$2:$F$501)+SUMIF('Diet Support'!$B$2:$B$501,A324,'Diet Support'!$E$2:$E$501))</f>
        <v/>
      </c>
      <c r="G324" s="21" t="str">
        <f aca="false">IF(OR(A324="",COUNTIF('Injection Sales'!$B$2:$B$501,A324)=0),"",IFERROR(LOOKUP(2,1/(('Injection Sales'!$B$2:$B$501=A324)*('Injection Sales'!$A$2:$A$501=_xlfn.MAXIFS('Injection Sales'!$A$2:$A$501,'Injection Sales'!$B$2:$B$501,A324))),'Injection Sales'!$E$2:$E$501),""))</f>
        <v/>
      </c>
      <c r="H324" s="21" t="str">
        <f aca="false">IF(OR(A324="",COUNTIF('Injection Sales'!$B$2:$B$501,A324)=0),"",IFERROR(LOOKUP(2,1/(('Injection Sales'!$B$2:$B$501=A324)*('Injection Sales'!$A$2:$A$501=_xlfn.MAXIFS('Injection Sales'!$A$2:$A$501,'Injection Sales'!$B$2:$B$501,A324))),'Injection Sales'!$H$2:$H$501),""))</f>
        <v/>
      </c>
      <c r="I324" s="21" t="str">
        <f aca="true">IF(OR(A324="",D324=""),"",IF(TODAY()-D324&lt;=Settings!$B$7,"Active","Inactive"))</f>
        <v/>
      </c>
    </row>
    <row r="325" customFormat="false" ht="15" hidden="false" customHeight="false" outlineLevel="0" collapsed="false">
      <c r="A325" s="1"/>
      <c r="B325" s="22"/>
      <c r="C325" s="18" t="str">
        <f aca="false">IF(OR(A325="",COUNTIF('Injection Sales'!$B$2:$B$501,A325)+COUNTIF('Protein Sales'!$B$2:$B$501,A325)+COUNTIF('Diet Support'!$B$2:$B$501,A325)=0),"",MIN(IF(COUNTIF('Injection Sales'!$B$2:$B$501,A325),_xlfn.MINIFS('Injection Sales'!$A$2:$A$501,'Injection Sales'!$B$2:$B$501,A325),99999),IF(COUNTIF('Protein Sales'!$B$2:$B$501,A325),_xlfn.MINIFS('Protein Sales'!$A$2:$A$501,'Protein Sales'!$B$2:$B$501,A325),99999),IF(COUNTIF('Diet Support'!$B$2:$B$501,A325),_xlfn.MINIFS('Diet Support'!$A$2:$A$501,'Diet Support'!$B$2:$B$501,A325),99999)))</f>
        <v/>
      </c>
      <c r="D325" s="18" t="str">
        <f aca="false">IF(OR(A325="",COUNTIF('Injection Sales'!$B$2:$B$501,A325)+COUNTIF('Protein Sales'!$B$2:$B$501,A325)+COUNTIF('Diet Support'!$B$2:$B$501,A325)=0),"",MAX(_xlfn.MAXIFS('Injection Sales'!$A$2:$A$501,'Injection Sales'!$B$2:$B$501,A325),_xlfn.MAXIFS('Protein Sales'!$A$2:$A$501,'Protein Sales'!$B$2:$B$501,A325),_xlfn.MAXIFS('Diet Support'!$A$2:$A$501,'Diet Support'!$B$2:$B$501,A325)))</f>
        <v/>
      </c>
      <c r="E325" s="19" t="str">
        <f aca="false">IF(A325="","",COUNTIF('Injection Sales'!$B$2:$B$501,A325)+COUNTIF('Protein Sales'!$B$2:$B$501,A325)+COUNTIF('Diet Support'!$B$2:$B$501,A325))</f>
        <v/>
      </c>
      <c r="F325" s="20" t="str">
        <f aca="false">IF(A325="","",SUMIF('Injection Sales'!$B$2:$B$501,A325,'Injection Sales'!$G$2:$G$501)+SUMIF('Protein Sales'!$B$2:$B$501,A325,'Protein Sales'!$F$2:$F$501)+SUMIF('Diet Support'!$B$2:$B$501,A325,'Diet Support'!$E$2:$E$501))</f>
        <v/>
      </c>
      <c r="G325" s="21" t="str">
        <f aca="false">IF(OR(A325="",COUNTIF('Injection Sales'!$B$2:$B$501,A325)=0),"",IFERROR(LOOKUP(2,1/(('Injection Sales'!$B$2:$B$501=A325)*('Injection Sales'!$A$2:$A$501=_xlfn.MAXIFS('Injection Sales'!$A$2:$A$501,'Injection Sales'!$B$2:$B$501,A325))),'Injection Sales'!$E$2:$E$501),""))</f>
        <v/>
      </c>
      <c r="H325" s="21" t="str">
        <f aca="false">IF(OR(A325="",COUNTIF('Injection Sales'!$B$2:$B$501,A325)=0),"",IFERROR(LOOKUP(2,1/(('Injection Sales'!$B$2:$B$501=A325)*('Injection Sales'!$A$2:$A$501=_xlfn.MAXIFS('Injection Sales'!$A$2:$A$501,'Injection Sales'!$B$2:$B$501,A325))),'Injection Sales'!$H$2:$H$501),""))</f>
        <v/>
      </c>
      <c r="I325" s="21" t="str">
        <f aca="true">IF(OR(A325="",D325=""),"",IF(TODAY()-D325&lt;=Settings!$B$7,"Active","Inactive"))</f>
        <v/>
      </c>
    </row>
    <row r="326" customFormat="false" ht="15" hidden="false" customHeight="false" outlineLevel="0" collapsed="false">
      <c r="A326" s="1"/>
      <c r="B326" s="22"/>
      <c r="C326" s="18" t="str">
        <f aca="false">IF(OR(A326="",COUNTIF('Injection Sales'!$B$2:$B$501,A326)+COUNTIF('Protein Sales'!$B$2:$B$501,A326)+COUNTIF('Diet Support'!$B$2:$B$501,A326)=0),"",MIN(IF(COUNTIF('Injection Sales'!$B$2:$B$501,A326),_xlfn.MINIFS('Injection Sales'!$A$2:$A$501,'Injection Sales'!$B$2:$B$501,A326),99999),IF(COUNTIF('Protein Sales'!$B$2:$B$501,A326),_xlfn.MINIFS('Protein Sales'!$A$2:$A$501,'Protein Sales'!$B$2:$B$501,A326),99999),IF(COUNTIF('Diet Support'!$B$2:$B$501,A326),_xlfn.MINIFS('Diet Support'!$A$2:$A$501,'Diet Support'!$B$2:$B$501,A326),99999)))</f>
        <v/>
      </c>
      <c r="D326" s="18" t="str">
        <f aca="false">IF(OR(A326="",COUNTIF('Injection Sales'!$B$2:$B$501,A326)+COUNTIF('Protein Sales'!$B$2:$B$501,A326)+COUNTIF('Diet Support'!$B$2:$B$501,A326)=0),"",MAX(_xlfn.MAXIFS('Injection Sales'!$A$2:$A$501,'Injection Sales'!$B$2:$B$501,A326),_xlfn.MAXIFS('Protein Sales'!$A$2:$A$501,'Protein Sales'!$B$2:$B$501,A326),_xlfn.MAXIFS('Diet Support'!$A$2:$A$501,'Diet Support'!$B$2:$B$501,A326)))</f>
        <v/>
      </c>
      <c r="E326" s="19" t="str">
        <f aca="false">IF(A326="","",COUNTIF('Injection Sales'!$B$2:$B$501,A326)+COUNTIF('Protein Sales'!$B$2:$B$501,A326)+COUNTIF('Diet Support'!$B$2:$B$501,A326))</f>
        <v/>
      </c>
      <c r="F326" s="20" t="str">
        <f aca="false">IF(A326="","",SUMIF('Injection Sales'!$B$2:$B$501,A326,'Injection Sales'!$G$2:$G$501)+SUMIF('Protein Sales'!$B$2:$B$501,A326,'Protein Sales'!$F$2:$F$501)+SUMIF('Diet Support'!$B$2:$B$501,A326,'Diet Support'!$E$2:$E$501))</f>
        <v/>
      </c>
      <c r="G326" s="21" t="str">
        <f aca="false">IF(OR(A326="",COUNTIF('Injection Sales'!$B$2:$B$501,A326)=0),"",IFERROR(LOOKUP(2,1/(('Injection Sales'!$B$2:$B$501=A326)*('Injection Sales'!$A$2:$A$501=_xlfn.MAXIFS('Injection Sales'!$A$2:$A$501,'Injection Sales'!$B$2:$B$501,A326))),'Injection Sales'!$E$2:$E$501),""))</f>
        <v/>
      </c>
      <c r="H326" s="21" t="str">
        <f aca="false">IF(OR(A326="",COUNTIF('Injection Sales'!$B$2:$B$501,A326)=0),"",IFERROR(LOOKUP(2,1/(('Injection Sales'!$B$2:$B$501=A326)*('Injection Sales'!$A$2:$A$501=_xlfn.MAXIFS('Injection Sales'!$A$2:$A$501,'Injection Sales'!$B$2:$B$501,A326))),'Injection Sales'!$H$2:$H$501),""))</f>
        <v/>
      </c>
      <c r="I326" s="21" t="str">
        <f aca="true">IF(OR(A326="",D326=""),"",IF(TODAY()-D326&lt;=Settings!$B$7,"Active","Inactive"))</f>
        <v/>
      </c>
    </row>
    <row r="327" customFormat="false" ht="15" hidden="false" customHeight="false" outlineLevel="0" collapsed="false">
      <c r="A327" s="1"/>
      <c r="B327" s="22"/>
      <c r="C327" s="18" t="str">
        <f aca="false">IF(OR(A327="",COUNTIF('Injection Sales'!$B$2:$B$501,A327)+COUNTIF('Protein Sales'!$B$2:$B$501,A327)+COUNTIF('Diet Support'!$B$2:$B$501,A327)=0),"",MIN(IF(COUNTIF('Injection Sales'!$B$2:$B$501,A327),_xlfn.MINIFS('Injection Sales'!$A$2:$A$501,'Injection Sales'!$B$2:$B$501,A327),99999),IF(COUNTIF('Protein Sales'!$B$2:$B$501,A327),_xlfn.MINIFS('Protein Sales'!$A$2:$A$501,'Protein Sales'!$B$2:$B$501,A327),99999),IF(COUNTIF('Diet Support'!$B$2:$B$501,A327),_xlfn.MINIFS('Diet Support'!$A$2:$A$501,'Diet Support'!$B$2:$B$501,A327),99999)))</f>
        <v/>
      </c>
      <c r="D327" s="18" t="str">
        <f aca="false">IF(OR(A327="",COUNTIF('Injection Sales'!$B$2:$B$501,A327)+COUNTIF('Protein Sales'!$B$2:$B$501,A327)+COUNTIF('Diet Support'!$B$2:$B$501,A327)=0),"",MAX(_xlfn.MAXIFS('Injection Sales'!$A$2:$A$501,'Injection Sales'!$B$2:$B$501,A327),_xlfn.MAXIFS('Protein Sales'!$A$2:$A$501,'Protein Sales'!$B$2:$B$501,A327),_xlfn.MAXIFS('Diet Support'!$A$2:$A$501,'Diet Support'!$B$2:$B$501,A327)))</f>
        <v/>
      </c>
      <c r="E327" s="19" t="str">
        <f aca="false">IF(A327="","",COUNTIF('Injection Sales'!$B$2:$B$501,A327)+COUNTIF('Protein Sales'!$B$2:$B$501,A327)+COUNTIF('Diet Support'!$B$2:$B$501,A327))</f>
        <v/>
      </c>
      <c r="F327" s="20" t="str">
        <f aca="false">IF(A327="","",SUMIF('Injection Sales'!$B$2:$B$501,A327,'Injection Sales'!$G$2:$G$501)+SUMIF('Protein Sales'!$B$2:$B$501,A327,'Protein Sales'!$F$2:$F$501)+SUMIF('Diet Support'!$B$2:$B$501,A327,'Diet Support'!$E$2:$E$501))</f>
        <v/>
      </c>
      <c r="G327" s="21" t="str">
        <f aca="false">IF(OR(A327="",COUNTIF('Injection Sales'!$B$2:$B$501,A327)=0),"",IFERROR(LOOKUP(2,1/(('Injection Sales'!$B$2:$B$501=A327)*('Injection Sales'!$A$2:$A$501=_xlfn.MAXIFS('Injection Sales'!$A$2:$A$501,'Injection Sales'!$B$2:$B$501,A327))),'Injection Sales'!$E$2:$E$501),""))</f>
        <v/>
      </c>
      <c r="H327" s="21" t="str">
        <f aca="false">IF(OR(A327="",COUNTIF('Injection Sales'!$B$2:$B$501,A327)=0),"",IFERROR(LOOKUP(2,1/(('Injection Sales'!$B$2:$B$501=A327)*('Injection Sales'!$A$2:$A$501=_xlfn.MAXIFS('Injection Sales'!$A$2:$A$501,'Injection Sales'!$B$2:$B$501,A327))),'Injection Sales'!$H$2:$H$501),""))</f>
        <v/>
      </c>
      <c r="I327" s="21" t="str">
        <f aca="true">IF(OR(A327="",D327=""),"",IF(TODAY()-D327&lt;=Settings!$B$7,"Active","Inactive"))</f>
        <v/>
      </c>
    </row>
    <row r="328" customFormat="false" ht="15" hidden="false" customHeight="false" outlineLevel="0" collapsed="false">
      <c r="A328" s="1"/>
      <c r="B328" s="22"/>
      <c r="C328" s="18" t="str">
        <f aca="false">IF(OR(A328="",COUNTIF('Injection Sales'!$B$2:$B$501,A328)+COUNTIF('Protein Sales'!$B$2:$B$501,A328)+COUNTIF('Diet Support'!$B$2:$B$501,A328)=0),"",MIN(IF(COUNTIF('Injection Sales'!$B$2:$B$501,A328),_xlfn.MINIFS('Injection Sales'!$A$2:$A$501,'Injection Sales'!$B$2:$B$501,A328),99999),IF(COUNTIF('Protein Sales'!$B$2:$B$501,A328),_xlfn.MINIFS('Protein Sales'!$A$2:$A$501,'Protein Sales'!$B$2:$B$501,A328),99999),IF(COUNTIF('Diet Support'!$B$2:$B$501,A328),_xlfn.MINIFS('Diet Support'!$A$2:$A$501,'Diet Support'!$B$2:$B$501,A328),99999)))</f>
        <v/>
      </c>
      <c r="D328" s="18" t="str">
        <f aca="false">IF(OR(A328="",COUNTIF('Injection Sales'!$B$2:$B$501,A328)+COUNTIF('Protein Sales'!$B$2:$B$501,A328)+COUNTIF('Diet Support'!$B$2:$B$501,A328)=0),"",MAX(_xlfn.MAXIFS('Injection Sales'!$A$2:$A$501,'Injection Sales'!$B$2:$B$501,A328),_xlfn.MAXIFS('Protein Sales'!$A$2:$A$501,'Protein Sales'!$B$2:$B$501,A328),_xlfn.MAXIFS('Diet Support'!$A$2:$A$501,'Diet Support'!$B$2:$B$501,A328)))</f>
        <v/>
      </c>
      <c r="E328" s="19" t="str">
        <f aca="false">IF(A328="","",COUNTIF('Injection Sales'!$B$2:$B$501,A328)+COUNTIF('Protein Sales'!$B$2:$B$501,A328)+COUNTIF('Diet Support'!$B$2:$B$501,A328))</f>
        <v/>
      </c>
      <c r="F328" s="20" t="str">
        <f aca="false">IF(A328="","",SUMIF('Injection Sales'!$B$2:$B$501,A328,'Injection Sales'!$G$2:$G$501)+SUMIF('Protein Sales'!$B$2:$B$501,A328,'Protein Sales'!$F$2:$F$501)+SUMIF('Diet Support'!$B$2:$B$501,A328,'Diet Support'!$E$2:$E$501))</f>
        <v/>
      </c>
      <c r="G328" s="21" t="str">
        <f aca="false">IF(OR(A328="",COUNTIF('Injection Sales'!$B$2:$B$501,A328)=0),"",IFERROR(LOOKUP(2,1/(('Injection Sales'!$B$2:$B$501=A328)*('Injection Sales'!$A$2:$A$501=_xlfn.MAXIFS('Injection Sales'!$A$2:$A$501,'Injection Sales'!$B$2:$B$501,A328))),'Injection Sales'!$E$2:$E$501),""))</f>
        <v/>
      </c>
      <c r="H328" s="21" t="str">
        <f aca="false">IF(OR(A328="",COUNTIF('Injection Sales'!$B$2:$B$501,A328)=0),"",IFERROR(LOOKUP(2,1/(('Injection Sales'!$B$2:$B$501=A328)*('Injection Sales'!$A$2:$A$501=_xlfn.MAXIFS('Injection Sales'!$A$2:$A$501,'Injection Sales'!$B$2:$B$501,A328))),'Injection Sales'!$H$2:$H$501),""))</f>
        <v/>
      </c>
      <c r="I328" s="21" t="str">
        <f aca="true">IF(OR(A328="",D328=""),"",IF(TODAY()-D328&lt;=Settings!$B$7,"Active","Inactive"))</f>
        <v/>
      </c>
    </row>
    <row r="329" customFormat="false" ht="15" hidden="false" customHeight="false" outlineLevel="0" collapsed="false">
      <c r="A329" s="1"/>
      <c r="B329" s="22"/>
      <c r="C329" s="18" t="str">
        <f aca="false">IF(OR(A329="",COUNTIF('Injection Sales'!$B$2:$B$501,A329)+COUNTIF('Protein Sales'!$B$2:$B$501,A329)+COUNTIF('Diet Support'!$B$2:$B$501,A329)=0),"",MIN(IF(COUNTIF('Injection Sales'!$B$2:$B$501,A329),_xlfn.MINIFS('Injection Sales'!$A$2:$A$501,'Injection Sales'!$B$2:$B$501,A329),99999),IF(COUNTIF('Protein Sales'!$B$2:$B$501,A329),_xlfn.MINIFS('Protein Sales'!$A$2:$A$501,'Protein Sales'!$B$2:$B$501,A329),99999),IF(COUNTIF('Diet Support'!$B$2:$B$501,A329),_xlfn.MINIFS('Diet Support'!$A$2:$A$501,'Diet Support'!$B$2:$B$501,A329),99999)))</f>
        <v/>
      </c>
      <c r="D329" s="18" t="str">
        <f aca="false">IF(OR(A329="",COUNTIF('Injection Sales'!$B$2:$B$501,A329)+COUNTIF('Protein Sales'!$B$2:$B$501,A329)+COUNTIF('Diet Support'!$B$2:$B$501,A329)=0),"",MAX(_xlfn.MAXIFS('Injection Sales'!$A$2:$A$501,'Injection Sales'!$B$2:$B$501,A329),_xlfn.MAXIFS('Protein Sales'!$A$2:$A$501,'Protein Sales'!$B$2:$B$501,A329),_xlfn.MAXIFS('Diet Support'!$A$2:$A$501,'Diet Support'!$B$2:$B$501,A329)))</f>
        <v/>
      </c>
      <c r="E329" s="19" t="str">
        <f aca="false">IF(A329="","",COUNTIF('Injection Sales'!$B$2:$B$501,A329)+COUNTIF('Protein Sales'!$B$2:$B$501,A329)+COUNTIF('Diet Support'!$B$2:$B$501,A329))</f>
        <v/>
      </c>
      <c r="F329" s="20" t="str">
        <f aca="false">IF(A329="","",SUMIF('Injection Sales'!$B$2:$B$501,A329,'Injection Sales'!$G$2:$G$501)+SUMIF('Protein Sales'!$B$2:$B$501,A329,'Protein Sales'!$F$2:$F$501)+SUMIF('Diet Support'!$B$2:$B$501,A329,'Diet Support'!$E$2:$E$501))</f>
        <v/>
      </c>
      <c r="G329" s="21" t="str">
        <f aca="false">IF(OR(A329="",COUNTIF('Injection Sales'!$B$2:$B$501,A329)=0),"",IFERROR(LOOKUP(2,1/(('Injection Sales'!$B$2:$B$501=A329)*('Injection Sales'!$A$2:$A$501=_xlfn.MAXIFS('Injection Sales'!$A$2:$A$501,'Injection Sales'!$B$2:$B$501,A329))),'Injection Sales'!$E$2:$E$501),""))</f>
        <v/>
      </c>
      <c r="H329" s="21" t="str">
        <f aca="false">IF(OR(A329="",COUNTIF('Injection Sales'!$B$2:$B$501,A329)=0),"",IFERROR(LOOKUP(2,1/(('Injection Sales'!$B$2:$B$501=A329)*('Injection Sales'!$A$2:$A$501=_xlfn.MAXIFS('Injection Sales'!$A$2:$A$501,'Injection Sales'!$B$2:$B$501,A329))),'Injection Sales'!$H$2:$H$501),""))</f>
        <v/>
      </c>
      <c r="I329" s="21" t="str">
        <f aca="true">IF(OR(A329="",D329=""),"",IF(TODAY()-D329&lt;=Settings!$B$7,"Active","Inactive"))</f>
        <v/>
      </c>
    </row>
    <row r="330" customFormat="false" ht="15" hidden="false" customHeight="false" outlineLevel="0" collapsed="false">
      <c r="A330" s="1"/>
      <c r="B330" s="22"/>
      <c r="C330" s="18" t="str">
        <f aca="false">IF(OR(A330="",COUNTIF('Injection Sales'!$B$2:$B$501,A330)+COUNTIF('Protein Sales'!$B$2:$B$501,A330)+COUNTIF('Diet Support'!$B$2:$B$501,A330)=0),"",MIN(IF(COUNTIF('Injection Sales'!$B$2:$B$501,A330),_xlfn.MINIFS('Injection Sales'!$A$2:$A$501,'Injection Sales'!$B$2:$B$501,A330),99999),IF(COUNTIF('Protein Sales'!$B$2:$B$501,A330),_xlfn.MINIFS('Protein Sales'!$A$2:$A$501,'Protein Sales'!$B$2:$B$501,A330),99999),IF(COUNTIF('Diet Support'!$B$2:$B$501,A330),_xlfn.MINIFS('Diet Support'!$A$2:$A$501,'Diet Support'!$B$2:$B$501,A330),99999)))</f>
        <v/>
      </c>
      <c r="D330" s="18" t="str">
        <f aca="false">IF(OR(A330="",COUNTIF('Injection Sales'!$B$2:$B$501,A330)+COUNTIF('Protein Sales'!$B$2:$B$501,A330)+COUNTIF('Diet Support'!$B$2:$B$501,A330)=0),"",MAX(_xlfn.MAXIFS('Injection Sales'!$A$2:$A$501,'Injection Sales'!$B$2:$B$501,A330),_xlfn.MAXIFS('Protein Sales'!$A$2:$A$501,'Protein Sales'!$B$2:$B$501,A330),_xlfn.MAXIFS('Diet Support'!$A$2:$A$501,'Diet Support'!$B$2:$B$501,A330)))</f>
        <v/>
      </c>
      <c r="E330" s="19" t="str">
        <f aca="false">IF(A330="","",COUNTIF('Injection Sales'!$B$2:$B$501,A330)+COUNTIF('Protein Sales'!$B$2:$B$501,A330)+COUNTIF('Diet Support'!$B$2:$B$501,A330))</f>
        <v/>
      </c>
      <c r="F330" s="20" t="str">
        <f aca="false">IF(A330="","",SUMIF('Injection Sales'!$B$2:$B$501,A330,'Injection Sales'!$G$2:$G$501)+SUMIF('Protein Sales'!$B$2:$B$501,A330,'Protein Sales'!$F$2:$F$501)+SUMIF('Diet Support'!$B$2:$B$501,A330,'Diet Support'!$E$2:$E$501))</f>
        <v/>
      </c>
      <c r="G330" s="21" t="str">
        <f aca="false">IF(OR(A330="",COUNTIF('Injection Sales'!$B$2:$B$501,A330)=0),"",IFERROR(LOOKUP(2,1/(('Injection Sales'!$B$2:$B$501=A330)*('Injection Sales'!$A$2:$A$501=_xlfn.MAXIFS('Injection Sales'!$A$2:$A$501,'Injection Sales'!$B$2:$B$501,A330))),'Injection Sales'!$E$2:$E$501),""))</f>
        <v/>
      </c>
      <c r="H330" s="21" t="str">
        <f aca="false">IF(OR(A330="",COUNTIF('Injection Sales'!$B$2:$B$501,A330)=0),"",IFERROR(LOOKUP(2,1/(('Injection Sales'!$B$2:$B$501=A330)*('Injection Sales'!$A$2:$A$501=_xlfn.MAXIFS('Injection Sales'!$A$2:$A$501,'Injection Sales'!$B$2:$B$501,A330))),'Injection Sales'!$H$2:$H$501),""))</f>
        <v/>
      </c>
      <c r="I330" s="21" t="str">
        <f aca="true">IF(OR(A330="",D330=""),"",IF(TODAY()-D330&lt;=Settings!$B$7,"Active","Inactive"))</f>
        <v/>
      </c>
    </row>
    <row r="331" customFormat="false" ht="15" hidden="false" customHeight="false" outlineLevel="0" collapsed="false">
      <c r="A331" s="1"/>
      <c r="B331" s="22"/>
      <c r="C331" s="18" t="str">
        <f aca="false">IF(OR(A331="",COUNTIF('Injection Sales'!$B$2:$B$501,A331)+COUNTIF('Protein Sales'!$B$2:$B$501,A331)+COUNTIF('Diet Support'!$B$2:$B$501,A331)=0),"",MIN(IF(COUNTIF('Injection Sales'!$B$2:$B$501,A331),_xlfn.MINIFS('Injection Sales'!$A$2:$A$501,'Injection Sales'!$B$2:$B$501,A331),99999),IF(COUNTIF('Protein Sales'!$B$2:$B$501,A331),_xlfn.MINIFS('Protein Sales'!$A$2:$A$501,'Protein Sales'!$B$2:$B$501,A331),99999),IF(COUNTIF('Diet Support'!$B$2:$B$501,A331),_xlfn.MINIFS('Diet Support'!$A$2:$A$501,'Diet Support'!$B$2:$B$501,A331),99999)))</f>
        <v/>
      </c>
      <c r="D331" s="18" t="str">
        <f aca="false">IF(OR(A331="",COUNTIF('Injection Sales'!$B$2:$B$501,A331)+COUNTIF('Protein Sales'!$B$2:$B$501,A331)+COUNTIF('Diet Support'!$B$2:$B$501,A331)=0),"",MAX(_xlfn.MAXIFS('Injection Sales'!$A$2:$A$501,'Injection Sales'!$B$2:$B$501,A331),_xlfn.MAXIFS('Protein Sales'!$A$2:$A$501,'Protein Sales'!$B$2:$B$501,A331),_xlfn.MAXIFS('Diet Support'!$A$2:$A$501,'Diet Support'!$B$2:$B$501,A331)))</f>
        <v/>
      </c>
      <c r="E331" s="19" t="str">
        <f aca="false">IF(A331="","",COUNTIF('Injection Sales'!$B$2:$B$501,A331)+COUNTIF('Protein Sales'!$B$2:$B$501,A331)+COUNTIF('Diet Support'!$B$2:$B$501,A331))</f>
        <v/>
      </c>
      <c r="F331" s="20" t="str">
        <f aca="false">IF(A331="","",SUMIF('Injection Sales'!$B$2:$B$501,A331,'Injection Sales'!$G$2:$G$501)+SUMIF('Protein Sales'!$B$2:$B$501,A331,'Protein Sales'!$F$2:$F$501)+SUMIF('Diet Support'!$B$2:$B$501,A331,'Diet Support'!$E$2:$E$501))</f>
        <v/>
      </c>
      <c r="G331" s="21" t="str">
        <f aca="false">IF(OR(A331="",COUNTIF('Injection Sales'!$B$2:$B$501,A331)=0),"",IFERROR(LOOKUP(2,1/(('Injection Sales'!$B$2:$B$501=A331)*('Injection Sales'!$A$2:$A$501=_xlfn.MAXIFS('Injection Sales'!$A$2:$A$501,'Injection Sales'!$B$2:$B$501,A331))),'Injection Sales'!$E$2:$E$501),""))</f>
        <v/>
      </c>
      <c r="H331" s="21" t="str">
        <f aca="false">IF(OR(A331="",COUNTIF('Injection Sales'!$B$2:$B$501,A331)=0),"",IFERROR(LOOKUP(2,1/(('Injection Sales'!$B$2:$B$501=A331)*('Injection Sales'!$A$2:$A$501=_xlfn.MAXIFS('Injection Sales'!$A$2:$A$501,'Injection Sales'!$B$2:$B$501,A331))),'Injection Sales'!$H$2:$H$501),""))</f>
        <v/>
      </c>
      <c r="I331" s="21" t="str">
        <f aca="true">IF(OR(A331="",D331=""),"",IF(TODAY()-D331&lt;=Settings!$B$7,"Active","Inactive"))</f>
        <v/>
      </c>
    </row>
    <row r="332" customFormat="false" ht="15" hidden="false" customHeight="false" outlineLevel="0" collapsed="false">
      <c r="A332" s="1"/>
      <c r="B332" s="22"/>
      <c r="C332" s="18" t="str">
        <f aca="false">IF(OR(A332="",COUNTIF('Injection Sales'!$B$2:$B$501,A332)+COUNTIF('Protein Sales'!$B$2:$B$501,A332)+COUNTIF('Diet Support'!$B$2:$B$501,A332)=0),"",MIN(IF(COUNTIF('Injection Sales'!$B$2:$B$501,A332),_xlfn.MINIFS('Injection Sales'!$A$2:$A$501,'Injection Sales'!$B$2:$B$501,A332),99999),IF(COUNTIF('Protein Sales'!$B$2:$B$501,A332),_xlfn.MINIFS('Protein Sales'!$A$2:$A$501,'Protein Sales'!$B$2:$B$501,A332),99999),IF(COUNTIF('Diet Support'!$B$2:$B$501,A332),_xlfn.MINIFS('Diet Support'!$A$2:$A$501,'Diet Support'!$B$2:$B$501,A332),99999)))</f>
        <v/>
      </c>
      <c r="D332" s="18" t="str">
        <f aca="false">IF(OR(A332="",COUNTIF('Injection Sales'!$B$2:$B$501,A332)+COUNTIF('Protein Sales'!$B$2:$B$501,A332)+COUNTIF('Diet Support'!$B$2:$B$501,A332)=0),"",MAX(_xlfn.MAXIFS('Injection Sales'!$A$2:$A$501,'Injection Sales'!$B$2:$B$501,A332),_xlfn.MAXIFS('Protein Sales'!$A$2:$A$501,'Protein Sales'!$B$2:$B$501,A332),_xlfn.MAXIFS('Diet Support'!$A$2:$A$501,'Diet Support'!$B$2:$B$501,A332)))</f>
        <v/>
      </c>
      <c r="E332" s="19" t="str">
        <f aca="false">IF(A332="","",COUNTIF('Injection Sales'!$B$2:$B$501,A332)+COUNTIF('Protein Sales'!$B$2:$B$501,A332)+COUNTIF('Diet Support'!$B$2:$B$501,A332))</f>
        <v/>
      </c>
      <c r="F332" s="20" t="str">
        <f aca="false">IF(A332="","",SUMIF('Injection Sales'!$B$2:$B$501,A332,'Injection Sales'!$G$2:$G$501)+SUMIF('Protein Sales'!$B$2:$B$501,A332,'Protein Sales'!$F$2:$F$501)+SUMIF('Diet Support'!$B$2:$B$501,A332,'Diet Support'!$E$2:$E$501))</f>
        <v/>
      </c>
      <c r="G332" s="21" t="str">
        <f aca="false">IF(OR(A332="",COUNTIF('Injection Sales'!$B$2:$B$501,A332)=0),"",IFERROR(LOOKUP(2,1/(('Injection Sales'!$B$2:$B$501=A332)*('Injection Sales'!$A$2:$A$501=_xlfn.MAXIFS('Injection Sales'!$A$2:$A$501,'Injection Sales'!$B$2:$B$501,A332))),'Injection Sales'!$E$2:$E$501),""))</f>
        <v/>
      </c>
      <c r="H332" s="21" t="str">
        <f aca="false">IF(OR(A332="",COUNTIF('Injection Sales'!$B$2:$B$501,A332)=0),"",IFERROR(LOOKUP(2,1/(('Injection Sales'!$B$2:$B$501=A332)*('Injection Sales'!$A$2:$A$501=_xlfn.MAXIFS('Injection Sales'!$A$2:$A$501,'Injection Sales'!$B$2:$B$501,A332))),'Injection Sales'!$H$2:$H$501),""))</f>
        <v/>
      </c>
      <c r="I332" s="21" t="str">
        <f aca="true">IF(OR(A332="",D332=""),"",IF(TODAY()-D332&lt;=Settings!$B$7,"Active","Inactive"))</f>
        <v/>
      </c>
    </row>
    <row r="333" customFormat="false" ht="15" hidden="false" customHeight="false" outlineLevel="0" collapsed="false">
      <c r="A333" s="1"/>
      <c r="B333" s="22"/>
      <c r="C333" s="18" t="str">
        <f aca="false">IF(OR(A333="",COUNTIF('Injection Sales'!$B$2:$B$501,A333)+COUNTIF('Protein Sales'!$B$2:$B$501,A333)+COUNTIF('Diet Support'!$B$2:$B$501,A333)=0),"",MIN(IF(COUNTIF('Injection Sales'!$B$2:$B$501,A333),_xlfn.MINIFS('Injection Sales'!$A$2:$A$501,'Injection Sales'!$B$2:$B$501,A333),99999),IF(COUNTIF('Protein Sales'!$B$2:$B$501,A333),_xlfn.MINIFS('Protein Sales'!$A$2:$A$501,'Protein Sales'!$B$2:$B$501,A333),99999),IF(COUNTIF('Diet Support'!$B$2:$B$501,A333),_xlfn.MINIFS('Diet Support'!$A$2:$A$501,'Diet Support'!$B$2:$B$501,A333),99999)))</f>
        <v/>
      </c>
      <c r="D333" s="18" t="str">
        <f aca="false">IF(OR(A333="",COUNTIF('Injection Sales'!$B$2:$B$501,A333)+COUNTIF('Protein Sales'!$B$2:$B$501,A333)+COUNTIF('Diet Support'!$B$2:$B$501,A333)=0),"",MAX(_xlfn.MAXIFS('Injection Sales'!$A$2:$A$501,'Injection Sales'!$B$2:$B$501,A333),_xlfn.MAXIFS('Protein Sales'!$A$2:$A$501,'Protein Sales'!$B$2:$B$501,A333),_xlfn.MAXIFS('Diet Support'!$A$2:$A$501,'Diet Support'!$B$2:$B$501,A333)))</f>
        <v/>
      </c>
      <c r="E333" s="19" t="str">
        <f aca="false">IF(A333="","",COUNTIF('Injection Sales'!$B$2:$B$501,A333)+COUNTIF('Protein Sales'!$B$2:$B$501,A333)+COUNTIF('Diet Support'!$B$2:$B$501,A333))</f>
        <v/>
      </c>
      <c r="F333" s="20" t="str">
        <f aca="false">IF(A333="","",SUMIF('Injection Sales'!$B$2:$B$501,A333,'Injection Sales'!$G$2:$G$501)+SUMIF('Protein Sales'!$B$2:$B$501,A333,'Protein Sales'!$F$2:$F$501)+SUMIF('Diet Support'!$B$2:$B$501,A333,'Diet Support'!$E$2:$E$501))</f>
        <v/>
      </c>
      <c r="G333" s="21" t="str">
        <f aca="false">IF(OR(A333="",COUNTIF('Injection Sales'!$B$2:$B$501,A333)=0),"",IFERROR(LOOKUP(2,1/(('Injection Sales'!$B$2:$B$501=A333)*('Injection Sales'!$A$2:$A$501=_xlfn.MAXIFS('Injection Sales'!$A$2:$A$501,'Injection Sales'!$B$2:$B$501,A333))),'Injection Sales'!$E$2:$E$501),""))</f>
        <v/>
      </c>
      <c r="H333" s="21" t="str">
        <f aca="false">IF(OR(A333="",COUNTIF('Injection Sales'!$B$2:$B$501,A333)=0),"",IFERROR(LOOKUP(2,1/(('Injection Sales'!$B$2:$B$501=A333)*('Injection Sales'!$A$2:$A$501=_xlfn.MAXIFS('Injection Sales'!$A$2:$A$501,'Injection Sales'!$B$2:$B$501,A333))),'Injection Sales'!$H$2:$H$501),""))</f>
        <v/>
      </c>
      <c r="I333" s="21" t="str">
        <f aca="true">IF(OR(A333="",D333=""),"",IF(TODAY()-D333&lt;=Settings!$B$7,"Active","Inactive"))</f>
        <v/>
      </c>
    </row>
    <row r="334" customFormat="false" ht="15" hidden="false" customHeight="false" outlineLevel="0" collapsed="false">
      <c r="A334" s="1"/>
      <c r="B334" s="22"/>
      <c r="C334" s="18" t="str">
        <f aca="false">IF(OR(A334="",COUNTIF('Injection Sales'!$B$2:$B$501,A334)+COUNTIF('Protein Sales'!$B$2:$B$501,A334)+COUNTIF('Diet Support'!$B$2:$B$501,A334)=0),"",MIN(IF(COUNTIF('Injection Sales'!$B$2:$B$501,A334),_xlfn.MINIFS('Injection Sales'!$A$2:$A$501,'Injection Sales'!$B$2:$B$501,A334),99999),IF(COUNTIF('Protein Sales'!$B$2:$B$501,A334),_xlfn.MINIFS('Protein Sales'!$A$2:$A$501,'Protein Sales'!$B$2:$B$501,A334),99999),IF(COUNTIF('Diet Support'!$B$2:$B$501,A334),_xlfn.MINIFS('Diet Support'!$A$2:$A$501,'Diet Support'!$B$2:$B$501,A334),99999)))</f>
        <v/>
      </c>
      <c r="D334" s="18" t="str">
        <f aca="false">IF(OR(A334="",COUNTIF('Injection Sales'!$B$2:$B$501,A334)+COUNTIF('Protein Sales'!$B$2:$B$501,A334)+COUNTIF('Diet Support'!$B$2:$B$501,A334)=0),"",MAX(_xlfn.MAXIFS('Injection Sales'!$A$2:$A$501,'Injection Sales'!$B$2:$B$501,A334),_xlfn.MAXIFS('Protein Sales'!$A$2:$A$501,'Protein Sales'!$B$2:$B$501,A334),_xlfn.MAXIFS('Diet Support'!$A$2:$A$501,'Diet Support'!$B$2:$B$501,A334)))</f>
        <v/>
      </c>
      <c r="E334" s="19" t="str">
        <f aca="false">IF(A334="","",COUNTIF('Injection Sales'!$B$2:$B$501,A334)+COUNTIF('Protein Sales'!$B$2:$B$501,A334)+COUNTIF('Diet Support'!$B$2:$B$501,A334))</f>
        <v/>
      </c>
      <c r="F334" s="20" t="str">
        <f aca="false">IF(A334="","",SUMIF('Injection Sales'!$B$2:$B$501,A334,'Injection Sales'!$G$2:$G$501)+SUMIF('Protein Sales'!$B$2:$B$501,A334,'Protein Sales'!$F$2:$F$501)+SUMIF('Diet Support'!$B$2:$B$501,A334,'Diet Support'!$E$2:$E$501))</f>
        <v/>
      </c>
      <c r="G334" s="21" t="str">
        <f aca="false">IF(OR(A334="",COUNTIF('Injection Sales'!$B$2:$B$501,A334)=0),"",IFERROR(LOOKUP(2,1/(('Injection Sales'!$B$2:$B$501=A334)*('Injection Sales'!$A$2:$A$501=_xlfn.MAXIFS('Injection Sales'!$A$2:$A$501,'Injection Sales'!$B$2:$B$501,A334))),'Injection Sales'!$E$2:$E$501),""))</f>
        <v/>
      </c>
      <c r="H334" s="21" t="str">
        <f aca="false">IF(OR(A334="",COUNTIF('Injection Sales'!$B$2:$B$501,A334)=0),"",IFERROR(LOOKUP(2,1/(('Injection Sales'!$B$2:$B$501=A334)*('Injection Sales'!$A$2:$A$501=_xlfn.MAXIFS('Injection Sales'!$A$2:$A$501,'Injection Sales'!$B$2:$B$501,A334))),'Injection Sales'!$H$2:$H$501),""))</f>
        <v/>
      </c>
      <c r="I334" s="21" t="str">
        <f aca="true">IF(OR(A334="",D334=""),"",IF(TODAY()-D334&lt;=Settings!$B$7,"Active","Inactive"))</f>
        <v/>
      </c>
    </row>
    <row r="335" customFormat="false" ht="15" hidden="false" customHeight="false" outlineLevel="0" collapsed="false">
      <c r="A335" s="1"/>
      <c r="B335" s="22"/>
      <c r="C335" s="18" t="str">
        <f aca="false">IF(OR(A335="",COUNTIF('Injection Sales'!$B$2:$B$501,A335)+COUNTIF('Protein Sales'!$B$2:$B$501,A335)+COUNTIF('Diet Support'!$B$2:$B$501,A335)=0),"",MIN(IF(COUNTIF('Injection Sales'!$B$2:$B$501,A335),_xlfn.MINIFS('Injection Sales'!$A$2:$A$501,'Injection Sales'!$B$2:$B$501,A335),99999),IF(COUNTIF('Protein Sales'!$B$2:$B$501,A335),_xlfn.MINIFS('Protein Sales'!$A$2:$A$501,'Protein Sales'!$B$2:$B$501,A335),99999),IF(COUNTIF('Diet Support'!$B$2:$B$501,A335),_xlfn.MINIFS('Diet Support'!$A$2:$A$501,'Diet Support'!$B$2:$B$501,A335),99999)))</f>
        <v/>
      </c>
      <c r="D335" s="18" t="str">
        <f aca="false">IF(OR(A335="",COUNTIF('Injection Sales'!$B$2:$B$501,A335)+COUNTIF('Protein Sales'!$B$2:$B$501,A335)+COUNTIF('Diet Support'!$B$2:$B$501,A335)=0),"",MAX(_xlfn.MAXIFS('Injection Sales'!$A$2:$A$501,'Injection Sales'!$B$2:$B$501,A335),_xlfn.MAXIFS('Protein Sales'!$A$2:$A$501,'Protein Sales'!$B$2:$B$501,A335),_xlfn.MAXIFS('Diet Support'!$A$2:$A$501,'Diet Support'!$B$2:$B$501,A335)))</f>
        <v/>
      </c>
      <c r="E335" s="19" t="str">
        <f aca="false">IF(A335="","",COUNTIF('Injection Sales'!$B$2:$B$501,A335)+COUNTIF('Protein Sales'!$B$2:$B$501,A335)+COUNTIF('Diet Support'!$B$2:$B$501,A335))</f>
        <v/>
      </c>
      <c r="F335" s="20" t="str">
        <f aca="false">IF(A335="","",SUMIF('Injection Sales'!$B$2:$B$501,A335,'Injection Sales'!$G$2:$G$501)+SUMIF('Protein Sales'!$B$2:$B$501,A335,'Protein Sales'!$F$2:$F$501)+SUMIF('Diet Support'!$B$2:$B$501,A335,'Diet Support'!$E$2:$E$501))</f>
        <v/>
      </c>
      <c r="G335" s="21" t="str">
        <f aca="false">IF(OR(A335="",COUNTIF('Injection Sales'!$B$2:$B$501,A335)=0),"",IFERROR(LOOKUP(2,1/(('Injection Sales'!$B$2:$B$501=A335)*('Injection Sales'!$A$2:$A$501=_xlfn.MAXIFS('Injection Sales'!$A$2:$A$501,'Injection Sales'!$B$2:$B$501,A335))),'Injection Sales'!$E$2:$E$501),""))</f>
        <v/>
      </c>
      <c r="H335" s="21" t="str">
        <f aca="false">IF(OR(A335="",COUNTIF('Injection Sales'!$B$2:$B$501,A335)=0),"",IFERROR(LOOKUP(2,1/(('Injection Sales'!$B$2:$B$501=A335)*('Injection Sales'!$A$2:$A$501=_xlfn.MAXIFS('Injection Sales'!$A$2:$A$501,'Injection Sales'!$B$2:$B$501,A335))),'Injection Sales'!$H$2:$H$501),""))</f>
        <v/>
      </c>
      <c r="I335" s="21" t="str">
        <f aca="true">IF(OR(A335="",D335=""),"",IF(TODAY()-D335&lt;=Settings!$B$7,"Active","Inactive"))</f>
        <v/>
      </c>
    </row>
    <row r="336" customFormat="false" ht="15" hidden="false" customHeight="false" outlineLevel="0" collapsed="false">
      <c r="A336" s="1"/>
      <c r="B336" s="22"/>
      <c r="C336" s="18" t="str">
        <f aca="false">IF(OR(A336="",COUNTIF('Injection Sales'!$B$2:$B$501,A336)+COUNTIF('Protein Sales'!$B$2:$B$501,A336)+COUNTIF('Diet Support'!$B$2:$B$501,A336)=0),"",MIN(IF(COUNTIF('Injection Sales'!$B$2:$B$501,A336),_xlfn.MINIFS('Injection Sales'!$A$2:$A$501,'Injection Sales'!$B$2:$B$501,A336),99999),IF(COUNTIF('Protein Sales'!$B$2:$B$501,A336),_xlfn.MINIFS('Protein Sales'!$A$2:$A$501,'Protein Sales'!$B$2:$B$501,A336),99999),IF(COUNTIF('Diet Support'!$B$2:$B$501,A336),_xlfn.MINIFS('Diet Support'!$A$2:$A$501,'Diet Support'!$B$2:$B$501,A336),99999)))</f>
        <v/>
      </c>
      <c r="D336" s="18" t="str">
        <f aca="false">IF(OR(A336="",COUNTIF('Injection Sales'!$B$2:$B$501,A336)+COUNTIF('Protein Sales'!$B$2:$B$501,A336)+COUNTIF('Diet Support'!$B$2:$B$501,A336)=0),"",MAX(_xlfn.MAXIFS('Injection Sales'!$A$2:$A$501,'Injection Sales'!$B$2:$B$501,A336),_xlfn.MAXIFS('Protein Sales'!$A$2:$A$501,'Protein Sales'!$B$2:$B$501,A336),_xlfn.MAXIFS('Diet Support'!$A$2:$A$501,'Diet Support'!$B$2:$B$501,A336)))</f>
        <v/>
      </c>
      <c r="E336" s="19" t="str">
        <f aca="false">IF(A336="","",COUNTIF('Injection Sales'!$B$2:$B$501,A336)+COUNTIF('Protein Sales'!$B$2:$B$501,A336)+COUNTIF('Diet Support'!$B$2:$B$501,A336))</f>
        <v/>
      </c>
      <c r="F336" s="20" t="str">
        <f aca="false">IF(A336="","",SUMIF('Injection Sales'!$B$2:$B$501,A336,'Injection Sales'!$G$2:$G$501)+SUMIF('Protein Sales'!$B$2:$B$501,A336,'Protein Sales'!$F$2:$F$501)+SUMIF('Diet Support'!$B$2:$B$501,A336,'Diet Support'!$E$2:$E$501))</f>
        <v/>
      </c>
      <c r="G336" s="21" t="str">
        <f aca="false">IF(OR(A336="",COUNTIF('Injection Sales'!$B$2:$B$501,A336)=0),"",IFERROR(LOOKUP(2,1/(('Injection Sales'!$B$2:$B$501=A336)*('Injection Sales'!$A$2:$A$501=_xlfn.MAXIFS('Injection Sales'!$A$2:$A$501,'Injection Sales'!$B$2:$B$501,A336))),'Injection Sales'!$E$2:$E$501),""))</f>
        <v/>
      </c>
      <c r="H336" s="21" t="str">
        <f aca="false">IF(OR(A336="",COUNTIF('Injection Sales'!$B$2:$B$501,A336)=0),"",IFERROR(LOOKUP(2,1/(('Injection Sales'!$B$2:$B$501=A336)*('Injection Sales'!$A$2:$A$501=_xlfn.MAXIFS('Injection Sales'!$A$2:$A$501,'Injection Sales'!$B$2:$B$501,A336))),'Injection Sales'!$H$2:$H$501),""))</f>
        <v/>
      </c>
      <c r="I336" s="21" t="str">
        <f aca="true">IF(OR(A336="",D336=""),"",IF(TODAY()-D336&lt;=Settings!$B$7,"Active","Inactive"))</f>
        <v/>
      </c>
    </row>
    <row r="337" customFormat="false" ht="15" hidden="false" customHeight="false" outlineLevel="0" collapsed="false">
      <c r="A337" s="1"/>
      <c r="B337" s="22"/>
      <c r="C337" s="18" t="str">
        <f aca="false">IF(OR(A337="",COUNTIF('Injection Sales'!$B$2:$B$501,A337)+COUNTIF('Protein Sales'!$B$2:$B$501,A337)+COUNTIF('Diet Support'!$B$2:$B$501,A337)=0),"",MIN(IF(COUNTIF('Injection Sales'!$B$2:$B$501,A337),_xlfn.MINIFS('Injection Sales'!$A$2:$A$501,'Injection Sales'!$B$2:$B$501,A337),99999),IF(COUNTIF('Protein Sales'!$B$2:$B$501,A337),_xlfn.MINIFS('Protein Sales'!$A$2:$A$501,'Protein Sales'!$B$2:$B$501,A337),99999),IF(COUNTIF('Diet Support'!$B$2:$B$501,A337),_xlfn.MINIFS('Diet Support'!$A$2:$A$501,'Diet Support'!$B$2:$B$501,A337),99999)))</f>
        <v/>
      </c>
      <c r="D337" s="18" t="str">
        <f aca="false">IF(OR(A337="",COUNTIF('Injection Sales'!$B$2:$B$501,A337)+COUNTIF('Protein Sales'!$B$2:$B$501,A337)+COUNTIF('Diet Support'!$B$2:$B$501,A337)=0),"",MAX(_xlfn.MAXIFS('Injection Sales'!$A$2:$A$501,'Injection Sales'!$B$2:$B$501,A337),_xlfn.MAXIFS('Protein Sales'!$A$2:$A$501,'Protein Sales'!$B$2:$B$501,A337),_xlfn.MAXIFS('Diet Support'!$A$2:$A$501,'Diet Support'!$B$2:$B$501,A337)))</f>
        <v/>
      </c>
      <c r="E337" s="19" t="str">
        <f aca="false">IF(A337="","",COUNTIF('Injection Sales'!$B$2:$B$501,A337)+COUNTIF('Protein Sales'!$B$2:$B$501,A337)+COUNTIF('Diet Support'!$B$2:$B$501,A337))</f>
        <v/>
      </c>
      <c r="F337" s="20" t="str">
        <f aca="false">IF(A337="","",SUMIF('Injection Sales'!$B$2:$B$501,A337,'Injection Sales'!$G$2:$G$501)+SUMIF('Protein Sales'!$B$2:$B$501,A337,'Protein Sales'!$F$2:$F$501)+SUMIF('Diet Support'!$B$2:$B$501,A337,'Diet Support'!$E$2:$E$501))</f>
        <v/>
      </c>
      <c r="G337" s="21" t="str">
        <f aca="false">IF(OR(A337="",COUNTIF('Injection Sales'!$B$2:$B$501,A337)=0),"",IFERROR(LOOKUP(2,1/(('Injection Sales'!$B$2:$B$501=A337)*('Injection Sales'!$A$2:$A$501=_xlfn.MAXIFS('Injection Sales'!$A$2:$A$501,'Injection Sales'!$B$2:$B$501,A337))),'Injection Sales'!$E$2:$E$501),""))</f>
        <v/>
      </c>
      <c r="H337" s="21" t="str">
        <f aca="false">IF(OR(A337="",COUNTIF('Injection Sales'!$B$2:$B$501,A337)=0),"",IFERROR(LOOKUP(2,1/(('Injection Sales'!$B$2:$B$501=A337)*('Injection Sales'!$A$2:$A$501=_xlfn.MAXIFS('Injection Sales'!$A$2:$A$501,'Injection Sales'!$B$2:$B$501,A337))),'Injection Sales'!$H$2:$H$501),""))</f>
        <v/>
      </c>
      <c r="I337" s="21" t="str">
        <f aca="true">IF(OR(A337="",D337=""),"",IF(TODAY()-D337&lt;=Settings!$B$7,"Active","Inactive"))</f>
        <v/>
      </c>
    </row>
    <row r="338" customFormat="false" ht="15" hidden="false" customHeight="false" outlineLevel="0" collapsed="false">
      <c r="A338" s="1"/>
      <c r="B338" s="22"/>
      <c r="C338" s="18" t="str">
        <f aca="false">IF(OR(A338="",COUNTIF('Injection Sales'!$B$2:$B$501,A338)+COUNTIF('Protein Sales'!$B$2:$B$501,A338)+COUNTIF('Diet Support'!$B$2:$B$501,A338)=0),"",MIN(IF(COUNTIF('Injection Sales'!$B$2:$B$501,A338),_xlfn.MINIFS('Injection Sales'!$A$2:$A$501,'Injection Sales'!$B$2:$B$501,A338),99999),IF(COUNTIF('Protein Sales'!$B$2:$B$501,A338),_xlfn.MINIFS('Protein Sales'!$A$2:$A$501,'Protein Sales'!$B$2:$B$501,A338),99999),IF(COUNTIF('Diet Support'!$B$2:$B$501,A338),_xlfn.MINIFS('Diet Support'!$A$2:$A$501,'Diet Support'!$B$2:$B$501,A338),99999)))</f>
        <v/>
      </c>
      <c r="D338" s="18" t="str">
        <f aca="false">IF(OR(A338="",COUNTIF('Injection Sales'!$B$2:$B$501,A338)+COUNTIF('Protein Sales'!$B$2:$B$501,A338)+COUNTIF('Diet Support'!$B$2:$B$501,A338)=0),"",MAX(_xlfn.MAXIFS('Injection Sales'!$A$2:$A$501,'Injection Sales'!$B$2:$B$501,A338),_xlfn.MAXIFS('Protein Sales'!$A$2:$A$501,'Protein Sales'!$B$2:$B$501,A338),_xlfn.MAXIFS('Diet Support'!$A$2:$A$501,'Diet Support'!$B$2:$B$501,A338)))</f>
        <v/>
      </c>
      <c r="E338" s="19" t="str">
        <f aca="false">IF(A338="","",COUNTIF('Injection Sales'!$B$2:$B$501,A338)+COUNTIF('Protein Sales'!$B$2:$B$501,A338)+COUNTIF('Diet Support'!$B$2:$B$501,A338))</f>
        <v/>
      </c>
      <c r="F338" s="20" t="str">
        <f aca="false">IF(A338="","",SUMIF('Injection Sales'!$B$2:$B$501,A338,'Injection Sales'!$G$2:$G$501)+SUMIF('Protein Sales'!$B$2:$B$501,A338,'Protein Sales'!$F$2:$F$501)+SUMIF('Diet Support'!$B$2:$B$501,A338,'Diet Support'!$E$2:$E$501))</f>
        <v/>
      </c>
      <c r="G338" s="21" t="str">
        <f aca="false">IF(OR(A338="",COUNTIF('Injection Sales'!$B$2:$B$501,A338)=0),"",IFERROR(LOOKUP(2,1/(('Injection Sales'!$B$2:$B$501=A338)*('Injection Sales'!$A$2:$A$501=_xlfn.MAXIFS('Injection Sales'!$A$2:$A$501,'Injection Sales'!$B$2:$B$501,A338))),'Injection Sales'!$E$2:$E$501),""))</f>
        <v/>
      </c>
      <c r="H338" s="21" t="str">
        <f aca="false">IF(OR(A338="",COUNTIF('Injection Sales'!$B$2:$B$501,A338)=0),"",IFERROR(LOOKUP(2,1/(('Injection Sales'!$B$2:$B$501=A338)*('Injection Sales'!$A$2:$A$501=_xlfn.MAXIFS('Injection Sales'!$A$2:$A$501,'Injection Sales'!$B$2:$B$501,A338))),'Injection Sales'!$H$2:$H$501),""))</f>
        <v/>
      </c>
      <c r="I338" s="21" t="str">
        <f aca="true">IF(OR(A338="",D338=""),"",IF(TODAY()-D338&lt;=Settings!$B$7,"Active","Inactive"))</f>
        <v/>
      </c>
    </row>
    <row r="339" customFormat="false" ht="15" hidden="false" customHeight="false" outlineLevel="0" collapsed="false">
      <c r="A339" s="1"/>
      <c r="B339" s="22"/>
      <c r="C339" s="18" t="str">
        <f aca="false">IF(OR(A339="",COUNTIF('Injection Sales'!$B$2:$B$501,A339)+COUNTIF('Protein Sales'!$B$2:$B$501,A339)+COUNTIF('Diet Support'!$B$2:$B$501,A339)=0),"",MIN(IF(COUNTIF('Injection Sales'!$B$2:$B$501,A339),_xlfn.MINIFS('Injection Sales'!$A$2:$A$501,'Injection Sales'!$B$2:$B$501,A339),99999),IF(COUNTIF('Protein Sales'!$B$2:$B$501,A339),_xlfn.MINIFS('Protein Sales'!$A$2:$A$501,'Protein Sales'!$B$2:$B$501,A339),99999),IF(COUNTIF('Diet Support'!$B$2:$B$501,A339),_xlfn.MINIFS('Diet Support'!$A$2:$A$501,'Diet Support'!$B$2:$B$501,A339),99999)))</f>
        <v/>
      </c>
      <c r="D339" s="18" t="str">
        <f aca="false">IF(OR(A339="",COUNTIF('Injection Sales'!$B$2:$B$501,A339)+COUNTIF('Protein Sales'!$B$2:$B$501,A339)+COUNTIF('Diet Support'!$B$2:$B$501,A339)=0),"",MAX(_xlfn.MAXIFS('Injection Sales'!$A$2:$A$501,'Injection Sales'!$B$2:$B$501,A339),_xlfn.MAXIFS('Protein Sales'!$A$2:$A$501,'Protein Sales'!$B$2:$B$501,A339),_xlfn.MAXIFS('Diet Support'!$A$2:$A$501,'Diet Support'!$B$2:$B$501,A339)))</f>
        <v/>
      </c>
      <c r="E339" s="19" t="str">
        <f aca="false">IF(A339="","",COUNTIF('Injection Sales'!$B$2:$B$501,A339)+COUNTIF('Protein Sales'!$B$2:$B$501,A339)+COUNTIF('Diet Support'!$B$2:$B$501,A339))</f>
        <v/>
      </c>
      <c r="F339" s="20" t="str">
        <f aca="false">IF(A339="","",SUMIF('Injection Sales'!$B$2:$B$501,A339,'Injection Sales'!$G$2:$G$501)+SUMIF('Protein Sales'!$B$2:$B$501,A339,'Protein Sales'!$F$2:$F$501)+SUMIF('Diet Support'!$B$2:$B$501,A339,'Diet Support'!$E$2:$E$501))</f>
        <v/>
      </c>
      <c r="G339" s="21" t="str">
        <f aca="false">IF(OR(A339="",COUNTIF('Injection Sales'!$B$2:$B$501,A339)=0),"",IFERROR(LOOKUP(2,1/(('Injection Sales'!$B$2:$B$501=A339)*('Injection Sales'!$A$2:$A$501=_xlfn.MAXIFS('Injection Sales'!$A$2:$A$501,'Injection Sales'!$B$2:$B$501,A339))),'Injection Sales'!$E$2:$E$501),""))</f>
        <v/>
      </c>
      <c r="H339" s="21" t="str">
        <f aca="false">IF(OR(A339="",COUNTIF('Injection Sales'!$B$2:$B$501,A339)=0),"",IFERROR(LOOKUP(2,1/(('Injection Sales'!$B$2:$B$501=A339)*('Injection Sales'!$A$2:$A$501=_xlfn.MAXIFS('Injection Sales'!$A$2:$A$501,'Injection Sales'!$B$2:$B$501,A339))),'Injection Sales'!$H$2:$H$501),""))</f>
        <v/>
      </c>
      <c r="I339" s="21" t="str">
        <f aca="true">IF(OR(A339="",D339=""),"",IF(TODAY()-D339&lt;=Settings!$B$7,"Active","Inactive"))</f>
        <v/>
      </c>
    </row>
    <row r="340" customFormat="false" ht="15" hidden="false" customHeight="false" outlineLevel="0" collapsed="false">
      <c r="A340" s="1"/>
      <c r="B340" s="22"/>
      <c r="C340" s="18" t="str">
        <f aca="false">IF(OR(A340="",COUNTIF('Injection Sales'!$B$2:$B$501,A340)+COUNTIF('Protein Sales'!$B$2:$B$501,A340)+COUNTIF('Diet Support'!$B$2:$B$501,A340)=0),"",MIN(IF(COUNTIF('Injection Sales'!$B$2:$B$501,A340),_xlfn.MINIFS('Injection Sales'!$A$2:$A$501,'Injection Sales'!$B$2:$B$501,A340),99999),IF(COUNTIF('Protein Sales'!$B$2:$B$501,A340),_xlfn.MINIFS('Protein Sales'!$A$2:$A$501,'Protein Sales'!$B$2:$B$501,A340),99999),IF(COUNTIF('Diet Support'!$B$2:$B$501,A340),_xlfn.MINIFS('Diet Support'!$A$2:$A$501,'Diet Support'!$B$2:$B$501,A340),99999)))</f>
        <v/>
      </c>
      <c r="D340" s="18" t="str">
        <f aca="false">IF(OR(A340="",COUNTIF('Injection Sales'!$B$2:$B$501,A340)+COUNTIF('Protein Sales'!$B$2:$B$501,A340)+COUNTIF('Diet Support'!$B$2:$B$501,A340)=0),"",MAX(_xlfn.MAXIFS('Injection Sales'!$A$2:$A$501,'Injection Sales'!$B$2:$B$501,A340),_xlfn.MAXIFS('Protein Sales'!$A$2:$A$501,'Protein Sales'!$B$2:$B$501,A340),_xlfn.MAXIFS('Diet Support'!$A$2:$A$501,'Diet Support'!$B$2:$B$501,A340)))</f>
        <v/>
      </c>
      <c r="E340" s="19" t="str">
        <f aca="false">IF(A340="","",COUNTIF('Injection Sales'!$B$2:$B$501,A340)+COUNTIF('Protein Sales'!$B$2:$B$501,A340)+COUNTIF('Diet Support'!$B$2:$B$501,A340))</f>
        <v/>
      </c>
      <c r="F340" s="20" t="str">
        <f aca="false">IF(A340="","",SUMIF('Injection Sales'!$B$2:$B$501,A340,'Injection Sales'!$G$2:$G$501)+SUMIF('Protein Sales'!$B$2:$B$501,A340,'Protein Sales'!$F$2:$F$501)+SUMIF('Diet Support'!$B$2:$B$501,A340,'Diet Support'!$E$2:$E$501))</f>
        <v/>
      </c>
      <c r="G340" s="21" t="str">
        <f aca="false">IF(OR(A340="",COUNTIF('Injection Sales'!$B$2:$B$501,A340)=0),"",IFERROR(LOOKUP(2,1/(('Injection Sales'!$B$2:$B$501=A340)*('Injection Sales'!$A$2:$A$501=_xlfn.MAXIFS('Injection Sales'!$A$2:$A$501,'Injection Sales'!$B$2:$B$501,A340))),'Injection Sales'!$E$2:$E$501),""))</f>
        <v/>
      </c>
      <c r="H340" s="21" t="str">
        <f aca="false">IF(OR(A340="",COUNTIF('Injection Sales'!$B$2:$B$501,A340)=0),"",IFERROR(LOOKUP(2,1/(('Injection Sales'!$B$2:$B$501=A340)*('Injection Sales'!$A$2:$A$501=_xlfn.MAXIFS('Injection Sales'!$A$2:$A$501,'Injection Sales'!$B$2:$B$501,A340))),'Injection Sales'!$H$2:$H$501),""))</f>
        <v/>
      </c>
      <c r="I340" s="21" t="str">
        <f aca="true">IF(OR(A340="",D340=""),"",IF(TODAY()-D340&lt;=Settings!$B$7,"Active","Inactive"))</f>
        <v/>
      </c>
    </row>
    <row r="341" customFormat="false" ht="15" hidden="false" customHeight="false" outlineLevel="0" collapsed="false">
      <c r="A341" s="1"/>
      <c r="B341" s="22"/>
      <c r="C341" s="18" t="str">
        <f aca="false">IF(OR(A341="",COUNTIF('Injection Sales'!$B$2:$B$501,A341)+COUNTIF('Protein Sales'!$B$2:$B$501,A341)+COUNTIF('Diet Support'!$B$2:$B$501,A341)=0),"",MIN(IF(COUNTIF('Injection Sales'!$B$2:$B$501,A341),_xlfn.MINIFS('Injection Sales'!$A$2:$A$501,'Injection Sales'!$B$2:$B$501,A341),99999),IF(COUNTIF('Protein Sales'!$B$2:$B$501,A341),_xlfn.MINIFS('Protein Sales'!$A$2:$A$501,'Protein Sales'!$B$2:$B$501,A341),99999),IF(COUNTIF('Diet Support'!$B$2:$B$501,A341),_xlfn.MINIFS('Diet Support'!$A$2:$A$501,'Diet Support'!$B$2:$B$501,A341),99999)))</f>
        <v/>
      </c>
      <c r="D341" s="18" t="str">
        <f aca="false">IF(OR(A341="",COUNTIF('Injection Sales'!$B$2:$B$501,A341)+COUNTIF('Protein Sales'!$B$2:$B$501,A341)+COUNTIF('Diet Support'!$B$2:$B$501,A341)=0),"",MAX(_xlfn.MAXIFS('Injection Sales'!$A$2:$A$501,'Injection Sales'!$B$2:$B$501,A341),_xlfn.MAXIFS('Protein Sales'!$A$2:$A$501,'Protein Sales'!$B$2:$B$501,A341),_xlfn.MAXIFS('Diet Support'!$A$2:$A$501,'Diet Support'!$B$2:$B$501,A341)))</f>
        <v/>
      </c>
      <c r="E341" s="19" t="str">
        <f aca="false">IF(A341="","",COUNTIF('Injection Sales'!$B$2:$B$501,A341)+COUNTIF('Protein Sales'!$B$2:$B$501,A341)+COUNTIF('Diet Support'!$B$2:$B$501,A341))</f>
        <v/>
      </c>
      <c r="F341" s="20" t="str">
        <f aca="false">IF(A341="","",SUMIF('Injection Sales'!$B$2:$B$501,A341,'Injection Sales'!$G$2:$G$501)+SUMIF('Protein Sales'!$B$2:$B$501,A341,'Protein Sales'!$F$2:$F$501)+SUMIF('Diet Support'!$B$2:$B$501,A341,'Diet Support'!$E$2:$E$501))</f>
        <v/>
      </c>
      <c r="G341" s="21" t="str">
        <f aca="false">IF(OR(A341="",COUNTIF('Injection Sales'!$B$2:$B$501,A341)=0),"",IFERROR(LOOKUP(2,1/(('Injection Sales'!$B$2:$B$501=A341)*('Injection Sales'!$A$2:$A$501=_xlfn.MAXIFS('Injection Sales'!$A$2:$A$501,'Injection Sales'!$B$2:$B$501,A341))),'Injection Sales'!$E$2:$E$501),""))</f>
        <v/>
      </c>
      <c r="H341" s="21" t="str">
        <f aca="false">IF(OR(A341="",COUNTIF('Injection Sales'!$B$2:$B$501,A341)=0),"",IFERROR(LOOKUP(2,1/(('Injection Sales'!$B$2:$B$501=A341)*('Injection Sales'!$A$2:$A$501=_xlfn.MAXIFS('Injection Sales'!$A$2:$A$501,'Injection Sales'!$B$2:$B$501,A341))),'Injection Sales'!$H$2:$H$501),""))</f>
        <v/>
      </c>
      <c r="I341" s="21" t="str">
        <f aca="true">IF(OR(A341="",D341=""),"",IF(TODAY()-D341&lt;=Settings!$B$7,"Active","Inactive"))</f>
        <v/>
      </c>
    </row>
    <row r="342" customFormat="false" ht="15" hidden="false" customHeight="false" outlineLevel="0" collapsed="false">
      <c r="A342" s="1"/>
      <c r="B342" s="22"/>
      <c r="C342" s="18" t="str">
        <f aca="false">IF(OR(A342="",COUNTIF('Injection Sales'!$B$2:$B$501,A342)+COUNTIF('Protein Sales'!$B$2:$B$501,A342)+COUNTIF('Diet Support'!$B$2:$B$501,A342)=0),"",MIN(IF(COUNTIF('Injection Sales'!$B$2:$B$501,A342),_xlfn.MINIFS('Injection Sales'!$A$2:$A$501,'Injection Sales'!$B$2:$B$501,A342),99999),IF(COUNTIF('Protein Sales'!$B$2:$B$501,A342),_xlfn.MINIFS('Protein Sales'!$A$2:$A$501,'Protein Sales'!$B$2:$B$501,A342),99999),IF(COUNTIF('Diet Support'!$B$2:$B$501,A342),_xlfn.MINIFS('Diet Support'!$A$2:$A$501,'Diet Support'!$B$2:$B$501,A342),99999)))</f>
        <v/>
      </c>
      <c r="D342" s="18" t="str">
        <f aca="false">IF(OR(A342="",COUNTIF('Injection Sales'!$B$2:$B$501,A342)+COUNTIF('Protein Sales'!$B$2:$B$501,A342)+COUNTIF('Diet Support'!$B$2:$B$501,A342)=0),"",MAX(_xlfn.MAXIFS('Injection Sales'!$A$2:$A$501,'Injection Sales'!$B$2:$B$501,A342),_xlfn.MAXIFS('Protein Sales'!$A$2:$A$501,'Protein Sales'!$B$2:$B$501,A342),_xlfn.MAXIFS('Diet Support'!$A$2:$A$501,'Diet Support'!$B$2:$B$501,A342)))</f>
        <v/>
      </c>
      <c r="E342" s="19" t="str">
        <f aca="false">IF(A342="","",COUNTIF('Injection Sales'!$B$2:$B$501,A342)+COUNTIF('Protein Sales'!$B$2:$B$501,A342)+COUNTIF('Diet Support'!$B$2:$B$501,A342))</f>
        <v/>
      </c>
      <c r="F342" s="20" t="str">
        <f aca="false">IF(A342="","",SUMIF('Injection Sales'!$B$2:$B$501,A342,'Injection Sales'!$G$2:$G$501)+SUMIF('Protein Sales'!$B$2:$B$501,A342,'Protein Sales'!$F$2:$F$501)+SUMIF('Diet Support'!$B$2:$B$501,A342,'Diet Support'!$E$2:$E$501))</f>
        <v/>
      </c>
      <c r="G342" s="21" t="str">
        <f aca="false">IF(OR(A342="",COUNTIF('Injection Sales'!$B$2:$B$501,A342)=0),"",IFERROR(LOOKUP(2,1/(('Injection Sales'!$B$2:$B$501=A342)*('Injection Sales'!$A$2:$A$501=_xlfn.MAXIFS('Injection Sales'!$A$2:$A$501,'Injection Sales'!$B$2:$B$501,A342))),'Injection Sales'!$E$2:$E$501),""))</f>
        <v/>
      </c>
      <c r="H342" s="21" t="str">
        <f aca="false">IF(OR(A342="",COUNTIF('Injection Sales'!$B$2:$B$501,A342)=0),"",IFERROR(LOOKUP(2,1/(('Injection Sales'!$B$2:$B$501=A342)*('Injection Sales'!$A$2:$A$501=_xlfn.MAXIFS('Injection Sales'!$A$2:$A$501,'Injection Sales'!$B$2:$B$501,A342))),'Injection Sales'!$H$2:$H$501),""))</f>
        <v/>
      </c>
      <c r="I342" s="21" t="str">
        <f aca="true">IF(OR(A342="",D342=""),"",IF(TODAY()-D342&lt;=Settings!$B$7,"Active","Inactive"))</f>
        <v/>
      </c>
    </row>
    <row r="343" customFormat="false" ht="15" hidden="false" customHeight="false" outlineLevel="0" collapsed="false">
      <c r="A343" s="1"/>
      <c r="B343" s="22"/>
      <c r="C343" s="18" t="str">
        <f aca="false">IF(OR(A343="",COUNTIF('Injection Sales'!$B$2:$B$501,A343)+COUNTIF('Protein Sales'!$B$2:$B$501,A343)+COUNTIF('Diet Support'!$B$2:$B$501,A343)=0),"",MIN(IF(COUNTIF('Injection Sales'!$B$2:$B$501,A343),_xlfn.MINIFS('Injection Sales'!$A$2:$A$501,'Injection Sales'!$B$2:$B$501,A343),99999),IF(COUNTIF('Protein Sales'!$B$2:$B$501,A343),_xlfn.MINIFS('Protein Sales'!$A$2:$A$501,'Protein Sales'!$B$2:$B$501,A343),99999),IF(COUNTIF('Diet Support'!$B$2:$B$501,A343),_xlfn.MINIFS('Diet Support'!$A$2:$A$501,'Diet Support'!$B$2:$B$501,A343),99999)))</f>
        <v/>
      </c>
      <c r="D343" s="18" t="str">
        <f aca="false">IF(OR(A343="",COUNTIF('Injection Sales'!$B$2:$B$501,A343)+COUNTIF('Protein Sales'!$B$2:$B$501,A343)+COUNTIF('Diet Support'!$B$2:$B$501,A343)=0),"",MAX(_xlfn.MAXIFS('Injection Sales'!$A$2:$A$501,'Injection Sales'!$B$2:$B$501,A343),_xlfn.MAXIFS('Protein Sales'!$A$2:$A$501,'Protein Sales'!$B$2:$B$501,A343),_xlfn.MAXIFS('Diet Support'!$A$2:$A$501,'Diet Support'!$B$2:$B$501,A343)))</f>
        <v/>
      </c>
      <c r="E343" s="19" t="str">
        <f aca="false">IF(A343="","",COUNTIF('Injection Sales'!$B$2:$B$501,A343)+COUNTIF('Protein Sales'!$B$2:$B$501,A343)+COUNTIF('Diet Support'!$B$2:$B$501,A343))</f>
        <v/>
      </c>
      <c r="F343" s="20" t="str">
        <f aca="false">IF(A343="","",SUMIF('Injection Sales'!$B$2:$B$501,A343,'Injection Sales'!$G$2:$G$501)+SUMIF('Protein Sales'!$B$2:$B$501,A343,'Protein Sales'!$F$2:$F$501)+SUMIF('Diet Support'!$B$2:$B$501,A343,'Diet Support'!$E$2:$E$501))</f>
        <v/>
      </c>
      <c r="G343" s="21" t="str">
        <f aca="false">IF(OR(A343="",COUNTIF('Injection Sales'!$B$2:$B$501,A343)=0),"",IFERROR(LOOKUP(2,1/(('Injection Sales'!$B$2:$B$501=A343)*('Injection Sales'!$A$2:$A$501=_xlfn.MAXIFS('Injection Sales'!$A$2:$A$501,'Injection Sales'!$B$2:$B$501,A343))),'Injection Sales'!$E$2:$E$501),""))</f>
        <v/>
      </c>
      <c r="H343" s="21" t="str">
        <f aca="false">IF(OR(A343="",COUNTIF('Injection Sales'!$B$2:$B$501,A343)=0),"",IFERROR(LOOKUP(2,1/(('Injection Sales'!$B$2:$B$501=A343)*('Injection Sales'!$A$2:$A$501=_xlfn.MAXIFS('Injection Sales'!$A$2:$A$501,'Injection Sales'!$B$2:$B$501,A343))),'Injection Sales'!$H$2:$H$501),""))</f>
        <v/>
      </c>
      <c r="I343" s="21" t="str">
        <f aca="true">IF(OR(A343="",D343=""),"",IF(TODAY()-D343&lt;=Settings!$B$7,"Active","Inactive"))</f>
        <v/>
      </c>
    </row>
    <row r="344" customFormat="false" ht="15" hidden="false" customHeight="false" outlineLevel="0" collapsed="false">
      <c r="A344" s="1"/>
      <c r="B344" s="22"/>
      <c r="C344" s="18" t="str">
        <f aca="false">IF(OR(A344="",COUNTIF('Injection Sales'!$B$2:$B$501,A344)+COUNTIF('Protein Sales'!$B$2:$B$501,A344)+COUNTIF('Diet Support'!$B$2:$B$501,A344)=0),"",MIN(IF(COUNTIF('Injection Sales'!$B$2:$B$501,A344),_xlfn.MINIFS('Injection Sales'!$A$2:$A$501,'Injection Sales'!$B$2:$B$501,A344),99999),IF(COUNTIF('Protein Sales'!$B$2:$B$501,A344),_xlfn.MINIFS('Protein Sales'!$A$2:$A$501,'Protein Sales'!$B$2:$B$501,A344),99999),IF(COUNTIF('Diet Support'!$B$2:$B$501,A344),_xlfn.MINIFS('Diet Support'!$A$2:$A$501,'Diet Support'!$B$2:$B$501,A344),99999)))</f>
        <v/>
      </c>
      <c r="D344" s="18" t="str">
        <f aca="false">IF(OR(A344="",COUNTIF('Injection Sales'!$B$2:$B$501,A344)+COUNTIF('Protein Sales'!$B$2:$B$501,A344)+COUNTIF('Diet Support'!$B$2:$B$501,A344)=0),"",MAX(_xlfn.MAXIFS('Injection Sales'!$A$2:$A$501,'Injection Sales'!$B$2:$B$501,A344),_xlfn.MAXIFS('Protein Sales'!$A$2:$A$501,'Protein Sales'!$B$2:$B$501,A344),_xlfn.MAXIFS('Diet Support'!$A$2:$A$501,'Diet Support'!$B$2:$B$501,A344)))</f>
        <v/>
      </c>
      <c r="E344" s="19" t="str">
        <f aca="false">IF(A344="","",COUNTIF('Injection Sales'!$B$2:$B$501,A344)+COUNTIF('Protein Sales'!$B$2:$B$501,A344)+COUNTIF('Diet Support'!$B$2:$B$501,A344))</f>
        <v/>
      </c>
      <c r="F344" s="20" t="str">
        <f aca="false">IF(A344="","",SUMIF('Injection Sales'!$B$2:$B$501,A344,'Injection Sales'!$G$2:$G$501)+SUMIF('Protein Sales'!$B$2:$B$501,A344,'Protein Sales'!$F$2:$F$501)+SUMIF('Diet Support'!$B$2:$B$501,A344,'Diet Support'!$E$2:$E$501))</f>
        <v/>
      </c>
      <c r="G344" s="21" t="str">
        <f aca="false">IF(OR(A344="",COUNTIF('Injection Sales'!$B$2:$B$501,A344)=0),"",IFERROR(LOOKUP(2,1/(('Injection Sales'!$B$2:$B$501=A344)*('Injection Sales'!$A$2:$A$501=_xlfn.MAXIFS('Injection Sales'!$A$2:$A$501,'Injection Sales'!$B$2:$B$501,A344))),'Injection Sales'!$E$2:$E$501),""))</f>
        <v/>
      </c>
      <c r="H344" s="21" t="str">
        <f aca="false">IF(OR(A344="",COUNTIF('Injection Sales'!$B$2:$B$501,A344)=0),"",IFERROR(LOOKUP(2,1/(('Injection Sales'!$B$2:$B$501=A344)*('Injection Sales'!$A$2:$A$501=_xlfn.MAXIFS('Injection Sales'!$A$2:$A$501,'Injection Sales'!$B$2:$B$501,A344))),'Injection Sales'!$H$2:$H$501),""))</f>
        <v/>
      </c>
      <c r="I344" s="21" t="str">
        <f aca="true">IF(OR(A344="",D344=""),"",IF(TODAY()-D344&lt;=Settings!$B$7,"Active","Inactive"))</f>
        <v/>
      </c>
    </row>
    <row r="345" customFormat="false" ht="15" hidden="false" customHeight="false" outlineLevel="0" collapsed="false">
      <c r="A345" s="1"/>
      <c r="B345" s="22"/>
      <c r="C345" s="18" t="str">
        <f aca="false">IF(OR(A345="",COUNTIF('Injection Sales'!$B$2:$B$501,A345)+COUNTIF('Protein Sales'!$B$2:$B$501,A345)+COUNTIF('Diet Support'!$B$2:$B$501,A345)=0),"",MIN(IF(COUNTIF('Injection Sales'!$B$2:$B$501,A345),_xlfn.MINIFS('Injection Sales'!$A$2:$A$501,'Injection Sales'!$B$2:$B$501,A345),99999),IF(COUNTIF('Protein Sales'!$B$2:$B$501,A345),_xlfn.MINIFS('Protein Sales'!$A$2:$A$501,'Protein Sales'!$B$2:$B$501,A345),99999),IF(COUNTIF('Diet Support'!$B$2:$B$501,A345),_xlfn.MINIFS('Diet Support'!$A$2:$A$501,'Diet Support'!$B$2:$B$501,A345),99999)))</f>
        <v/>
      </c>
      <c r="D345" s="18" t="str">
        <f aca="false">IF(OR(A345="",COUNTIF('Injection Sales'!$B$2:$B$501,A345)+COUNTIF('Protein Sales'!$B$2:$B$501,A345)+COUNTIF('Diet Support'!$B$2:$B$501,A345)=0),"",MAX(_xlfn.MAXIFS('Injection Sales'!$A$2:$A$501,'Injection Sales'!$B$2:$B$501,A345),_xlfn.MAXIFS('Protein Sales'!$A$2:$A$501,'Protein Sales'!$B$2:$B$501,A345),_xlfn.MAXIFS('Diet Support'!$A$2:$A$501,'Diet Support'!$B$2:$B$501,A345)))</f>
        <v/>
      </c>
      <c r="E345" s="19" t="str">
        <f aca="false">IF(A345="","",COUNTIF('Injection Sales'!$B$2:$B$501,A345)+COUNTIF('Protein Sales'!$B$2:$B$501,A345)+COUNTIF('Diet Support'!$B$2:$B$501,A345))</f>
        <v/>
      </c>
      <c r="F345" s="20" t="str">
        <f aca="false">IF(A345="","",SUMIF('Injection Sales'!$B$2:$B$501,A345,'Injection Sales'!$G$2:$G$501)+SUMIF('Protein Sales'!$B$2:$B$501,A345,'Protein Sales'!$F$2:$F$501)+SUMIF('Diet Support'!$B$2:$B$501,A345,'Diet Support'!$E$2:$E$501))</f>
        <v/>
      </c>
      <c r="G345" s="21" t="str">
        <f aca="false">IF(OR(A345="",COUNTIF('Injection Sales'!$B$2:$B$501,A345)=0),"",IFERROR(LOOKUP(2,1/(('Injection Sales'!$B$2:$B$501=A345)*('Injection Sales'!$A$2:$A$501=_xlfn.MAXIFS('Injection Sales'!$A$2:$A$501,'Injection Sales'!$B$2:$B$501,A345))),'Injection Sales'!$E$2:$E$501),""))</f>
        <v/>
      </c>
      <c r="H345" s="21" t="str">
        <f aca="false">IF(OR(A345="",COUNTIF('Injection Sales'!$B$2:$B$501,A345)=0),"",IFERROR(LOOKUP(2,1/(('Injection Sales'!$B$2:$B$501=A345)*('Injection Sales'!$A$2:$A$501=_xlfn.MAXIFS('Injection Sales'!$A$2:$A$501,'Injection Sales'!$B$2:$B$501,A345))),'Injection Sales'!$H$2:$H$501),""))</f>
        <v/>
      </c>
      <c r="I345" s="21" t="str">
        <f aca="true">IF(OR(A345="",D345=""),"",IF(TODAY()-D345&lt;=Settings!$B$7,"Active","Inactive"))</f>
        <v/>
      </c>
    </row>
    <row r="346" customFormat="false" ht="15" hidden="false" customHeight="false" outlineLevel="0" collapsed="false">
      <c r="A346" s="1"/>
      <c r="B346" s="22"/>
      <c r="C346" s="18" t="str">
        <f aca="false">IF(OR(A346="",COUNTIF('Injection Sales'!$B$2:$B$501,A346)+COUNTIF('Protein Sales'!$B$2:$B$501,A346)+COUNTIF('Diet Support'!$B$2:$B$501,A346)=0),"",MIN(IF(COUNTIF('Injection Sales'!$B$2:$B$501,A346),_xlfn.MINIFS('Injection Sales'!$A$2:$A$501,'Injection Sales'!$B$2:$B$501,A346),99999),IF(COUNTIF('Protein Sales'!$B$2:$B$501,A346),_xlfn.MINIFS('Protein Sales'!$A$2:$A$501,'Protein Sales'!$B$2:$B$501,A346),99999),IF(COUNTIF('Diet Support'!$B$2:$B$501,A346),_xlfn.MINIFS('Diet Support'!$A$2:$A$501,'Diet Support'!$B$2:$B$501,A346),99999)))</f>
        <v/>
      </c>
      <c r="D346" s="18" t="str">
        <f aca="false">IF(OR(A346="",COUNTIF('Injection Sales'!$B$2:$B$501,A346)+COUNTIF('Protein Sales'!$B$2:$B$501,A346)+COUNTIF('Diet Support'!$B$2:$B$501,A346)=0),"",MAX(_xlfn.MAXIFS('Injection Sales'!$A$2:$A$501,'Injection Sales'!$B$2:$B$501,A346),_xlfn.MAXIFS('Protein Sales'!$A$2:$A$501,'Protein Sales'!$B$2:$B$501,A346),_xlfn.MAXIFS('Diet Support'!$A$2:$A$501,'Diet Support'!$B$2:$B$501,A346)))</f>
        <v/>
      </c>
      <c r="E346" s="19" t="str">
        <f aca="false">IF(A346="","",COUNTIF('Injection Sales'!$B$2:$B$501,A346)+COUNTIF('Protein Sales'!$B$2:$B$501,A346)+COUNTIF('Diet Support'!$B$2:$B$501,A346))</f>
        <v/>
      </c>
      <c r="F346" s="20" t="str">
        <f aca="false">IF(A346="","",SUMIF('Injection Sales'!$B$2:$B$501,A346,'Injection Sales'!$G$2:$G$501)+SUMIF('Protein Sales'!$B$2:$B$501,A346,'Protein Sales'!$F$2:$F$501)+SUMIF('Diet Support'!$B$2:$B$501,A346,'Diet Support'!$E$2:$E$501))</f>
        <v/>
      </c>
      <c r="G346" s="21" t="str">
        <f aca="false">IF(OR(A346="",COUNTIF('Injection Sales'!$B$2:$B$501,A346)=0),"",IFERROR(LOOKUP(2,1/(('Injection Sales'!$B$2:$B$501=A346)*('Injection Sales'!$A$2:$A$501=_xlfn.MAXIFS('Injection Sales'!$A$2:$A$501,'Injection Sales'!$B$2:$B$501,A346))),'Injection Sales'!$E$2:$E$501),""))</f>
        <v/>
      </c>
      <c r="H346" s="21" t="str">
        <f aca="false">IF(OR(A346="",COUNTIF('Injection Sales'!$B$2:$B$501,A346)=0),"",IFERROR(LOOKUP(2,1/(('Injection Sales'!$B$2:$B$501=A346)*('Injection Sales'!$A$2:$A$501=_xlfn.MAXIFS('Injection Sales'!$A$2:$A$501,'Injection Sales'!$B$2:$B$501,A346))),'Injection Sales'!$H$2:$H$501),""))</f>
        <v/>
      </c>
      <c r="I346" s="21" t="str">
        <f aca="true">IF(OR(A346="",D346=""),"",IF(TODAY()-D346&lt;=Settings!$B$7,"Active","Inactive"))</f>
        <v/>
      </c>
    </row>
    <row r="347" customFormat="false" ht="15" hidden="false" customHeight="false" outlineLevel="0" collapsed="false">
      <c r="A347" s="1"/>
      <c r="B347" s="22"/>
      <c r="C347" s="18" t="str">
        <f aca="false">IF(OR(A347="",COUNTIF('Injection Sales'!$B$2:$B$501,A347)+COUNTIF('Protein Sales'!$B$2:$B$501,A347)+COUNTIF('Diet Support'!$B$2:$B$501,A347)=0),"",MIN(IF(COUNTIF('Injection Sales'!$B$2:$B$501,A347),_xlfn.MINIFS('Injection Sales'!$A$2:$A$501,'Injection Sales'!$B$2:$B$501,A347),99999),IF(COUNTIF('Protein Sales'!$B$2:$B$501,A347),_xlfn.MINIFS('Protein Sales'!$A$2:$A$501,'Protein Sales'!$B$2:$B$501,A347),99999),IF(COUNTIF('Diet Support'!$B$2:$B$501,A347),_xlfn.MINIFS('Diet Support'!$A$2:$A$501,'Diet Support'!$B$2:$B$501,A347),99999)))</f>
        <v/>
      </c>
      <c r="D347" s="18" t="str">
        <f aca="false">IF(OR(A347="",COUNTIF('Injection Sales'!$B$2:$B$501,A347)+COUNTIF('Protein Sales'!$B$2:$B$501,A347)+COUNTIF('Diet Support'!$B$2:$B$501,A347)=0),"",MAX(_xlfn.MAXIFS('Injection Sales'!$A$2:$A$501,'Injection Sales'!$B$2:$B$501,A347),_xlfn.MAXIFS('Protein Sales'!$A$2:$A$501,'Protein Sales'!$B$2:$B$501,A347),_xlfn.MAXIFS('Diet Support'!$A$2:$A$501,'Diet Support'!$B$2:$B$501,A347)))</f>
        <v/>
      </c>
      <c r="E347" s="19" t="str">
        <f aca="false">IF(A347="","",COUNTIF('Injection Sales'!$B$2:$B$501,A347)+COUNTIF('Protein Sales'!$B$2:$B$501,A347)+COUNTIF('Diet Support'!$B$2:$B$501,A347))</f>
        <v/>
      </c>
      <c r="F347" s="20" t="str">
        <f aca="false">IF(A347="","",SUMIF('Injection Sales'!$B$2:$B$501,A347,'Injection Sales'!$G$2:$G$501)+SUMIF('Protein Sales'!$B$2:$B$501,A347,'Protein Sales'!$F$2:$F$501)+SUMIF('Diet Support'!$B$2:$B$501,A347,'Diet Support'!$E$2:$E$501))</f>
        <v/>
      </c>
      <c r="G347" s="21" t="str">
        <f aca="false">IF(OR(A347="",COUNTIF('Injection Sales'!$B$2:$B$501,A347)=0),"",IFERROR(LOOKUP(2,1/(('Injection Sales'!$B$2:$B$501=A347)*('Injection Sales'!$A$2:$A$501=_xlfn.MAXIFS('Injection Sales'!$A$2:$A$501,'Injection Sales'!$B$2:$B$501,A347))),'Injection Sales'!$E$2:$E$501),""))</f>
        <v/>
      </c>
      <c r="H347" s="21" t="str">
        <f aca="false">IF(OR(A347="",COUNTIF('Injection Sales'!$B$2:$B$501,A347)=0),"",IFERROR(LOOKUP(2,1/(('Injection Sales'!$B$2:$B$501=A347)*('Injection Sales'!$A$2:$A$501=_xlfn.MAXIFS('Injection Sales'!$A$2:$A$501,'Injection Sales'!$B$2:$B$501,A347))),'Injection Sales'!$H$2:$H$501),""))</f>
        <v/>
      </c>
      <c r="I347" s="21" t="str">
        <f aca="true">IF(OR(A347="",D347=""),"",IF(TODAY()-D347&lt;=Settings!$B$7,"Active","Inactive"))</f>
        <v/>
      </c>
    </row>
    <row r="348" customFormat="false" ht="15" hidden="false" customHeight="false" outlineLevel="0" collapsed="false">
      <c r="A348" s="1"/>
      <c r="B348" s="22"/>
      <c r="C348" s="18" t="str">
        <f aca="false">IF(OR(A348="",COUNTIF('Injection Sales'!$B$2:$B$501,A348)+COUNTIF('Protein Sales'!$B$2:$B$501,A348)+COUNTIF('Diet Support'!$B$2:$B$501,A348)=0),"",MIN(IF(COUNTIF('Injection Sales'!$B$2:$B$501,A348),_xlfn.MINIFS('Injection Sales'!$A$2:$A$501,'Injection Sales'!$B$2:$B$501,A348),99999),IF(COUNTIF('Protein Sales'!$B$2:$B$501,A348),_xlfn.MINIFS('Protein Sales'!$A$2:$A$501,'Protein Sales'!$B$2:$B$501,A348),99999),IF(COUNTIF('Diet Support'!$B$2:$B$501,A348),_xlfn.MINIFS('Diet Support'!$A$2:$A$501,'Diet Support'!$B$2:$B$501,A348),99999)))</f>
        <v/>
      </c>
      <c r="D348" s="18" t="str">
        <f aca="false">IF(OR(A348="",COUNTIF('Injection Sales'!$B$2:$B$501,A348)+COUNTIF('Protein Sales'!$B$2:$B$501,A348)+COUNTIF('Diet Support'!$B$2:$B$501,A348)=0),"",MAX(_xlfn.MAXIFS('Injection Sales'!$A$2:$A$501,'Injection Sales'!$B$2:$B$501,A348),_xlfn.MAXIFS('Protein Sales'!$A$2:$A$501,'Protein Sales'!$B$2:$B$501,A348),_xlfn.MAXIFS('Diet Support'!$A$2:$A$501,'Diet Support'!$B$2:$B$501,A348)))</f>
        <v/>
      </c>
      <c r="E348" s="19" t="str">
        <f aca="false">IF(A348="","",COUNTIF('Injection Sales'!$B$2:$B$501,A348)+COUNTIF('Protein Sales'!$B$2:$B$501,A348)+COUNTIF('Diet Support'!$B$2:$B$501,A348))</f>
        <v/>
      </c>
      <c r="F348" s="20" t="str">
        <f aca="false">IF(A348="","",SUMIF('Injection Sales'!$B$2:$B$501,A348,'Injection Sales'!$G$2:$G$501)+SUMIF('Protein Sales'!$B$2:$B$501,A348,'Protein Sales'!$F$2:$F$501)+SUMIF('Diet Support'!$B$2:$B$501,A348,'Diet Support'!$E$2:$E$501))</f>
        <v/>
      </c>
      <c r="G348" s="21" t="str">
        <f aca="false">IF(OR(A348="",COUNTIF('Injection Sales'!$B$2:$B$501,A348)=0),"",IFERROR(LOOKUP(2,1/(('Injection Sales'!$B$2:$B$501=A348)*('Injection Sales'!$A$2:$A$501=_xlfn.MAXIFS('Injection Sales'!$A$2:$A$501,'Injection Sales'!$B$2:$B$501,A348))),'Injection Sales'!$E$2:$E$501),""))</f>
        <v/>
      </c>
      <c r="H348" s="21" t="str">
        <f aca="false">IF(OR(A348="",COUNTIF('Injection Sales'!$B$2:$B$501,A348)=0),"",IFERROR(LOOKUP(2,1/(('Injection Sales'!$B$2:$B$501=A348)*('Injection Sales'!$A$2:$A$501=_xlfn.MAXIFS('Injection Sales'!$A$2:$A$501,'Injection Sales'!$B$2:$B$501,A348))),'Injection Sales'!$H$2:$H$501),""))</f>
        <v/>
      </c>
      <c r="I348" s="21" t="str">
        <f aca="true">IF(OR(A348="",D348=""),"",IF(TODAY()-D348&lt;=Settings!$B$7,"Active","Inactive"))</f>
        <v/>
      </c>
    </row>
    <row r="349" customFormat="false" ht="15" hidden="false" customHeight="false" outlineLevel="0" collapsed="false">
      <c r="A349" s="1"/>
      <c r="B349" s="22"/>
      <c r="C349" s="18" t="str">
        <f aca="false">IF(OR(A349="",COUNTIF('Injection Sales'!$B$2:$B$501,A349)+COUNTIF('Protein Sales'!$B$2:$B$501,A349)+COUNTIF('Diet Support'!$B$2:$B$501,A349)=0),"",MIN(IF(COUNTIF('Injection Sales'!$B$2:$B$501,A349),_xlfn.MINIFS('Injection Sales'!$A$2:$A$501,'Injection Sales'!$B$2:$B$501,A349),99999),IF(COUNTIF('Protein Sales'!$B$2:$B$501,A349),_xlfn.MINIFS('Protein Sales'!$A$2:$A$501,'Protein Sales'!$B$2:$B$501,A349),99999),IF(COUNTIF('Diet Support'!$B$2:$B$501,A349),_xlfn.MINIFS('Diet Support'!$A$2:$A$501,'Diet Support'!$B$2:$B$501,A349),99999)))</f>
        <v/>
      </c>
      <c r="D349" s="18" t="str">
        <f aca="false">IF(OR(A349="",COUNTIF('Injection Sales'!$B$2:$B$501,A349)+COUNTIF('Protein Sales'!$B$2:$B$501,A349)+COUNTIF('Diet Support'!$B$2:$B$501,A349)=0),"",MAX(_xlfn.MAXIFS('Injection Sales'!$A$2:$A$501,'Injection Sales'!$B$2:$B$501,A349),_xlfn.MAXIFS('Protein Sales'!$A$2:$A$501,'Protein Sales'!$B$2:$B$501,A349),_xlfn.MAXIFS('Diet Support'!$A$2:$A$501,'Diet Support'!$B$2:$B$501,A349)))</f>
        <v/>
      </c>
      <c r="E349" s="19" t="str">
        <f aca="false">IF(A349="","",COUNTIF('Injection Sales'!$B$2:$B$501,A349)+COUNTIF('Protein Sales'!$B$2:$B$501,A349)+COUNTIF('Diet Support'!$B$2:$B$501,A349))</f>
        <v/>
      </c>
      <c r="F349" s="20" t="str">
        <f aca="false">IF(A349="","",SUMIF('Injection Sales'!$B$2:$B$501,A349,'Injection Sales'!$G$2:$G$501)+SUMIF('Protein Sales'!$B$2:$B$501,A349,'Protein Sales'!$F$2:$F$501)+SUMIF('Diet Support'!$B$2:$B$501,A349,'Diet Support'!$E$2:$E$501))</f>
        <v/>
      </c>
      <c r="G349" s="21" t="str">
        <f aca="false">IF(OR(A349="",COUNTIF('Injection Sales'!$B$2:$B$501,A349)=0),"",IFERROR(LOOKUP(2,1/(('Injection Sales'!$B$2:$B$501=A349)*('Injection Sales'!$A$2:$A$501=_xlfn.MAXIFS('Injection Sales'!$A$2:$A$501,'Injection Sales'!$B$2:$B$501,A349))),'Injection Sales'!$E$2:$E$501),""))</f>
        <v/>
      </c>
      <c r="H349" s="21" t="str">
        <f aca="false">IF(OR(A349="",COUNTIF('Injection Sales'!$B$2:$B$501,A349)=0),"",IFERROR(LOOKUP(2,1/(('Injection Sales'!$B$2:$B$501=A349)*('Injection Sales'!$A$2:$A$501=_xlfn.MAXIFS('Injection Sales'!$A$2:$A$501,'Injection Sales'!$B$2:$B$501,A349))),'Injection Sales'!$H$2:$H$501),""))</f>
        <v/>
      </c>
      <c r="I349" s="21" t="str">
        <f aca="true">IF(OR(A349="",D349=""),"",IF(TODAY()-D349&lt;=Settings!$B$7,"Active","Inactive"))</f>
        <v/>
      </c>
    </row>
    <row r="350" customFormat="false" ht="15" hidden="false" customHeight="false" outlineLevel="0" collapsed="false">
      <c r="A350" s="1"/>
      <c r="B350" s="22"/>
      <c r="C350" s="18" t="str">
        <f aca="false">IF(OR(A350="",COUNTIF('Injection Sales'!$B$2:$B$501,A350)+COUNTIF('Protein Sales'!$B$2:$B$501,A350)+COUNTIF('Diet Support'!$B$2:$B$501,A350)=0),"",MIN(IF(COUNTIF('Injection Sales'!$B$2:$B$501,A350),_xlfn.MINIFS('Injection Sales'!$A$2:$A$501,'Injection Sales'!$B$2:$B$501,A350),99999),IF(COUNTIF('Protein Sales'!$B$2:$B$501,A350),_xlfn.MINIFS('Protein Sales'!$A$2:$A$501,'Protein Sales'!$B$2:$B$501,A350),99999),IF(COUNTIF('Diet Support'!$B$2:$B$501,A350),_xlfn.MINIFS('Diet Support'!$A$2:$A$501,'Diet Support'!$B$2:$B$501,A350),99999)))</f>
        <v/>
      </c>
      <c r="D350" s="18" t="str">
        <f aca="false">IF(OR(A350="",COUNTIF('Injection Sales'!$B$2:$B$501,A350)+COUNTIF('Protein Sales'!$B$2:$B$501,A350)+COUNTIF('Diet Support'!$B$2:$B$501,A350)=0),"",MAX(_xlfn.MAXIFS('Injection Sales'!$A$2:$A$501,'Injection Sales'!$B$2:$B$501,A350),_xlfn.MAXIFS('Protein Sales'!$A$2:$A$501,'Protein Sales'!$B$2:$B$501,A350),_xlfn.MAXIFS('Diet Support'!$A$2:$A$501,'Diet Support'!$B$2:$B$501,A350)))</f>
        <v/>
      </c>
      <c r="E350" s="19" t="str">
        <f aca="false">IF(A350="","",COUNTIF('Injection Sales'!$B$2:$B$501,A350)+COUNTIF('Protein Sales'!$B$2:$B$501,A350)+COUNTIF('Diet Support'!$B$2:$B$501,A350))</f>
        <v/>
      </c>
      <c r="F350" s="20" t="str">
        <f aca="false">IF(A350="","",SUMIF('Injection Sales'!$B$2:$B$501,A350,'Injection Sales'!$G$2:$G$501)+SUMIF('Protein Sales'!$B$2:$B$501,A350,'Protein Sales'!$F$2:$F$501)+SUMIF('Diet Support'!$B$2:$B$501,A350,'Diet Support'!$E$2:$E$501))</f>
        <v/>
      </c>
      <c r="G350" s="21" t="str">
        <f aca="false">IF(OR(A350="",COUNTIF('Injection Sales'!$B$2:$B$501,A350)=0),"",IFERROR(LOOKUP(2,1/(('Injection Sales'!$B$2:$B$501=A350)*('Injection Sales'!$A$2:$A$501=_xlfn.MAXIFS('Injection Sales'!$A$2:$A$501,'Injection Sales'!$B$2:$B$501,A350))),'Injection Sales'!$E$2:$E$501),""))</f>
        <v/>
      </c>
      <c r="H350" s="21" t="str">
        <f aca="false">IF(OR(A350="",COUNTIF('Injection Sales'!$B$2:$B$501,A350)=0),"",IFERROR(LOOKUP(2,1/(('Injection Sales'!$B$2:$B$501=A350)*('Injection Sales'!$A$2:$A$501=_xlfn.MAXIFS('Injection Sales'!$A$2:$A$501,'Injection Sales'!$B$2:$B$501,A350))),'Injection Sales'!$H$2:$H$501),""))</f>
        <v/>
      </c>
      <c r="I350" s="21" t="str">
        <f aca="true">IF(OR(A350="",D350=""),"",IF(TODAY()-D350&lt;=Settings!$B$7,"Active","Inactive"))</f>
        <v/>
      </c>
    </row>
    <row r="351" customFormat="false" ht="15" hidden="false" customHeight="false" outlineLevel="0" collapsed="false">
      <c r="A351" s="1"/>
      <c r="B351" s="22"/>
      <c r="C351" s="18" t="str">
        <f aca="false">IF(OR(A351="",COUNTIF('Injection Sales'!$B$2:$B$501,A351)+COUNTIF('Protein Sales'!$B$2:$B$501,A351)+COUNTIF('Diet Support'!$B$2:$B$501,A351)=0),"",MIN(IF(COUNTIF('Injection Sales'!$B$2:$B$501,A351),_xlfn.MINIFS('Injection Sales'!$A$2:$A$501,'Injection Sales'!$B$2:$B$501,A351),99999),IF(COUNTIF('Protein Sales'!$B$2:$B$501,A351),_xlfn.MINIFS('Protein Sales'!$A$2:$A$501,'Protein Sales'!$B$2:$B$501,A351),99999),IF(COUNTIF('Diet Support'!$B$2:$B$501,A351),_xlfn.MINIFS('Diet Support'!$A$2:$A$501,'Diet Support'!$B$2:$B$501,A351),99999)))</f>
        <v/>
      </c>
      <c r="D351" s="18" t="str">
        <f aca="false">IF(OR(A351="",COUNTIF('Injection Sales'!$B$2:$B$501,A351)+COUNTIF('Protein Sales'!$B$2:$B$501,A351)+COUNTIF('Diet Support'!$B$2:$B$501,A351)=0),"",MAX(_xlfn.MAXIFS('Injection Sales'!$A$2:$A$501,'Injection Sales'!$B$2:$B$501,A351),_xlfn.MAXIFS('Protein Sales'!$A$2:$A$501,'Protein Sales'!$B$2:$B$501,A351),_xlfn.MAXIFS('Diet Support'!$A$2:$A$501,'Diet Support'!$B$2:$B$501,A351)))</f>
        <v/>
      </c>
      <c r="E351" s="19" t="str">
        <f aca="false">IF(A351="","",COUNTIF('Injection Sales'!$B$2:$B$501,A351)+COUNTIF('Protein Sales'!$B$2:$B$501,A351)+COUNTIF('Diet Support'!$B$2:$B$501,A351))</f>
        <v/>
      </c>
      <c r="F351" s="20" t="str">
        <f aca="false">IF(A351="","",SUMIF('Injection Sales'!$B$2:$B$501,A351,'Injection Sales'!$G$2:$G$501)+SUMIF('Protein Sales'!$B$2:$B$501,A351,'Protein Sales'!$F$2:$F$501)+SUMIF('Diet Support'!$B$2:$B$501,A351,'Diet Support'!$E$2:$E$501))</f>
        <v/>
      </c>
      <c r="G351" s="21" t="str">
        <f aca="false">IF(OR(A351="",COUNTIF('Injection Sales'!$B$2:$B$501,A351)=0),"",IFERROR(LOOKUP(2,1/(('Injection Sales'!$B$2:$B$501=A351)*('Injection Sales'!$A$2:$A$501=_xlfn.MAXIFS('Injection Sales'!$A$2:$A$501,'Injection Sales'!$B$2:$B$501,A351))),'Injection Sales'!$E$2:$E$501),""))</f>
        <v/>
      </c>
      <c r="H351" s="21" t="str">
        <f aca="false">IF(OR(A351="",COUNTIF('Injection Sales'!$B$2:$B$501,A351)=0),"",IFERROR(LOOKUP(2,1/(('Injection Sales'!$B$2:$B$501=A351)*('Injection Sales'!$A$2:$A$501=_xlfn.MAXIFS('Injection Sales'!$A$2:$A$501,'Injection Sales'!$B$2:$B$501,A351))),'Injection Sales'!$H$2:$H$501),""))</f>
        <v/>
      </c>
      <c r="I351" s="21" t="str">
        <f aca="true">IF(OR(A351="",D351=""),"",IF(TODAY()-D351&lt;=Settings!$B$7,"Active","Inactive"))</f>
        <v/>
      </c>
    </row>
    <row r="352" customFormat="false" ht="15" hidden="false" customHeight="false" outlineLevel="0" collapsed="false">
      <c r="A352" s="1"/>
      <c r="B352" s="22"/>
      <c r="C352" s="18" t="str">
        <f aca="false">IF(OR(A352="",COUNTIF('Injection Sales'!$B$2:$B$501,A352)+COUNTIF('Protein Sales'!$B$2:$B$501,A352)+COUNTIF('Diet Support'!$B$2:$B$501,A352)=0),"",MIN(IF(COUNTIF('Injection Sales'!$B$2:$B$501,A352),_xlfn.MINIFS('Injection Sales'!$A$2:$A$501,'Injection Sales'!$B$2:$B$501,A352),99999),IF(COUNTIF('Protein Sales'!$B$2:$B$501,A352),_xlfn.MINIFS('Protein Sales'!$A$2:$A$501,'Protein Sales'!$B$2:$B$501,A352),99999),IF(COUNTIF('Diet Support'!$B$2:$B$501,A352),_xlfn.MINIFS('Diet Support'!$A$2:$A$501,'Diet Support'!$B$2:$B$501,A352),99999)))</f>
        <v/>
      </c>
      <c r="D352" s="18" t="str">
        <f aca="false">IF(OR(A352="",COUNTIF('Injection Sales'!$B$2:$B$501,A352)+COUNTIF('Protein Sales'!$B$2:$B$501,A352)+COUNTIF('Diet Support'!$B$2:$B$501,A352)=0),"",MAX(_xlfn.MAXIFS('Injection Sales'!$A$2:$A$501,'Injection Sales'!$B$2:$B$501,A352),_xlfn.MAXIFS('Protein Sales'!$A$2:$A$501,'Protein Sales'!$B$2:$B$501,A352),_xlfn.MAXIFS('Diet Support'!$A$2:$A$501,'Diet Support'!$B$2:$B$501,A352)))</f>
        <v/>
      </c>
      <c r="E352" s="19" t="str">
        <f aca="false">IF(A352="","",COUNTIF('Injection Sales'!$B$2:$B$501,A352)+COUNTIF('Protein Sales'!$B$2:$B$501,A352)+COUNTIF('Diet Support'!$B$2:$B$501,A352))</f>
        <v/>
      </c>
      <c r="F352" s="20" t="str">
        <f aca="false">IF(A352="","",SUMIF('Injection Sales'!$B$2:$B$501,A352,'Injection Sales'!$G$2:$G$501)+SUMIF('Protein Sales'!$B$2:$B$501,A352,'Protein Sales'!$F$2:$F$501)+SUMIF('Diet Support'!$B$2:$B$501,A352,'Diet Support'!$E$2:$E$501))</f>
        <v/>
      </c>
      <c r="G352" s="21" t="str">
        <f aca="false">IF(OR(A352="",COUNTIF('Injection Sales'!$B$2:$B$501,A352)=0),"",IFERROR(LOOKUP(2,1/(('Injection Sales'!$B$2:$B$501=A352)*('Injection Sales'!$A$2:$A$501=_xlfn.MAXIFS('Injection Sales'!$A$2:$A$501,'Injection Sales'!$B$2:$B$501,A352))),'Injection Sales'!$E$2:$E$501),""))</f>
        <v/>
      </c>
      <c r="H352" s="21" t="str">
        <f aca="false">IF(OR(A352="",COUNTIF('Injection Sales'!$B$2:$B$501,A352)=0),"",IFERROR(LOOKUP(2,1/(('Injection Sales'!$B$2:$B$501=A352)*('Injection Sales'!$A$2:$A$501=_xlfn.MAXIFS('Injection Sales'!$A$2:$A$501,'Injection Sales'!$B$2:$B$501,A352))),'Injection Sales'!$H$2:$H$501),""))</f>
        <v/>
      </c>
      <c r="I352" s="21" t="str">
        <f aca="true">IF(OR(A352="",D352=""),"",IF(TODAY()-D352&lt;=Settings!$B$7,"Active","Inactive"))</f>
        <v/>
      </c>
    </row>
    <row r="353" customFormat="false" ht="15" hidden="false" customHeight="false" outlineLevel="0" collapsed="false">
      <c r="A353" s="1"/>
      <c r="B353" s="22"/>
      <c r="C353" s="18" t="str">
        <f aca="false">IF(OR(A353="",COUNTIF('Injection Sales'!$B$2:$B$501,A353)+COUNTIF('Protein Sales'!$B$2:$B$501,A353)+COUNTIF('Diet Support'!$B$2:$B$501,A353)=0),"",MIN(IF(COUNTIF('Injection Sales'!$B$2:$B$501,A353),_xlfn.MINIFS('Injection Sales'!$A$2:$A$501,'Injection Sales'!$B$2:$B$501,A353),99999),IF(COUNTIF('Protein Sales'!$B$2:$B$501,A353),_xlfn.MINIFS('Protein Sales'!$A$2:$A$501,'Protein Sales'!$B$2:$B$501,A353),99999),IF(COUNTIF('Diet Support'!$B$2:$B$501,A353),_xlfn.MINIFS('Diet Support'!$A$2:$A$501,'Diet Support'!$B$2:$B$501,A353),99999)))</f>
        <v/>
      </c>
      <c r="D353" s="18" t="str">
        <f aca="false">IF(OR(A353="",COUNTIF('Injection Sales'!$B$2:$B$501,A353)+COUNTIF('Protein Sales'!$B$2:$B$501,A353)+COUNTIF('Diet Support'!$B$2:$B$501,A353)=0),"",MAX(_xlfn.MAXIFS('Injection Sales'!$A$2:$A$501,'Injection Sales'!$B$2:$B$501,A353),_xlfn.MAXIFS('Protein Sales'!$A$2:$A$501,'Protein Sales'!$B$2:$B$501,A353),_xlfn.MAXIFS('Diet Support'!$A$2:$A$501,'Diet Support'!$B$2:$B$501,A353)))</f>
        <v/>
      </c>
      <c r="E353" s="19" t="str">
        <f aca="false">IF(A353="","",COUNTIF('Injection Sales'!$B$2:$B$501,A353)+COUNTIF('Protein Sales'!$B$2:$B$501,A353)+COUNTIF('Diet Support'!$B$2:$B$501,A353))</f>
        <v/>
      </c>
      <c r="F353" s="20" t="str">
        <f aca="false">IF(A353="","",SUMIF('Injection Sales'!$B$2:$B$501,A353,'Injection Sales'!$G$2:$G$501)+SUMIF('Protein Sales'!$B$2:$B$501,A353,'Protein Sales'!$F$2:$F$501)+SUMIF('Diet Support'!$B$2:$B$501,A353,'Diet Support'!$E$2:$E$501))</f>
        <v/>
      </c>
      <c r="G353" s="21" t="str">
        <f aca="false">IF(OR(A353="",COUNTIF('Injection Sales'!$B$2:$B$501,A353)=0),"",IFERROR(LOOKUP(2,1/(('Injection Sales'!$B$2:$B$501=A353)*('Injection Sales'!$A$2:$A$501=_xlfn.MAXIFS('Injection Sales'!$A$2:$A$501,'Injection Sales'!$B$2:$B$501,A353))),'Injection Sales'!$E$2:$E$501),""))</f>
        <v/>
      </c>
      <c r="H353" s="21" t="str">
        <f aca="false">IF(OR(A353="",COUNTIF('Injection Sales'!$B$2:$B$501,A353)=0),"",IFERROR(LOOKUP(2,1/(('Injection Sales'!$B$2:$B$501=A353)*('Injection Sales'!$A$2:$A$501=_xlfn.MAXIFS('Injection Sales'!$A$2:$A$501,'Injection Sales'!$B$2:$B$501,A353))),'Injection Sales'!$H$2:$H$501),""))</f>
        <v/>
      </c>
      <c r="I353" s="21" t="str">
        <f aca="true">IF(OR(A353="",D353=""),"",IF(TODAY()-D353&lt;=Settings!$B$7,"Active","Inactive"))</f>
        <v/>
      </c>
    </row>
    <row r="354" customFormat="false" ht="15" hidden="false" customHeight="false" outlineLevel="0" collapsed="false">
      <c r="A354" s="1"/>
      <c r="B354" s="22"/>
      <c r="C354" s="18" t="str">
        <f aca="false">IF(OR(A354="",COUNTIF('Injection Sales'!$B$2:$B$501,A354)+COUNTIF('Protein Sales'!$B$2:$B$501,A354)+COUNTIF('Diet Support'!$B$2:$B$501,A354)=0),"",MIN(IF(COUNTIF('Injection Sales'!$B$2:$B$501,A354),_xlfn.MINIFS('Injection Sales'!$A$2:$A$501,'Injection Sales'!$B$2:$B$501,A354),99999),IF(COUNTIF('Protein Sales'!$B$2:$B$501,A354),_xlfn.MINIFS('Protein Sales'!$A$2:$A$501,'Protein Sales'!$B$2:$B$501,A354),99999),IF(COUNTIF('Diet Support'!$B$2:$B$501,A354),_xlfn.MINIFS('Diet Support'!$A$2:$A$501,'Diet Support'!$B$2:$B$501,A354),99999)))</f>
        <v/>
      </c>
      <c r="D354" s="18" t="str">
        <f aca="false">IF(OR(A354="",COUNTIF('Injection Sales'!$B$2:$B$501,A354)+COUNTIF('Protein Sales'!$B$2:$B$501,A354)+COUNTIF('Diet Support'!$B$2:$B$501,A354)=0),"",MAX(_xlfn.MAXIFS('Injection Sales'!$A$2:$A$501,'Injection Sales'!$B$2:$B$501,A354),_xlfn.MAXIFS('Protein Sales'!$A$2:$A$501,'Protein Sales'!$B$2:$B$501,A354),_xlfn.MAXIFS('Diet Support'!$A$2:$A$501,'Diet Support'!$B$2:$B$501,A354)))</f>
        <v/>
      </c>
      <c r="E354" s="19" t="str">
        <f aca="false">IF(A354="","",COUNTIF('Injection Sales'!$B$2:$B$501,A354)+COUNTIF('Protein Sales'!$B$2:$B$501,A354)+COUNTIF('Diet Support'!$B$2:$B$501,A354))</f>
        <v/>
      </c>
      <c r="F354" s="20" t="str">
        <f aca="false">IF(A354="","",SUMIF('Injection Sales'!$B$2:$B$501,A354,'Injection Sales'!$G$2:$G$501)+SUMIF('Protein Sales'!$B$2:$B$501,A354,'Protein Sales'!$F$2:$F$501)+SUMIF('Diet Support'!$B$2:$B$501,A354,'Diet Support'!$E$2:$E$501))</f>
        <v/>
      </c>
      <c r="G354" s="21" t="str">
        <f aca="false">IF(OR(A354="",COUNTIF('Injection Sales'!$B$2:$B$501,A354)=0),"",IFERROR(LOOKUP(2,1/(('Injection Sales'!$B$2:$B$501=A354)*('Injection Sales'!$A$2:$A$501=_xlfn.MAXIFS('Injection Sales'!$A$2:$A$501,'Injection Sales'!$B$2:$B$501,A354))),'Injection Sales'!$E$2:$E$501),""))</f>
        <v/>
      </c>
      <c r="H354" s="21" t="str">
        <f aca="false">IF(OR(A354="",COUNTIF('Injection Sales'!$B$2:$B$501,A354)=0),"",IFERROR(LOOKUP(2,1/(('Injection Sales'!$B$2:$B$501=A354)*('Injection Sales'!$A$2:$A$501=_xlfn.MAXIFS('Injection Sales'!$A$2:$A$501,'Injection Sales'!$B$2:$B$501,A354))),'Injection Sales'!$H$2:$H$501),""))</f>
        <v/>
      </c>
      <c r="I354" s="21" t="str">
        <f aca="true">IF(OR(A354="",D354=""),"",IF(TODAY()-D354&lt;=Settings!$B$7,"Active","Inactive"))</f>
        <v/>
      </c>
    </row>
    <row r="355" customFormat="false" ht="15" hidden="false" customHeight="false" outlineLevel="0" collapsed="false">
      <c r="A355" s="1"/>
      <c r="B355" s="22"/>
      <c r="C355" s="18" t="str">
        <f aca="false">IF(OR(A355="",COUNTIF('Injection Sales'!$B$2:$B$501,A355)+COUNTIF('Protein Sales'!$B$2:$B$501,A355)+COUNTIF('Diet Support'!$B$2:$B$501,A355)=0),"",MIN(IF(COUNTIF('Injection Sales'!$B$2:$B$501,A355),_xlfn.MINIFS('Injection Sales'!$A$2:$A$501,'Injection Sales'!$B$2:$B$501,A355),99999),IF(COUNTIF('Protein Sales'!$B$2:$B$501,A355),_xlfn.MINIFS('Protein Sales'!$A$2:$A$501,'Protein Sales'!$B$2:$B$501,A355),99999),IF(COUNTIF('Diet Support'!$B$2:$B$501,A355),_xlfn.MINIFS('Diet Support'!$A$2:$A$501,'Diet Support'!$B$2:$B$501,A355),99999)))</f>
        <v/>
      </c>
      <c r="D355" s="18" t="str">
        <f aca="false">IF(OR(A355="",COUNTIF('Injection Sales'!$B$2:$B$501,A355)+COUNTIF('Protein Sales'!$B$2:$B$501,A355)+COUNTIF('Diet Support'!$B$2:$B$501,A355)=0),"",MAX(_xlfn.MAXIFS('Injection Sales'!$A$2:$A$501,'Injection Sales'!$B$2:$B$501,A355),_xlfn.MAXIFS('Protein Sales'!$A$2:$A$501,'Protein Sales'!$B$2:$B$501,A355),_xlfn.MAXIFS('Diet Support'!$A$2:$A$501,'Diet Support'!$B$2:$B$501,A355)))</f>
        <v/>
      </c>
      <c r="E355" s="19" t="str">
        <f aca="false">IF(A355="","",COUNTIF('Injection Sales'!$B$2:$B$501,A355)+COUNTIF('Protein Sales'!$B$2:$B$501,A355)+COUNTIF('Diet Support'!$B$2:$B$501,A355))</f>
        <v/>
      </c>
      <c r="F355" s="20" t="str">
        <f aca="false">IF(A355="","",SUMIF('Injection Sales'!$B$2:$B$501,A355,'Injection Sales'!$G$2:$G$501)+SUMIF('Protein Sales'!$B$2:$B$501,A355,'Protein Sales'!$F$2:$F$501)+SUMIF('Diet Support'!$B$2:$B$501,A355,'Diet Support'!$E$2:$E$501))</f>
        <v/>
      </c>
      <c r="G355" s="21" t="str">
        <f aca="false">IF(OR(A355="",COUNTIF('Injection Sales'!$B$2:$B$501,A355)=0),"",IFERROR(LOOKUP(2,1/(('Injection Sales'!$B$2:$B$501=A355)*('Injection Sales'!$A$2:$A$501=_xlfn.MAXIFS('Injection Sales'!$A$2:$A$501,'Injection Sales'!$B$2:$B$501,A355))),'Injection Sales'!$E$2:$E$501),""))</f>
        <v/>
      </c>
      <c r="H355" s="21" t="str">
        <f aca="false">IF(OR(A355="",COUNTIF('Injection Sales'!$B$2:$B$501,A355)=0),"",IFERROR(LOOKUP(2,1/(('Injection Sales'!$B$2:$B$501=A355)*('Injection Sales'!$A$2:$A$501=_xlfn.MAXIFS('Injection Sales'!$A$2:$A$501,'Injection Sales'!$B$2:$B$501,A355))),'Injection Sales'!$H$2:$H$501),""))</f>
        <v/>
      </c>
      <c r="I355" s="21" t="str">
        <f aca="true">IF(OR(A355="",D355=""),"",IF(TODAY()-D355&lt;=Settings!$B$7,"Active","Inactive"))</f>
        <v/>
      </c>
    </row>
    <row r="356" customFormat="false" ht="15" hidden="false" customHeight="false" outlineLevel="0" collapsed="false">
      <c r="A356" s="1"/>
      <c r="B356" s="22"/>
      <c r="C356" s="18" t="str">
        <f aca="false">IF(OR(A356="",COUNTIF('Injection Sales'!$B$2:$B$501,A356)+COUNTIF('Protein Sales'!$B$2:$B$501,A356)+COUNTIF('Diet Support'!$B$2:$B$501,A356)=0),"",MIN(IF(COUNTIF('Injection Sales'!$B$2:$B$501,A356),_xlfn.MINIFS('Injection Sales'!$A$2:$A$501,'Injection Sales'!$B$2:$B$501,A356),99999),IF(COUNTIF('Protein Sales'!$B$2:$B$501,A356),_xlfn.MINIFS('Protein Sales'!$A$2:$A$501,'Protein Sales'!$B$2:$B$501,A356),99999),IF(COUNTIF('Diet Support'!$B$2:$B$501,A356),_xlfn.MINIFS('Diet Support'!$A$2:$A$501,'Diet Support'!$B$2:$B$501,A356),99999)))</f>
        <v/>
      </c>
      <c r="D356" s="18" t="str">
        <f aca="false">IF(OR(A356="",COUNTIF('Injection Sales'!$B$2:$B$501,A356)+COUNTIF('Protein Sales'!$B$2:$B$501,A356)+COUNTIF('Diet Support'!$B$2:$B$501,A356)=0),"",MAX(_xlfn.MAXIFS('Injection Sales'!$A$2:$A$501,'Injection Sales'!$B$2:$B$501,A356),_xlfn.MAXIFS('Protein Sales'!$A$2:$A$501,'Protein Sales'!$B$2:$B$501,A356),_xlfn.MAXIFS('Diet Support'!$A$2:$A$501,'Diet Support'!$B$2:$B$501,A356)))</f>
        <v/>
      </c>
      <c r="E356" s="19" t="str">
        <f aca="false">IF(A356="","",COUNTIF('Injection Sales'!$B$2:$B$501,A356)+COUNTIF('Protein Sales'!$B$2:$B$501,A356)+COUNTIF('Diet Support'!$B$2:$B$501,A356))</f>
        <v/>
      </c>
      <c r="F356" s="20" t="str">
        <f aca="false">IF(A356="","",SUMIF('Injection Sales'!$B$2:$B$501,A356,'Injection Sales'!$G$2:$G$501)+SUMIF('Protein Sales'!$B$2:$B$501,A356,'Protein Sales'!$F$2:$F$501)+SUMIF('Diet Support'!$B$2:$B$501,A356,'Diet Support'!$E$2:$E$501))</f>
        <v/>
      </c>
      <c r="G356" s="21" t="str">
        <f aca="false">IF(OR(A356="",COUNTIF('Injection Sales'!$B$2:$B$501,A356)=0),"",IFERROR(LOOKUP(2,1/(('Injection Sales'!$B$2:$B$501=A356)*('Injection Sales'!$A$2:$A$501=_xlfn.MAXIFS('Injection Sales'!$A$2:$A$501,'Injection Sales'!$B$2:$B$501,A356))),'Injection Sales'!$E$2:$E$501),""))</f>
        <v/>
      </c>
      <c r="H356" s="21" t="str">
        <f aca="false">IF(OR(A356="",COUNTIF('Injection Sales'!$B$2:$B$501,A356)=0),"",IFERROR(LOOKUP(2,1/(('Injection Sales'!$B$2:$B$501=A356)*('Injection Sales'!$A$2:$A$501=_xlfn.MAXIFS('Injection Sales'!$A$2:$A$501,'Injection Sales'!$B$2:$B$501,A356))),'Injection Sales'!$H$2:$H$501),""))</f>
        <v/>
      </c>
      <c r="I356" s="21" t="str">
        <f aca="true">IF(OR(A356="",D356=""),"",IF(TODAY()-D356&lt;=Settings!$B$7,"Active","Inactive"))</f>
        <v/>
      </c>
    </row>
    <row r="357" customFormat="false" ht="15" hidden="false" customHeight="false" outlineLevel="0" collapsed="false">
      <c r="A357" s="1"/>
      <c r="B357" s="22"/>
      <c r="C357" s="18" t="str">
        <f aca="false">IF(OR(A357="",COUNTIF('Injection Sales'!$B$2:$B$501,A357)+COUNTIF('Protein Sales'!$B$2:$B$501,A357)+COUNTIF('Diet Support'!$B$2:$B$501,A357)=0),"",MIN(IF(COUNTIF('Injection Sales'!$B$2:$B$501,A357),_xlfn.MINIFS('Injection Sales'!$A$2:$A$501,'Injection Sales'!$B$2:$B$501,A357),99999),IF(COUNTIF('Protein Sales'!$B$2:$B$501,A357),_xlfn.MINIFS('Protein Sales'!$A$2:$A$501,'Protein Sales'!$B$2:$B$501,A357),99999),IF(COUNTIF('Diet Support'!$B$2:$B$501,A357),_xlfn.MINIFS('Diet Support'!$A$2:$A$501,'Diet Support'!$B$2:$B$501,A357),99999)))</f>
        <v/>
      </c>
      <c r="D357" s="18" t="str">
        <f aca="false">IF(OR(A357="",COUNTIF('Injection Sales'!$B$2:$B$501,A357)+COUNTIF('Protein Sales'!$B$2:$B$501,A357)+COUNTIF('Diet Support'!$B$2:$B$501,A357)=0),"",MAX(_xlfn.MAXIFS('Injection Sales'!$A$2:$A$501,'Injection Sales'!$B$2:$B$501,A357),_xlfn.MAXIFS('Protein Sales'!$A$2:$A$501,'Protein Sales'!$B$2:$B$501,A357),_xlfn.MAXIFS('Diet Support'!$A$2:$A$501,'Diet Support'!$B$2:$B$501,A357)))</f>
        <v/>
      </c>
      <c r="E357" s="19" t="str">
        <f aca="false">IF(A357="","",COUNTIF('Injection Sales'!$B$2:$B$501,A357)+COUNTIF('Protein Sales'!$B$2:$B$501,A357)+COUNTIF('Diet Support'!$B$2:$B$501,A357))</f>
        <v/>
      </c>
      <c r="F357" s="20" t="str">
        <f aca="false">IF(A357="","",SUMIF('Injection Sales'!$B$2:$B$501,A357,'Injection Sales'!$G$2:$G$501)+SUMIF('Protein Sales'!$B$2:$B$501,A357,'Protein Sales'!$F$2:$F$501)+SUMIF('Diet Support'!$B$2:$B$501,A357,'Diet Support'!$E$2:$E$501))</f>
        <v/>
      </c>
      <c r="G357" s="21" t="str">
        <f aca="false">IF(OR(A357="",COUNTIF('Injection Sales'!$B$2:$B$501,A357)=0),"",IFERROR(LOOKUP(2,1/(('Injection Sales'!$B$2:$B$501=A357)*('Injection Sales'!$A$2:$A$501=_xlfn.MAXIFS('Injection Sales'!$A$2:$A$501,'Injection Sales'!$B$2:$B$501,A357))),'Injection Sales'!$E$2:$E$501),""))</f>
        <v/>
      </c>
      <c r="H357" s="21" t="str">
        <f aca="false">IF(OR(A357="",COUNTIF('Injection Sales'!$B$2:$B$501,A357)=0),"",IFERROR(LOOKUP(2,1/(('Injection Sales'!$B$2:$B$501=A357)*('Injection Sales'!$A$2:$A$501=_xlfn.MAXIFS('Injection Sales'!$A$2:$A$501,'Injection Sales'!$B$2:$B$501,A357))),'Injection Sales'!$H$2:$H$501),""))</f>
        <v/>
      </c>
      <c r="I357" s="21" t="str">
        <f aca="true">IF(OR(A357="",D357=""),"",IF(TODAY()-D357&lt;=Settings!$B$7,"Active","Inactive"))</f>
        <v/>
      </c>
    </row>
    <row r="358" customFormat="false" ht="15" hidden="false" customHeight="false" outlineLevel="0" collapsed="false">
      <c r="A358" s="1"/>
      <c r="B358" s="22"/>
      <c r="C358" s="18" t="str">
        <f aca="false">IF(OR(A358="",COUNTIF('Injection Sales'!$B$2:$B$501,A358)+COUNTIF('Protein Sales'!$B$2:$B$501,A358)+COUNTIF('Diet Support'!$B$2:$B$501,A358)=0),"",MIN(IF(COUNTIF('Injection Sales'!$B$2:$B$501,A358),_xlfn.MINIFS('Injection Sales'!$A$2:$A$501,'Injection Sales'!$B$2:$B$501,A358),99999),IF(COUNTIF('Protein Sales'!$B$2:$B$501,A358),_xlfn.MINIFS('Protein Sales'!$A$2:$A$501,'Protein Sales'!$B$2:$B$501,A358),99999),IF(COUNTIF('Diet Support'!$B$2:$B$501,A358),_xlfn.MINIFS('Diet Support'!$A$2:$A$501,'Diet Support'!$B$2:$B$501,A358),99999)))</f>
        <v/>
      </c>
      <c r="D358" s="18" t="str">
        <f aca="false">IF(OR(A358="",COUNTIF('Injection Sales'!$B$2:$B$501,A358)+COUNTIF('Protein Sales'!$B$2:$B$501,A358)+COUNTIF('Diet Support'!$B$2:$B$501,A358)=0),"",MAX(_xlfn.MAXIFS('Injection Sales'!$A$2:$A$501,'Injection Sales'!$B$2:$B$501,A358),_xlfn.MAXIFS('Protein Sales'!$A$2:$A$501,'Protein Sales'!$B$2:$B$501,A358),_xlfn.MAXIFS('Diet Support'!$A$2:$A$501,'Diet Support'!$B$2:$B$501,A358)))</f>
        <v/>
      </c>
      <c r="E358" s="19" t="str">
        <f aca="false">IF(A358="","",COUNTIF('Injection Sales'!$B$2:$B$501,A358)+COUNTIF('Protein Sales'!$B$2:$B$501,A358)+COUNTIF('Diet Support'!$B$2:$B$501,A358))</f>
        <v/>
      </c>
      <c r="F358" s="20" t="str">
        <f aca="false">IF(A358="","",SUMIF('Injection Sales'!$B$2:$B$501,A358,'Injection Sales'!$G$2:$G$501)+SUMIF('Protein Sales'!$B$2:$B$501,A358,'Protein Sales'!$F$2:$F$501)+SUMIF('Diet Support'!$B$2:$B$501,A358,'Diet Support'!$E$2:$E$501))</f>
        <v/>
      </c>
      <c r="G358" s="21" t="str">
        <f aca="false">IF(OR(A358="",COUNTIF('Injection Sales'!$B$2:$B$501,A358)=0),"",IFERROR(LOOKUP(2,1/(('Injection Sales'!$B$2:$B$501=A358)*('Injection Sales'!$A$2:$A$501=_xlfn.MAXIFS('Injection Sales'!$A$2:$A$501,'Injection Sales'!$B$2:$B$501,A358))),'Injection Sales'!$E$2:$E$501),""))</f>
        <v/>
      </c>
      <c r="H358" s="21" t="str">
        <f aca="false">IF(OR(A358="",COUNTIF('Injection Sales'!$B$2:$B$501,A358)=0),"",IFERROR(LOOKUP(2,1/(('Injection Sales'!$B$2:$B$501=A358)*('Injection Sales'!$A$2:$A$501=_xlfn.MAXIFS('Injection Sales'!$A$2:$A$501,'Injection Sales'!$B$2:$B$501,A358))),'Injection Sales'!$H$2:$H$501),""))</f>
        <v/>
      </c>
      <c r="I358" s="21" t="str">
        <f aca="true">IF(OR(A358="",D358=""),"",IF(TODAY()-D358&lt;=Settings!$B$7,"Active","Inactive"))</f>
        <v/>
      </c>
    </row>
    <row r="359" customFormat="false" ht="15" hidden="false" customHeight="false" outlineLevel="0" collapsed="false">
      <c r="A359" s="1"/>
      <c r="B359" s="22"/>
      <c r="C359" s="18" t="str">
        <f aca="false">IF(OR(A359="",COUNTIF('Injection Sales'!$B$2:$B$501,A359)+COUNTIF('Protein Sales'!$B$2:$B$501,A359)+COUNTIF('Diet Support'!$B$2:$B$501,A359)=0),"",MIN(IF(COUNTIF('Injection Sales'!$B$2:$B$501,A359),_xlfn.MINIFS('Injection Sales'!$A$2:$A$501,'Injection Sales'!$B$2:$B$501,A359),99999),IF(COUNTIF('Protein Sales'!$B$2:$B$501,A359),_xlfn.MINIFS('Protein Sales'!$A$2:$A$501,'Protein Sales'!$B$2:$B$501,A359),99999),IF(COUNTIF('Diet Support'!$B$2:$B$501,A359),_xlfn.MINIFS('Diet Support'!$A$2:$A$501,'Diet Support'!$B$2:$B$501,A359),99999)))</f>
        <v/>
      </c>
      <c r="D359" s="18" t="str">
        <f aca="false">IF(OR(A359="",COUNTIF('Injection Sales'!$B$2:$B$501,A359)+COUNTIF('Protein Sales'!$B$2:$B$501,A359)+COUNTIF('Diet Support'!$B$2:$B$501,A359)=0),"",MAX(_xlfn.MAXIFS('Injection Sales'!$A$2:$A$501,'Injection Sales'!$B$2:$B$501,A359),_xlfn.MAXIFS('Protein Sales'!$A$2:$A$501,'Protein Sales'!$B$2:$B$501,A359),_xlfn.MAXIFS('Diet Support'!$A$2:$A$501,'Diet Support'!$B$2:$B$501,A359)))</f>
        <v/>
      </c>
      <c r="E359" s="19" t="str">
        <f aca="false">IF(A359="","",COUNTIF('Injection Sales'!$B$2:$B$501,A359)+COUNTIF('Protein Sales'!$B$2:$B$501,A359)+COUNTIF('Diet Support'!$B$2:$B$501,A359))</f>
        <v/>
      </c>
      <c r="F359" s="20" t="str">
        <f aca="false">IF(A359="","",SUMIF('Injection Sales'!$B$2:$B$501,A359,'Injection Sales'!$G$2:$G$501)+SUMIF('Protein Sales'!$B$2:$B$501,A359,'Protein Sales'!$F$2:$F$501)+SUMIF('Diet Support'!$B$2:$B$501,A359,'Diet Support'!$E$2:$E$501))</f>
        <v/>
      </c>
      <c r="G359" s="21" t="str">
        <f aca="false">IF(OR(A359="",COUNTIF('Injection Sales'!$B$2:$B$501,A359)=0),"",IFERROR(LOOKUP(2,1/(('Injection Sales'!$B$2:$B$501=A359)*('Injection Sales'!$A$2:$A$501=_xlfn.MAXIFS('Injection Sales'!$A$2:$A$501,'Injection Sales'!$B$2:$B$501,A359))),'Injection Sales'!$E$2:$E$501),""))</f>
        <v/>
      </c>
      <c r="H359" s="21" t="str">
        <f aca="false">IF(OR(A359="",COUNTIF('Injection Sales'!$B$2:$B$501,A359)=0),"",IFERROR(LOOKUP(2,1/(('Injection Sales'!$B$2:$B$501=A359)*('Injection Sales'!$A$2:$A$501=_xlfn.MAXIFS('Injection Sales'!$A$2:$A$501,'Injection Sales'!$B$2:$B$501,A359))),'Injection Sales'!$H$2:$H$501),""))</f>
        <v/>
      </c>
      <c r="I359" s="21" t="str">
        <f aca="true">IF(OR(A359="",D359=""),"",IF(TODAY()-D359&lt;=Settings!$B$7,"Active","Inactive"))</f>
        <v/>
      </c>
    </row>
    <row r="360" customFormat="false" ht="15" hidden="false" customHeight="false" outlineLevel="0" collapsed="false">
      <c r="A360" s="1"/>
      <c r="B360" s="22"/>
      <c r="C360" s="18" t="str">
        <f aca="false">IF(OR(A360="",COUNTIF('Injection Sales'!$B$2:$B$501,A360)+COUNTIF('Protein Sales'!$B$2:$B$501,A360)+COUNTIF('Diet Support'!$B$2:$B$501,A360)=0),"",MIN(IF(COUNTIF('Injection Sales'!$B$2:$B$501,A360),_xlfn.MINIFS('Injection Sales'!$A$2:$A$501,'Injection Sales'!$B$2:$B$501,A360),99999),IF(COUNTIF('Protein Sales'!$B$2:$B$501,A360),_xlfn.MINIFS('Protein Sales'!$A$2:$A$501,'Protein Sales'!$B$2:$B$501,A360),99999),IF(COUNTIF('Diet Support'!$B$2:$B$501,A360),_xlfn.MINIFS('Diet Support'!$A$2:$A$501,'Diet Support'!$B$2:$B$501,A360),99999)))</f>
        <v/>
      </c>
      <c r="D360" s="18" t="str">
        <f aca="false">IF(OR(A360="",COUNTIF('Injection Sales'!$B$2:$B$501,A360)+COUNTIF('Protein Sales'!$B$2:$B$501,A360)+COUNTIF('Diet Support'!$B$2:$B$501,A360)=0),"",MAX(_xlfn.MAXIFS('Injection Sales'!$A$2:$A$501,'Injection Sales'!$B$2:$B$501,A360),_xlfn.MAXIFS('Protein Sales'!$A$2:$A$501,'Protein Sales'!$B$2:$B$501,A360),_xlfn.MAXIFS('Diet Support'!$A$2:$A$501,'Diet Support'!$B$2:$B$501,A360)))</f>
        <v/>
      </c>
      <c r="E360" s="19" t="str">
        <f aca="false">IF(A360="","",COUNTIF('Injection Sales'!$B$2:$B$501,A360)+COUNTIF('Protein Sales'!$B$2:$B$501,A360)+COUNTIF('Diet Support'!$B$2:$B$501,A360))</f>
        <v/>
      </c>
      <c r="F360" s="20" t="str">
        <f aca="false">IF(A360="","",SUMIF('Injection Sales'!$B$2:$B$501,A360,'Injection Sales'!$G$2:$G$501)+SUMIF('Protein Sales'!$B$2:$B$501,A360,'Protein Sales'!$F$2:$F$501)+SUMIF('Diet Support'!$B$2:$B$501,A360,'Diet Support'!$E$2:$E$501))</f>
        <v/>
      </c>
      <c r="G360" s="21" t="str">
        <f aca="false">IF(OR(A360="",COUNTIF('Injection Sales'!$B$2:$B$501,A360)=0),"",IFERROR(LOOKUP(2,1/(('Injection Sales'!$B$2:$B$501=A360)*('Injection Sales'!$A$2:$A$501=_xlfn.MAXIFS('Injection Sales'!$A$2:$A$501,'Injection Sales'!$B$2:$B$501,A360))),'Injection Sales'!$E$2:$E$501),""))</f>
        <v/>
      </c>
      <c r="H360" s="21" t="str">
        <f aca="false">IF(OR(A360="",COUNTIF('Injection Sales'!$B$2:$B$501,A360)=0),"",IFERROR(LOOKUP(2,1/(('Injection Sales'!$B$2:$B$501=A360)*('Injection Sales'!$A$2:$A$501=_xlfn.MAXIFS('Injection Sales'!$A$2:$A$501,'Injection Sales'!$B$2:$B$501,A360))),'Injection Sales'!$H$2:$H$501),""))</f>
        <v/>
      </c>
      <c r="I360" s="21" t="str">
        <f aca="true">IF(OR(A360="",D360=""),"",IF(TODAY()-D360&lt;=Settings!$B$7,"Active","Inactive"))</f>
        <v/>
      </c>
    </row>
    <row r="361" customFormat="false" ht="15" hidden="false" customHeight="false" outlineLevel="0" collapsed="false">
      <c r="A361" s="1"/>
      <c r="B361" s="22"/>
      <c r="C361" s="18" t="str">
        <f aca="false">IF(OR(A361="",COUNTIF('Injection Sales'!$B$2:$B$501,A361)+COUNTIF('Protein Sales'!$B$2:$B$501,A361)+COUNTIF('Diet Support'!$B$2:$B$501,A361)=0),"",MIN(IF(COUNTIF('Injection Sales'!$B$2:$B$501,A361),_xlfn.MINIFS('Injection Sales'!$A$2:$A$501,'Injection Sales'!$B$2:$B$501,A361),99999),IF(COUNTIF('Protein Sales'!$B$2:$B$501,A361),_xlfn.MINIFS('Protein Sales'!$A$2:$A$501,'Protein Sales'!$B$2:$B$501,A361),99999),IF(COUNTIF('Diet Support'!$B$2:$B$501,A361),_xlfn.MINIFS('Diet Support'!$A$2:$A$501,'Diet Support'!$B$2:$B$501,A361),99999)))</f>
        <v/>
      </c>
      <c r="D361" s="18" t="str">
        <f aca="false">IF(OR(A361="",COUNTIF('Injection Sales'!$B$2:$B$501,A361)+COUNTIF('Protein Sales'!$B$2:$B$501,A361)+COUNTIF('Diet Support'!$B$2:$B$501,A361)=0),"",MAX(_xlfn.MAXIFS('Injection Sales'!$A$2:$A$501,'Injection Sales'!$B$2:$B$501,A361),_xlfn.MAXIFS('Protein Sales'!$A$2:$A$501,'Protein Sales'!$B$2:$B$501,A361),_xlfn.MAXIFS('Diet Support'!$A$2:$A$501,'Diet Support'!$B$2:$B$501,A361)))</f>
        <v/>
      </c>
      <c r="E361" s="19" t="str">
        <f aca="false">IF(A361="","",COUNTIF('Injection Sales'!$B$2:$B$501,A361)+COUNTIF('Protein Sales'!$B$2:$B$501,A361)+COUNTIF('Diet Support'!$B$2:$B$501,A361))</f>
        <v/>
      </c>
      <c r="F361" s="20" t="str">
        <f aca="false">IF(A361="","",SUMIF('Injection Sales'!$B$2:$B$501,A361,'Injection Sales'!$G$2:$G$501)+SUMIF('Protein Sales'!$B$2:$B$501,A361,'Protein Sales'!$F$2:$F$501)+SUMIF('Diet Support'!$B$2:$B$501,A361,'Diet Support'!$E$2:$E$501))</f>
        <v/>
      </c>
      <c r="G361" s="21" t="str">
        <f aca="false">IF(OR(A361="",COUNTIF('Injection Sales'!$B$2:$B$501,A361)=0),"",IFERROR(LOOKUP(2,1/(('Injection Sales'!$B$2:$B$501=A361)*('Injection Sales'!$A$2:$A$501=_xlfn.MAXIFS('Injection Sales'!$A$2:$A$501,'Injection Sales'!$B$2:$B$501,A361))),'Injection Sales'!$E$2:$E$501),""))</f>
        <v/>
      </c>
      <c r="H361" s="21" t="str">
        <f aca="false">IF(OR(A361="",COUNTIF('Injection Sales'!$B$2:$B$501,A361)=0),"",IFERROR(LOOKUP(2,1/(('Injection Sales'!$B$2:$B$501=A361)*('Injection Sales'!$A$2:$A$501=_xlfn.MAXIFS('Injection Sales'!$A$2:$A$501,'Injection Sales'!$B$2:$B$501,A361))),'Injection Sales'!$H$2:$H$501),""))</f>
        <v/>
      </c>
      <c r="I361" s="21" t="str">
        <f aca="true">IF(OR(A361="",D361=""),"",IF(TODAY()-D361&lt;=Settings!$B$7,"Active","Inactive"))</f>
        <v/>
      </c>
    </row>
    <row r="362" customFormat="false" ht="15" hidden="false" customHeight="false" outlineLevel="0" collapsed="false">
      <c r="A362" s="1"/>
      <c r="B362" s="22"/>
      <c r="C362" s="18" t="str">
        <f aca="false">IF(OR(A362="",COUNTIF('Injection Sales'!$B$2:$B$501,A362)+COUNTIF('Protein Sales'!$B$2:$B$501,A362)+COUNTIF('Diet Support'!$B$2:$B$501,A362)=0),"",MIN(IF(COUNTIF('Injection Sales'!$B$2:$B$501,A362),_xlfn.MINIFS('Injection Sales'!$A$2:$A$501,'Injection Sales'!$B$2:$B$501,A362),99999),IF(COUNTIF('Protein Sales'!$B$2:$B$501,A362),_xlfn.MINIFS('Protein Sales'!$A$2:$A$501,'Protein Sales'!$B$2:$B$501,A362),99999),IF(COUNTIF('Diet Support'!$B$2:$B$501,A362),_xlfn.MINIFS('Diet Support'!$A$2:$A$501,'Diet Support'!$B$2:$B$501,A362),99999)))</f>
        <v/>
      </c>
      <c r="D362" s="18" t="str">
        <f aca="false">IF(OR(A362="",COUNTIF('Injection Sales'!$B$2:$B$501,A362)+COUNTIF('Protein Sales'!$B$2:$B$501,A362)+COUNTIF('Diet Support'!$B$2:$B$501,A362)=0),"",MAX(_xlfn.MAXIFS('Injection Sales'!$A$2:$A$501,'Injection Sales'!$B$2:$B$501,A362),_xlfn.MAXIFS('Protein Sales'!$A$2:$A$501,'Protein Sales'!$B$2:$B$501,A362),_xlfn.MAXIFS('Diet Support'!$A$2:$A$501,'Diet Support'!$B$2:$B$501,A362)))</f>
        <v/>
      </c>
      <c r="E362" s="19" t="str">
        <f aca="false">IF(A362="","",COUNTIF('Injection Sales'!$B$2:$B$501,A362)+COUNTIF('Protein Sales'!$B$2:$B$501,A362)+COUNTIF('Diet Support'!$B$2:$B$501,A362))</f>
        <v/>
      </c>
      <c r="F362" s="20" t="str">
        <f aca="false">IF(A362="","",SUMIF('Injection Sales'!$B$2:$B$501,A362,'Injection Sales'!$G$2:$G$501)+SUMIF('Protein Sales'!$B$2:$B$501,A362,'Protein Sales'!$F$2:$F$501)+SUMIF('Diet Support'!$B$2:$B$501,A362,'Diet Support'!$E$2:$E$501))</f>
        <v/>
      </c>
      <c r="G362" s="21" t="str">
        <f aca="false">IF(OR(A362="",COUNTIF('Injection Sales'!$B$2:$B$501,A362)=0),"",IFERROR(LOOKUP(2,1/(('Injection Sales'!$B$2:$B$501=A362)*('Injection Sales'!$A$2:$A$501=_xlfn.MAXIFS('Injection Sales'!$A$2:$A$501,'Injection Sales'!$B$2:$B$501,A362))),'Injection Sales'!$E$2:$E$501),""))</f>
        <v/>
      </c>
      <c r="H362" s="21" t="str">
        <f aca="false">IF(OR(A362="",COUNTIF('Injection Sales'!$B$2:$B$501,A362)=0),"",IFERROR(LOOKUP(2,1/(('Injection Sales'!$B$2:$B$501=A362)*('Injection Sales'!$A$2:$A$501=_xlfn.MAXIFS('Injection Sales'!$A$2:$A$501,'Injection Sales'!$B$2:$B$501,A362))),'Injection Sales'!$H$2:$H$501),""))</f>
        <v/>
      </c>
      <c r="I362" s="21" t="str">
        <f aca="true">IF(OR(A362="",D362=""),"",IF(TODAY()-D362&lt;=Settings!$B$7,"Active","Inactive"))</f>
        <v/>
      </c>
    </row>
    <row r="363" customFormat="false" ht="15" hidden="false" customHeight="false" outlineLevel="0" collapsed="false">
      <c r="A363" s="1"/>
      <c r="B363" s="22"/>
      <c r="C363" s="18" t="str">
        <f aca="false">IF(OR(A363="",COUNTIF('Injection Sales'!$B$2:$B$501,A363)+COUNTIF('Protein Sales'!$B$2:$B$501,A363)+COUNTIF('Diet Support'!$B$2:$B$501,A363)=0),"",MIN(IF(COUNTIF('Injection Sales'!$B$2:$B$501,A363),_xlfn.MINIFS('Injection Sales'!$A$2:$A$501,'Injection Sales'!$B$2:$B$501,A363),99999),IF(COUNTIF('Protein Sales'!$B$2:$B$501,A363),_xlfn.MINIFS('Protein Sales'!$A$2:$A$501,'Protein Sales'!$B$2:$B$501,A363),99999),IF(COUNTIF('Diet Support'!$B$2:$B$501,A363),_xlfn.MINIFS('Diet Support'!$A$2:$A$501,'Diet Support'!$B$2:$B$501,A363),99999)))</f>
        <v/>
      </c>
      <c r="D363" s="18" t="str">
        <f aca="false">IF(OR(A363="",COUNTIF('Injection Sales'!$B$2:$B$501,A363)+COUNTIF('Protein Sales'!$B$2:$B$501,A363)+COUNTIF('Diet Support'!$B$2:$B$501,A363)=0),"",MAX(_xlfn.MAXIFS('Injection Sales'!$A$2:$A$501,'Injection Sales'!$B$2:$B$501,A363),_xlfn.MAXIFS('Protein Sales'!$A$2:$A$501,'Protein Sales'!$B$2:$B$501,A363),_xlfn.MAXIFS('Diet Support'!$A$2:$A$501,'Diet Support'!$B$2:$B$501,A363)))</f>
        <v/>
      </c>
      <c r="E363" s="19" t="str">
        <f aca="false">IF(A363="","",COUNTIF('Injection Sales'!$B$2:$B$501,A363)+COUNTIF('Protein Sales'!$B$2:$B$501,A363)+COUNTIF('Diet Support'!$B$2:$B$501,A363))</f>
        <v/>
      </c>
      <c r="F363" s="20" t="str">
        <f aca="false">IF(A363="","",SUMIF('Injection Sales'!$B$2:$B$501,A363,'Injection Sales'!$G$2:$G$501)+SUMIF('Protein Sales'!$B$2:$B$501,A363,'Protein Sales'!$F$2:$F$501)+SUMIF('Diet Support'!$B$2:$B$501,A363,'Diet Support'!$E$2:$E$501))</f>
        <v/>
      </c>
      <c r="G363" s="21" t="str">
        <f aca="false">IF(OR(A363="",COUNTIF('Injection Sales'!$B$2:$B$501,A363)=0),"",IFERROR(LOOKUP(2,1/(('Injection Sales'!$B$2:$B$501=A363)*('Injection Sales'!$A$2:$A$501=_xlfn.MAXIFS('Injection Sales'!$A$2:$A$501,'Injection Sales'!$B$2:$B$501,A363))),'Injection Sales'!$E$2:$E$501),""))</f>
        <v/>
      </c>
      <c r="H363" s="21" t="str">
        <f aca="false">IF(OR(A363="",COUNTIF('Injection Sales'!$B$2:$B$501,A363)=0),"",IFERROR(LOOKUP(2,1/(('Injection Sales'!$B$2:$B$501=A363)*('Injection Sales'!$A$2:$A$501=_xlfn.MAXIFS('Injection Sales'!$A$2:$A$501,'Injection Sales'!$B$2:$B$501,A363))),'Injection Sales'!$H$2:$H$501),""))</f>
        <v/>
      </c>
      <c r="I363" s="21" t="str">
        <f aca="true">IF(OR(A363="",D363=""),"",IF(TODAY()-D363&lt;=Settings!$B$7,"Active","Inactive"))</f>
        <v/>
      </c>
    </row>
    <row r="364" customFormat="false" ht="15" hidden="false" customHeight="false" outlineLevel="0" collapsed="false">
      <c r="A364" s="1"/>
      <c r="B364" s="22"/>
      <c r="C364" s="18" t="str">
        <f aca="false">IF(OR(A364="",COUNTIF('Injection Sales'!$B$2:$B$501,A364)+COUNTIF('Protein Sales'!$B$2:$B$501,A364)+COUNTIF('Diet Support'!$B$2:$B$501,A364)=0),"",MIN(IF(COUNTIF('Injection Sales'!$B$2:$B$501,A364),_xlfn.MINIFS('Injection Sales'!$A$2:$A$501,'Injection Sales'!$B$2:$B$501,A364),99999),IF(COUNTIF('Protein Sales'!$B$2:$B$501,A364),_xlfn.MINIFS('Protein Sales'!$A$2:$A$501,'Protein Sales'!$B$2:$B$501,A364),99999),IF(COUNTIF('Diet Support'!$B$2:$B$501,A364),_xlfn.MINIFS('Diet Support'!$A$2:$A$501,'Diet Support'!$B$2:$B$501,A364),99999)))</f>
        <v/>
      </c>
      <c r="D364" s="18" t="str">
        <f aca="false">IF(OR(A364="",COUNTIF('Injection Sales'!$B$2:$B$501,A364)+COUNTIF('Protein Sales'!$B$2:$B$501,A364)+COUNTIF('Diet Support'!$B$2:$B$501,A364)=0),"",MAX(_xlfn.MAXIFS('Injection Sales'!$A$2:$A$501,'Injection Sales'!$B$2:$B$501,A364),_xlfn.MAXIFS('Protein Sales'!$A$2:$A$501,'Protein Sales'!$B$2:$B$501,A364),_xlfn.MAXIFS('Diet Support'!$A$2:$A$501,'Diet Support'!$B$2:$B$501,A364)))</f>
        <v/>
      </c>
      <c r="E364" s="19" t="str">
        <f aca="false">IF(A364="","",COUNTIF('Injection Sales'!$B$2:$B$501,A364)+COUNTIF('Protein Sales'!$B$2:$B$501,A364)+COUNTIF('Diet Support'!$B$2:$B$501,A364))</f>
        <v/>
      </c>
      <c r="F364" s="20" t="str">
        <f aca="false">IF(A364="","",SUMIF('Injection Sales'!$B$2:$B$501,A364,'Injection Sales'!$G$2:$G$501)+SUMIF('Protein Sales'!$B$2:$B$501,A364,'Protein Sales'!$F$2:$F$501)+SUMIF('Diet Support'!$B$2:$B$501,A364,'Diet Support'!$E$2:$E$501))</f>
        <v/>
      </c>
      <c r="G364" s="21" t="str">
        <f aca="false">IF(OR(A364="",COUNTIF('Injection Sales'!$B$2:$B$501,A364)=0),"",IFERROR(LOOKUP(2,1/(('Injection Sales'!$B$2:$B$501=A364)*('Injection Sales'!$A$2:$A$501=_xlfn.MAXIFS('Injection Sales'!$A$2:$A$501,'Injection Sales'!$B$2:$B$501,A364))),'Injection Sales'!$E$2:$E$501),""))</f>
        <v/>
      </c>
      <c r="H364" s="21" t="str">
        <f aca="false">IF(OR(A364="",COUNTIF('Injection Sales'!$B$2:$B$501,A364)=0),"",IFERROR(LOOKUP(2,1/(('Injection Sales'!$B$2:$B$501=A364)*('Injection Sales'!$A$2:$A$501=_xlfn.MAXIFS('Injection Sales'!$A$2:$A$501,'Injection Sales'!$B$2:$B$501,A364))),'Injection Sales'!$H$2:$H$501),""))</f>
        <v/>
      </c>
      <c r="I364" s="21" t="str">
        <f aca="true">IF(OR(A364="",D364=""),"",IF(TODAY()-D364&lt;=Settings!$B$7,"Active","Inactive"))</f>
        <v/>
      </c>
    </row>
    <row r="365" customFormat="false" ht="15" hidden="false" customHeight="false" outlineLevel="0" collapsed="false">
      <c r="A365" s="1"/>
      <c r="B365" s="22"/>
      <c r="C365" s="18" t="str">
        <f aca="false">IF(OR(A365="",COUNTIF('Injection Sales'!$B$2:$B$501,A365)+COUNTIF('Protein Sales'!$B$2:$B$501,A365)+COUNTIF('Diet Support'!$B$2:$B$501,A365)=0),"",MIN(IF(COUNTIF('Injection Sales'!$B$2:$B$501,A365),_xlfn.MINIFS('Injection Sales'!$A$2:$A$501,'Injection Sales'!$B$2:$B$501,A365),99999),IF(COUNTIF('Protein Sales'!$B$2:$B$501,A365),_xlfn.MINIFS('Protein Sales'!$A$2:$A$501,'Protein Sales'!$B$2:$B$501,A365),99999),IF(COUNTIF('Diet Support'!$B$2:$B$501,A365),_xlfn.MINIFS('Diet Support'!$A$2:$A$501,'Diet Support'!$B$2:$B$501,A365),99999)))</f>
        <v/>
      </c>
      <c r="D365" s="18" t="str">
        <f aca="false">IF(OR(A365="",COUNTIF('Injection Sales'!$B$2:$B$501,A365)+COUNTIF('Protein Sales'!$B$2:$B$501,A365)+COUNTIF('Diet Support'!$B$2:$B$501,A365)=0),"",MAX(_xlfn.MAXIFS('Injection Sales'!$A$2:$A$501,'Injection Sales'!$B$2:$B$501,A365),_xlfn.MAXIFS('Protein Sales'!$A$2:$A$501,'Protein Sales'!$B$2:$B$501,A365),_xlfn.MAXIFS('Diet Support'!$A$2:$A$501,'Diet Support'!$B$2:$B$501,A365)))</f>
        <v/>
      </c>
      <c r="E365" s="19" t="str">
        <f aca="false">IF(A365="","",COUNTIF('Injection Sales'!$B$2:$B$501,A365)+COUNTIF('Protein Sales'!$B$2:$B$501,A365)+COUNTIF('Diet Support'!$B$2:$B$501,A365))</f>
        <v/>
      </c>
      <c r="F365" s="20" t="str">
        <f aca="false">IF(A365="","",SUMIF('Injection Sales'!$B$2:$B$501,A365,'Injection Sales'!$G$2:$G$501)+SUMIF('Protein Sales'!$B$2:$B$501,A365,'Protein Sales'!$F$2:$F$501)+SUMIF('Diet Support'!$B$2:$B$501,A365,'Diet Support'!$E$2:$E$501))</f>
        <v/>
      </c>
      <c r="G365" s="21" t="str">
        <f aca="false">IF(OR(A365="",COUNTIF('Injection Sales'!$B$2:$B$501,A365)=0),"",IFERROR(LOOKUP(2,1/(('Injection Sales'!$B$2:$B$501=A365)*('Injection Sales'!$A$2:$A$501=_xlfn.MAXIFS('Injection Sales'!$A$2:$A$501,'Injection Sales'!$B$2:$B$501,A365))),'Injection Sales'!$E$2:$E$501),""))</f>
        <v/>
      </c>
      <c r="H365" s="21" t="str">
        <f aca="false">IF(OR(A365="",COUNTIF('Injection Sales'!$B$2:$B$501,A365)=0),"",IFERROR(LOOKUP(2,1/(('Injection Sales'!$B$2:$B$501=A365)*('Injection Sales'!$A$2:$A$501=_xlfn.MAXIFS('Injection Sales'!$A$2:$A$501,'Injection Sales'!$B$2:$B$501,A365))),'Injection Sales'!$H$2:$H$501),""))</f>
        <v/>
      </c>
      <c r="I365" s="21" t="str">
        <f aca="true">IF(OR(A365="",D365=""),"",IF(TODAY()-D365&lt;=Settings!$B$7,"Active","Inactive"))</f>
        <v/>
      </c>
    </row>
    <row r="366" customFormat="false" ht="15" hidden="false" customHeight="false" outlineLevel="0" collapsed="false">
      <c r="A366" s="1"/>
      <c r="B366" s="22"/>
      <c r="C366" s="18" t="str">
        <f aca="false">IF(OR(A366="",COUNTIF('Injection Sales'!$B$2:$B$501,A366)+COUNTIF('Protein Sales'!$B$2:$B$501,A366)+COUNTIF('Diet Support'!$B$2:$B$501,A366)=0),"",MIN(IF(COUNTIF('Injection Sales'!$B$2:$B$501,A366),_xlfn.MINIFS('Injection Sales'!$A$2:$A$501,'Injection Sales'!$B$2:$B$501,A366),99999),IF(COUNTIF('Protein Sales'!$B$2:$B$501,A366),_xlfn.MINIFS('Protein Sales'!$A$2:$A$501,'Protein Sales'!$B$2:$B$501,A366),99999),IF(COUNTIF('Diet Support'!$B$2:$B$501,A366),_xlfn.MINIFS('Diet Support'!$A$2:$A$501,'Diet Support'!$B$2:$B$501,A366),99999)))</f>
        <v/>
      </c>
      <c r="D366" s="18" t="str">
        <f aca="false">IF(OR(A366="",COUNTIF('Injection Sales'!$B$2:$B$501,A366)+COUNTIF('Protein Sales'!$B$2:$B$501,A366)+COUNTIF('Diet Support'!$B$2:$B$501,A366)=0),"",MAX(_xlfn.MAXIFS('Injection Sales'!$A$2:$A$501,'Injection Sales'!$B$2:$B$501,A366),_xlfn.MAXIFS('Protein Sales'!$A$2:$A$501,'Protein Sales'!$B$2:$B$501,A366),_xlfn.MAXIFS('Diet Support'!$A$2:$A$501,'Diet Support'!$B$2:$B$501,A366)))</f>
        <v/>
      </c>
      <c r="E366" s="19" t="str">
        <f aca="false">IF(A366="","",COUNTIF('Injection Sales'!$B$2:$B$501,A366)+COUNTIF('Protein Sales'!$B$2:$B$501,A366)+COUNTIF('Diet Support'!$B$2:$B$501,A366))</f>
        <v/>
      </c>
      <c r="F366" s="20" t="str">
        <f aca="false">IF(A366="","",SUMIF('Injection Sales'!$B$2:$B$501,A366,'Injection Sales'!$G$2:$G$501)+SUMIF('Protein Sales'!$B$2:$B$501,A366,'Protein Sales'!$F$2:$F$501)+SUMIF('Diet Support'!$B$2:$B$501,A366,'Diet Support'!$E$2:$E$501))</f>
        <v/>
      </c>
      <c r="G366" s="21" t="str">
        <f aca="false">IF(OR(A366="",COUNTIF('Injection Sales'!$B$2:$B$501,A366)=0),"",IFERROR(LOOKUP(2,1/(('Injection Sales'!$B$2:$B$501=A366)*('Injection Sales'!$A$2:$A$501=_xlfn.MAXIFS('Injection Sales'!$A$2:$A$501,'Injection Sales'!$B$2:$B$501,A366))),'Injection Sales'!$E$2:$E$501),""))</f>
        <v/>
      </c>
      <c r="H366" s="21" t="str">
        <f aca="false">IF(OR(A366="",COUNTIF('Injection Sales'!$B$2:$B$501,A366)=0),"",IFERROR(LOOKUP(2,1/(('Injection Sales'!$B$2:$B$501=A366)*('Injection Sales'!$A$2:$A$501=_xlfn.MAXIFS('Injection Sales'!$A$2:$A$501,'Injection Sales'!$B$2:$B$501,A366))),'Injection Sales'!$H$2:$H$501),""))</f>
        <v/>
      </c>
      <c r="I366" s="21" t="str">
        <f aca="true">IF(OR(A366="",D366=""),"",IF(TODAY()-D366&lt;=Settings!$B$7,"Active","Inactive"))</f>
        <v/>
      </c>
    </row>
    <row r="367" customFormat="false" ht="15" hidden="false" customHeight="false" outlineLevel="0" collapsed="false">
      <c r="A367" s="1"/>
      <c r="B367" s="22"/>
      <c r="C367" s="18" t="str">
        <f aca="false">IF(OR(A367="",COUNTIF('Injection Sales'!$B$2:$B$501,A367)+COUNTIF('Protein Sales'!$B$2:$B$501,A367)+COUNTIF('Diet Support'!$B$2:$B$501,A367)=0),"",MIN(IF(COUNTIF('Injection Sales'!$B$2:$B$501,A367),_xlfn.MINIFS('Injection Sales'!$A$2:$A$501,'Injection Sales'!$B$2:$B$501,A367),99999),IF(COUNTIF('Protein Sales'!$B$2:$B$501,A367),_xlfn.MINIFS('Protein Sales'!$A$2:$A$501,'Protein Sales'!$B$2:$B$501,A367),99999),IF(COUNTIF('Diet Support'!$B$2:$B$501,A367),_xlfn.MINIFS('Diet Support'!$A$2:$A$501,'Diet Support'!$B$2:$B$501,A367),99999)))</f>
        <v/>
      </c>
      <c r="D367" s="18" t="str">
        <f aca="false">IF(OR(A367="",COUNTIF('Injection Sales'!$B$2:$B$501,A367)+COUNTIF('Protein Sales'!$B$2:$B$501,A367)+COUNTIF('Diet Support'!$B$2:$B$501,A367)=0),"",MAX(_xlfn.MAXIFS('Injection Sales'!$A$2:$A$501,'Injection Sales'!$B$2:$B$501,A367),_xlfn.MAXIFS('Protein Sales'!$A$2:$A$501,'Protein Sales'!$B$2:$B$501,A367),_xlfn.MAXIFS('Diet Support'!$A$2:$A$501,'Diet Support'!$B$2:$B$501,A367)))</f>
        <v/>
      </c>
      <c r="E367" s="19" t="str">
        <f aca="false">IF(A367="","",COUNTIF('Injection Sales'!$B$2:$B$501,A367)+COUNTIF('Protein Sales'!$B$2:$B$501,A367)+COUNTIF('Diet Support'!$B$2:$B$501,A367))</f>
        <v/>
      </c>
      <c r="F367" s="20" t="str">
        <f aca="false">IF(A367="","",SUMIF('Injection Sales'!$B$2:$B$501,A367,'Injection Sales'!$G$2:$G$501)+SUMIF('Protein Sales'!$B$2:$B$501,A367,'Protein Sales'!$F$2:$F$501)+SUMIF('Diet Support'!$B$2:$B$501,A367,'Diet Support'!$E$2:$E$501))</f>
        <v/>
      </c>
      <c r="G367" s="21" t="str">
        <f aca="false">IF(OR(A367="",COUNTIF('Injection Sales'!$B$2:$B$501,A367)=0),"",IFERROR(LOOKUP(2,1/(('Injection Sales'!$B$2:$B$501=A367)*('Injection Sales'!$A$2:$A$501=_xlfn.MAXIFS('Injection Sales'!$A$2:$A$501,'Injection Sales'!$B$2:$B$501,A367))),'Injection Sales'!$E$2:$E$501),""))</f>
        <v/>
      </c>
      <c r="H367" s="21" t="str">
        <f aca="false">IF(OR(A367="",COUNTIF('Injection Sales'!$B$2:$B$501,A367)=0),"",IFERROR(LOOKUP(2,1/(('Injection Sales'!$B$2:$B$501=A367)*('Injection Sales'!$A$2:$A$501=_xlfn.MAXIFS('Injection Sales'!$A$2:$A$501,'Injection Sales'!$B$2:$B$501,A367))),'Injection Sales'!$H$2:$H$501),""))</f>
        <v/>
      </c>
      <c r="I367" s="21" t="str">
        <f aca="true">IF(OR(A367="",D367=""),"",IF(TODAY()-D367&lt;=Settings!$B$7,"Active","Inactive"))</f>
        <v/>
      </c>
    </row>
    <row r="368" customFormat="false" ht="15" hidden="false" customHeight="false" outlineLevel="0" collapsed="false">
      <c r="A368" s="1"/>
      <c r="B368" s="22"/>
      <c r="C368" s="18" t="str">
        <f aca="false">IF(OR(A368="",COUNTIF('Injection Sales'!$B$2:$B$501,A368)+COUNTIF('Protein Sales'!$B$2:$B$501,A368)+COUNTIF('Diet Support'!$B$2:$B$501,A368)=0),"",MIN(IF(COUNTIF('Injection Sales'!$B$2:$B$501,A368),_xlfn.MINIFS('Injection Sales'!$A$2:$A$501,'Injection Sales'!$B$2:$B$501,A368),99999),IF(COUNTIF('Protein Sales'!$B$2:$B$501,A368),_xlfn.MINIFS('Protein Sales'!$A$2:$A$501,'Protein Sales'!$B$2:$B$501,A368),99999),IF(COUNTIF('Diet Support'!$B$2:$B$501,A368),_xlfn.MINIFS('Diet Support'!$A$2:$A$501,'Diet Support'!$B$2:$B$501,A368),99999)))</f>
        <v/>
      </c>
      <c r="D368" s="18" t="str">
        <f aca="false">IF(OR(A368="",COUNTIF('Injection Sales'!$B$2:$B$501,A368)+COUNTIF('Protein Sales'!$B$2:$B$501,A368)+COUNTIF('Diet Support'!$B$2:$B$501,A368)=0),"",MAX(_xlfn.MAXIFS('Injection Sales'!$A$2:$A$501,'Injection Sales'!$B$2:$B$501,A368),_xlfn.MAXIFS('Protein Sales'!$A$2:$A$501,'Protein Sales'!$B$2:$B$501,A368),_xlfn.MAXIFS('Diet Support'!$A$2:$A$501,'Diet Support'!$B$2:$B$501,A368)))</f>
        <v/>
      </c>
      <c r="E368" s="19" t="str">
        <f aca="false">IF(A368="","",COUNTIF('Injection Sales'!$B$2:$B$501,A368)+COUNTIF('Protein Sales'!$B$2:$B$501,A368)+COUNTIF('Diet Support'!$B$2:$B$501,A368))</f>
        <v/>
      </c>
      <c r="F368" s="20" t="str">
        <f aca="false">IF(A368="","",SUMIF('Injection Sales'!$B$2:$B$501,A368,'Injection Sales'!$G$2:$G$501)+SUMIF('Protein Sales'!$B$2:$B$501,A368,'Protein Sales'!$F$2:$F$501)+SUMIF('Diet Support'!$B$2:$B$501,A368,'Diet Support'!$E$2:$E$501))</f>
        <v/>
      </c>
      <c r="G368" s="21" t="str">
        <f aca="false">IF(OR(A368="",COUNTIF('Injection Sales'!$B$2:$B$501,A368)=0),"",IFERROR(LOOKUP(2,1/(('Injection Sales'!$B$2:$B$501=A368)*('Injection Sales'!$A$2:$A$501=_xlfn.MAXIFS('Injection Sales'!$A$2:$A$501,'Injection Sales'!$B$2:$B$501,A368))),'Injection Sales'!$E$2:$E$501),""))</f>
        <v/>
      </c>
      <c r="H368" s="21" t="str">
        <f aca="false">IF(OR(A368="",COUNTIF('Injection Sales'!$B$2:$B$501,A368)=0),"",IFERROR(LOOKUP(2,1/(('Injection Sales'!$B$2:$B$501=A368)*('Injection Sales'!$A$2:$A$501=_xlfn.MAXIFS('Injection Sales'!$A$2:$A$501,'Injection Sales'!$B$2:$B$501,A368))),'Injection Sales'!$H$2:$H$501),""))</f>
        <v/>
      </c>
      <c r="I368" s="21" t="str">
        <f aca="true">IF(OR(A368="",D368=""),"",IF(TODAY()-D368&lt;=Settings!$B$7,"Active","Inactive"))</f>
        <v/>
      </c>
    </row>
    <row r="369" customFormat="false" ht="15" hidden="false" customHeight="false" outlineLevel="0" collapsed="false">
      <c r="A369" s="1"/>
      <c r="B369" s="22"/>
      <c r="C369" s="18" t="str">
        <f aca="false">IF(OR(A369="",COUNTIF('Injection Sales'!$B$2:$B$501,A369)+COUNTIF('Protein Sales'!$B$2:$B$501,A369)+COUNTIF('Diet Support'!$B$2:$B$501,A369)=0),"",MIN(IF(COUNTIF('Injection Sales'!$B$2:$B$501,A369),_xlfn.MINIFS('Injection Sales'!$A$2:$A$501,'Injection Sales'!$B$2:$B$501,A369),99999),IF(COUNTIF('Protein Sales'!$B$2:$B$501,A369),_xlfn.MINIFS('Protein Sales'!$A$2:$A$501,'Protein Sales'!$B$2:$B$501,A369),99999),IF(COUNTIF('Diet Support'!$B$2:$B$501,A369),_xlfn.MINIFS('Diet Support'!$A$2:$A$501,'Diet Support'!$B$2:$B$501,A369),99999)))</f>
        <v/>
      </c>
      <c r="D369" s="18" t="str">
        <f aca="false">IF(OR(A369="",COUNTIF('Injection Sales'!$B$2:$B$501,A369)+COUNTIF('Protein Sales'!$B$2:$B$501,A369)+COUNTIF('Diet Support'!$B$2:$B$501,A369)=0),"",MAX(_xlfn.MAXIFS('Injection Sales'!$A$2:$A$501,'Injection Sales'!$B$2:$B$501,A369),_xlfn.MAXIFS('Protein Sales'!$A$2:$A$501,'Protein Sales'!$B$2:$B$501,A369),_xlfn.MAXIFS('Diet Support'!$A$2:$A$501,'Diet Support'!$B$2:$B$501,A369)))</f>
        <v/>
      </c>
      <c r="E369" s="19" t="str">
        <f aca="false">IF(A369="","",COUNTIF('Injection Sales'!$B$2:$B$501,A369)+COUNTIF('Protein Sales'!$B$2:$B$501,A369)+COUNTIF('Diet Support'!$B$2:$B$501,A369))</f>
        <v/>
      </c>
      <c r="F369" s="20" t="str">
        <f aca="false">IF(A369="","",SUMIF('Injection Sales'!$B$2:$B$501,A369,'Injection Sales'!$G$2:$G$501)+SUMIF('Protein Sales'!$B$2:$B$501,A369,'Protein Sales'!$F$2:$F$501)+SUMIF('Diet Support'!$B$2:$B$501,A369,'Diet Support'!$E$2:$E$501))</f>
        <v/>
      </c>
      <c r="G369" s="21" t="str">
        <f aca="false">IF(OR(A369="",COUNTIF('Injection Sales'!$B$2:$B$501,A369)=0),"",IFERROR(LOOKUP(2,1/(('Injection Sales'!$B$2:$B$501=A369)*('Injection Sales'!$A$2:$A$501=_xlfn.MAXIFS('Injection Sales'!$A$2:$A$501,'Injection Sales'!$B$2:$B$501,A369))),'Injection Sales'!$E$2:$E$501),""))</f>
        <v/>
      </c>
      <c r="H369" s="21" t="str">
        <f aca="false">IF(OR(A369="",COUNTIF('Injection Sales'!$B$2:$B$501,A369)=0),"",IFERROR(LOOKUP(2,1/(('Injection Sales'!$B$2:$B$501=A369)*('Injection Sales'!$A$2:$A$501=_xlfn.MAXIFS('Injection Sales'!$A$2:$A$501,'Injection Sales'!$B$2:$B$501,A369))),'Injection Sales'!$H$2:$H$501),""))</f>
        <v/>
      </c>
      <c r="I369" s="21" t="str">
        <f aca="true">IF(OR(A369="",D369=""),"",IF(TODAY()-D369&lt;=Settings!$B$7,"Active","Inactive"))</f>
        <v/>
      </c>
    </row>
    <row r="370" customFormat="false" ht="15" hidden="false" customHeight="false" outlineLevel="0" collapsed="false">
      <c r="A370" s="1"/>
      <c r="B370" s="22"/>
      <c r="C370" s="18" t="str">
        <f aca="false">IF(OR(A370="",COUNTIF('Injection Sales'!$B$2:$B$501,A370)+COUNTIF('Protein Sales'!$B$2:$B$501,A370)+COUNTIF('Diet Support'!$B$2:$B$501,A370)=0),"",MIN(IF(COUNTIF('Injection Sales'!$B$2:$B$501,A370),_xlfn.MINIFS('Injection Sales'!$A$2:$A$501,'Injection Sales'!$B$2:$B$501,A370),99999),IF(COUNTIF('Protein Sales'!$B$2:$B$501,A370),_xlfn.MINIFS('Protein Sales'!$A$2:$A$501,'Protein Sales'!$B$2:$B$501,A370),99999),IF(COUNTIF('Diet Support'!$B$2:$B$501,A370),_xlfn.MINIFS('Diet Support'!$A$2:$A$501,'Diet Support'!$B$2:$B$501,A370),99999)))</f>
        <v/>
      </c>
      <c r="D370" s="18" t="str">
        <f aca="false">IF(OR(A370="",COUNTIF('Injection Sales'!$B$2:$B$501,A370)+COUNTIF('Protein Sales'!$B$2:$B$501,A370)+COUNTIF('Diet Support'!$B$2:$B$501,A370)=0),"",MAX(_xlfn.MAXIFS('Injection Sales'!$A$2:$A$501,'Injection Sales'!$B$2:$B$501,A370),_xlfn.MAXIFS('Protein Sales'!$A$2:$A$501,'Protein Sales'!$B$2:$B$501,A370),_xlfn.MAXIFS('Diet Support'!$A$2:$A$501,'Diet Support'!$B$2:$B$501,A370)))</f>
        <v/>
      </c>
      <c r="E370" s="19" t="str">
        <f aca="false">IF(A370="","",COUNTIF('Injection Sales'!$B$2:$B$501,A370)+COUNTIF('Protein Sales'!$B$2:$B$501,A370)+COUNTIF('Diet Support'!$B$2:$B$501,A370))</f>
        <v/>
      </c>
      <c r="F370" s="20" t="str">
        <f aca="false">IF(A370="","",SUMIF('Injection Sales'!$B$2:$B$501,A370,'Injection Sales'!$G$2:$G$501)+SUMIF('Protein Sales'!$B$2:$B$501,A370,'Protein Sales'!$F$2:$F$501)+SUMIF('Diet Support'!$B$2:$B$501,A370,'Diet Support'!$E$2:$E$501))</f>
        <v/>
      </c>
      <c r="G370" s="21" t="str">
        <f aca="false">IF(OR(A370="",COUNTIF('Injection Sales'!$B$2:$B$501,A370)=0),"",IFERROR(LOOKUP(2,1/(('Injection Sales'!$B$2:$B$501=A370)*('Injection Sales'!$A$2:$A$501=_xlfn.MAXIFS('Injection Sales'!$A$2:$A$501,'Injection Sales'!$B$2:$B$501,A370))),'Injection Sales'!$E$2:$E$501),""))</f>
        <v/>
      </c>
      <c r="H370" s="21" t="str">
        <f aca="false">IF(OR(A370="",COUNTIF('Injection Sales'!$B$2:$B$501,A370)=0),"",IFERROR(LOOKUP(2,1/(('Injection Sales'!$B$2:$B$501=A370)*('Injection Sales'!$A$2:$A$501=_xlfn.MAXIFS('Injection Sales'!$A$2:$A$501,'Injection Sales'!$B$2:$B$501,A370))),'Injection Sales'!$H$2:$H$501),""))</f>
        <v/>
      </c>
      <c r="I370" s="21" t="str">
        <f aca="true">IF(OR(A370="",D370=""),"",IF(TODAY()-D370&lt;=Settings!$B$7,"Active","Inactive"))</f>
        <v/>
      </c>
    </row>
    <row r="371" customFormat="false" ht="15" hidden="false" customHeight="false" outlineLevel="0" collapsed="false">
      <c r="A371" s="1"/>
      <c r="B371" s="22"/>
      <c r="C371" s="18" t="str">
        <f aca="false">IF(OR(A371="",COUNTIF('Injection Sales'!$B$2:$B$501,A371)+COUNTIF('Protein Sales'!$B$2:$B$501,A371)+COUNTIF('Diet Support'!$B$2:$B$501,A371)=0),"",MIN(IF(COUNTIF('Injection Sales'!$B$2:$B$501,A371),_xlfn.MINIFS('Injection Sales'!$A$2:$A$501,'Injection Sales'!$B$2:$B$501,A371),99999),IF(COUNTIF('Protein Sales'!$B$2:$B$501,A371),_xlfn.MINIFS('Protein Sales'!$A$2:$A$501,'Protein Sales'!$B$2:$B$501,A371),99999),IF(COUNTIF('Diet Support'!$B$2:$B$501,A371),_xlfn.MINIFS('Diet Support'!$A$2:$A$501,'Diet Support'!$B$2:$B$501,A371),99999)))</f>
        <v/>
      </c>
      <c r="D371" s="18" t="str">
        <f aca="false">IF(OR(A371="",COUNTIF('Injection Sales'!$B$2:$B$501,A371)+COUNTIF('Protein Sales'!$B$2:$B$501,A371)+COUNTIF('Diet Support'!$B$2:$B$501,A371)=0),"",MAX(_xlfn.MAXIFS('Injection Sales'!$A$2:$A$501,'Injection Sales'!$B$2:$B$501,A371),_xlfn.MAXIFS('Protein Sales'!$A$2:$A$501,'Protein Sales'!$B$2:$B$501,A371),_xlfn.MAXIFS('Diet Support'!$A$2:$A$501,'Diet Support'!$B$2:$B$501,A371)))</f>
        <v/>
      </c>
      <c r="E371" s="19" t="str">
        <f aca="false">IF(A371="","",COUNTIF('Injection Sales'!$B$2:$B$501,A371)+COUNTIF('Protein Sales'!$B$2:$B$501,A371)+COUNTIF('Diet Support'!$B$2:$B$501,A371))</f>
        <v/>
      </c>
      <c r="F371" s="20" t="str">
        <f aca="false">IF(A371="","",SUMIF('Injection Sales'!$B$2:$B$501,A371,'Injection Sales'!$G$2:$G$501)+SUMIF('Protein Sales'!$B$2:$B$501,A371,'Protein Sales'!$F$2:$F$501)+SUMIF('Diet Support'!$B$2:$B$501,A371,'Diet Support'!$E$2:$E$501))</f>
        <v/>
      </c>
      <c r="G371" s="21" t="str">
        <f aca="false">IF(OR(A371="",COUNTIF('Injection Sales'!$B$2:$B$501,A371)=0),"",IFERROR(LOOKUP(2,1/(('Injection Sales'!$B$2:$B$501=A371)*('Injection Sales'!$A$2:$A$501=_xlfn.MAXIFS('Injection Sales'!$A$2:$A$501,'Injection Sales'!$B$2:$B$501,A371))),'Injection Sales'!$E$2:$E$501),""))</f>
        <v/>
      </c>
      <c r="H371" s="21" t="str">
        <f aca="false">IF(OR(A371="",COUNTIF('Injection Sales'!$B$2:$B$501,A371)=0),"",IFERROR(LOOKUP(2,1/(('Injection Sales'!$B$2:$B$501=A371)*('Injection Sales'!$A$2:$A$501=_xlfn.MAXIFS('Injection Sales'!$A$2:$A$501,'Injection Sales'!$B$2:$B$501,A371))),'Injection Sales'!$H$2:$H$501),""))</f>
        <v/>
      </c>
      <c r="I371" s="21" t="str">
        <f aca="true">IF(OR(A371="",D371=""),"",IF(TODAY()-D371&lt;=Settings!$B$7,"Active","Inactive"))</f>
        <v/>
      </c>
    </row>
    <row r="372" customFormat="false" ht="15" hidden="false" customHeight="false" outlineLevel="0" collapsed="false">
      <c r="A372" s="1"/>
      <c r="B372" s="22"/>
      <c r="C372" s="18" t="str">
        <f aca="false">IF(OR(A372="",COUNTIF('Injection Sales'!$B$2:$B$501,A372)+COUNTIF('Protein Sales'!$B$2:$B$501,A372)+COUNTIF('Diet Support'!$B$2:$B$501,A372)=0),"",MIN(IF(COUNTIF('Injection Sales'!$B$2:$B$501,A372),_xlfn.MINIFS('Injection Sales'!$A$2:$A$501,'Injection Sales'!$B$2:$B$501,A372),99999),IF(COUNTIF('Protein Sales'!$B$2:$B$501,A372),_xlfn.MINIFS('Protein Sales'!$A$2:$A$501,'Protein Sales'!$B$2:$B$501,A372),99999),IF(COUNTIF('Diet Support'!$B$2:$B$501,A372),_xlfn.MINIFS('Diet Support'!$A$2:$A$501,'Diet Support'!$B$2:$B$501,A372),99999)))</f>
        <v/>
      </c>
      <c r="D372" s="18" t="str">
        <f aca="false">IF(OR(A372="",COUNTIF('Injection Sales'!$B$2:$B$501,A372)+COUNTIF('Protein Sales'!$B$2:$B$501,A372)+COUNTIF('Diet Support'!$B$2:$B$501,A372)=0),"",MAX(_xlfn.MAXIFS('Injection Sales'!$A$2:$A$501,'Injection Sales'!$B$2:$B$501,A372),_xlfn.MAXIFS('Protein Sales'!$A$2:$A$501,'Protein Sales'!$B$2:$B$501,A372),_xlfn.MAXIFS('Diet Support'!$A$2:$A$501,'Diet Support'!$B$2:$B$501,A372)))</f>
        <v/>
      </c>
      <c r="E372" s="19" t="str">
        <f aca="false">IF(A372="","",COUNTIF('Injection Sales'!$B$2:$B$501,A372)+COUNTIF('Protein Sales'!$B$2:$B$501,A372)+COUNTIF('Diet Support'!$B$2:$B$501,A372))</f>
        <v/>
      </c>
      <c r="F372" s="20" t="str">
        <f aca="false">IF(A372="","",SUMIF('Injection Sales'!$B$2:$B$501,A372,'Injection Sales'!$G$2:$G$501)+SUMIF('Protein Sales'!$B$2:$B$501,A372,'Protein Sales'!$F$2:$F$501)+SUMIF('Diet Support'!$B$2:$B$501,A372,'Diet Support'!$E$2:$E$501))</f>
        <v/>
      </c>
      <c r="G372" s="21" t="str">
        <f aca="false">IF(OR(A372="",COUNTIF('Injection Sales'!$B$2:$B$501,A372)=0),"",IFERROR(LOOKUP(2,1/(('Injection Sales'!$B$2:$B$501=A372)*('Injection Sales'!$A$2:$A$501=_xlfn.MAXIFS('Injection Sales'!$A$2:$A$501,'Injection Sales'!$B$2:$B$501,A372))),'Injection Sales'!$E$2:$E$501),""))</f>
        <v/>
      </c>
      <c r="H372" s="21" t="str">
        <f aca="false">IF(OR(A372="",COUNTIF('Injection Sales'!$B$2:$B$501,A372)=0),"",IFERROR(LOOKUP(2,1/(('Injection Sales'!$B$2:$B$501=A372)*('Injection Sales'!$A$2:$A$501=_xlfn.MAXIFS('Injection Sales'!$A$2:$A$501,'Injection Sales'!$B$2:$B$501,A372))),'Injection Sales'!$H$2:$H$501),""))</f>
        <v/>
      </c>
      <c r="I372" s="21" t="str">
        <f aca="true">IF(OR(A372="",D372=""),"",IF(TODAY()-D372&lt;=Settings!$B$7,"Active","Inactive"))</f>
        <v/>
      </c>
    </row>
    <row r="373" customFormat="false" ht="15" hidden="false" customHeight="false" outlineLevel="0" collapsed="false">
      <c r="A373" s="1"/>
      <c r="B373" s="22"/>
      <c r="C373" s="18" t="str">
        <f aca="false">IF(OR(A373="",COUNTIF('Injection Sales'!$B$2:$B$501,A373)+COUNTIF('Protein Sales'!$B$2:$B$501,A373)+COUNTIF('Diet Support'!$B$2:$B$501,A373)=0),"",MIN(IF(COUNTIF('Injection Sales'!$B$2:$B$501,A373),_xlfn.MINIFS('Injection Sales'!$A$2:$A$501,'Injection Sales'!$B$2:$B$501,A373),99999),IF(COUNTIF('Protein Sales'!$B$2:$B$501,A373),_xlfn.MINIFS('Protein Sales'!$A$2:$A$501,'Protein Sales'!$B$2:$B$501,A373),99999),IF(COUNTIF('Diet Support'!$B$2:$B$501,A373),_xlfn.MINIFS('Diet Support'!$A$2:$A$501,'Diet Support'!$B$2:$B$501,A373),99999)))</f>
        <v/>
      </c>
      <c r="D373" s="18" t="str">
        <f aca="false">IF(OR(A373="",COUNTIF('Injection Sales'!$B$2:$B$501,A373)+COUNTIF('Protein Sales'!$B$2:$B$501,A373)+COUNTIF('Diet Support'!$B$2:$B$501,A373)=0),"",MAX(_xlfn.MAXIFS('Injection Sales'!$A$2:$A$501,'Injection Sales'!$B$2:$B$501,A373),_xlfn.MAXIFS('Protein Sales'!$A$2:$A$501,'Protein Sales'!$B$2:$B$501,A373),_xlfn.MAXIFS('Diet Support'!$A$2:$A$501,'Diet Support'!$B$2:$B$501,A373)))</f>
        <v/>
      </c>
      <c r="E373" s="19" t="str">
        <f aca="false">IF(A373="","",COUNTIF('Injection Sales'!$B$2:$B$501,A373)+COUNTIF('Protein Sales'!$B$2:$B$501,A373)+COUNTIF('Diet Support'!$B$2:$B$501,A373))</f>
        <v/>
      </c>
      <c r="F373" s="20" t="str">
        <f aca="false">IF(A373="","",SUMIF('Injection Sales'!$B$2:$B$501,A373,'Injection Sales'!$G$2:$G$501)+SUMIF('Protein Sales'!$B$2:$B$501,A373,'Protein Sales'!$F$2:$F$501)+SUMIF('Diet Support'!$B$2:$B$501,A373,'Diet Support'!$E$2:$E$501))</f>
        <v/>
      </c>
      <c r="G373" s="21" t="str">
        <f aca="false">IF(OR(A373="",COUNTIF('Injection Sales'!$B$2:$B$501,A373)=0),"",IFERROR(LOOKUP(2,1/(('Injection Sales'!$B$2:$B$501=A373)*('Injection Sales'!$A$2:$A$501=_xlfn.MAXIFS('Injection Sales'!$A$2:$A$501,'Injection Sales'!$B$2:$B$501,A373))),'Injection Sales'!$E$2:$E$501),""))</f>
        <v/>
      </c>
      <c r="H373" s="21" t="str">
        <f aca="false">IF(OR(A373="",COUNTIF('Injection Sales'!$B$2:$B$501,A373)=0),"",IFERROR(LOOKUP(2,1/(('Injection Sales'!$B$2:$B$501=A373)*('Injection Sales'!$A$2:$A$501=_xlfn.MAXIFS('Injection Sales'!$A$2:$A$501,'Injection Sales'!$B$2:$B$501,A373))),'Injection Sales'!$H$2:$H$501),""))</f>
        <v/>
      </c>
      <c r="I373" s="21" t="str">
        <f aca="true">IF(OR(A373="",D373=""),"",IF(TODAY()-D373&lt;=Settings!$B$7,"Active","Inactive"))</f>
        <v/>
      </c>
    </row>
    <row r="374" customFormat="false" ht="15" hidden="false" customHeight="false" outlineLevel="0" collapsed="false">
      <c r="A374" s="1"/>
      <c r="B374" s="22"/>
      <c r="C374" s="18" t="str">
        <f aca="false">IF(OR(A374="",COUNTIF('Injection Sales'!$B$2:$B$501,A374)+COUNTIF('Protein Sales'!$B$2:$B$501,A374)+COUNTIF('Diet Support'!$B$2:$B$501,A374)=0),"",MIN(IF(COUNTIF('Injection Sales'!$B$2:$B$501,A374),_xlfn.MINIFS('Injection Sales'!$A$2:$A$501,'Injection Sales'!$B$2:$B$501,A374),99999),IF(COUNTIF('Protein Sales'!$B$2:$B$501,A374),_xlfn.MINIFS('Protein Sales'!$A$2:$A$501,'Protein Sales'!$B$2:$B$501,A374),99999),IF(COUNTIF('Diet Support'!$B$2:$B$501,A374),_xlfn.MINIFS('Diet Support'!$A$2:$A$501,'Diet Support'!$B$2:$B$501,A374),99999)))</f>
        <v/>
      </c>
      <c r="D374" s="18" t="str">
        <f aca="false">IF(OR(A374="",COUNTIF('Injection Sales'!$B$2:$B$501,A374)+COUNTIF('Protein Sales'!$B$2:$B$501,A374)+COUNTIF('Diet Support'!$B$2:$B$501,A374)=0),"",MAX(_xlfn.MAXIFS('Injection Sales'!$A$2:$A$501,'Injection Sales'!$B$2:$B$501,A374),_xlfn.MAXIFS('Protein Sales'!$A$2:$A$501,'Protein Sales'!$B$2:$B$501,A374),_xlfn.MAXIFS('Diet Support'!$A$2:$A$501,'Diet Support'!$B$2:$B$501,A374)))</f>
        <v/>
      </c>
      <c r="E374" s="19" t="str">
        <f aca="false">IF(A374="","",COUNTIF('Injection Sales'!$B$2:$B$501,A374)+COUNTIF('Protein Sales'!$B$2:$B$501,A374)+COUNTIF('Diet Support'!$B$2:$B$501,A374))</f>
        <v/>
      </c>
      <c r="F374" s="20" t="str">
        <f aca="false">IF(A374="","",SUMIF('Injection Sales'!$B$2:$B$501,A374,'Injection Sales'!$G$2:$G$501)+SUMIF('Protein Sales'!$B$2:$B$501,A374,'Protein Sales'!$F$2:$F$501)+SUMIF('Diet Support'!$B$2:$B$501,A374,'Diet Support'!$E$2:$E$501))</f>
        <v/>
      </c>
      <c r="G374" s="21" t="str">
        <f aca="false">IF(OR(A374="",COUNTIF('Injection Sales'!$B$2:$B$501,A374)=0),"",IFERROR(LOOKUP(2,1/(('Injection Sales'!$B$2:$B$501=A374)*('Injection Sales'!$A$2:$A$501=_xlfn.MAXIFS('Injection Sales'!$A$2:$A$501,'Injection Sales'!$B$2:$B$501,A374))),'Injection Sales'!$E$2:$E$501),""))</f>
        <v/>
      </c>
      <c r="H374" s="21" t="str">
        <f aca="false">IF(OR(A374="",COUNTIF('Injection Sales'!$B$2:$B$501,A374)=0),"",IFERROR(LOOKUP(2,1/(('Injection Sales'!$B$2:$B$501=A374)*('Injection Sales'!$A$2:$A$501=_xlfn.MAXIFS('Injection Sales'!$A$2:$A$501,'Injection Sales'!$B$2:$B$501,A374))),'Injection Sales'!$H$2:$H$501),""))</f>
        <v/>
      </c>
      <c r="I374" s="21" t="str">
        <f aca="true">IF(OR(A374="",D374=""),"",IF(TODAY()-D374&lt;=Settings!$B$7,"Active","Inactive"))</f>
        <v/>
      </c>
    </row>
    <row r="375" customFormat="false" ht="15" hidden="false" customHeight="false" outlineLevel="0" collapsed="false">
      <c r="A375" s="1"/>
      <c r="B375" s="22"/>
      <c r="C375" s="18" t="str">
        <f aca="false">IF(OR(A375="",COUNTIF('Injection Sales'!$B$2:$B$501,A375)+COUNTIF('Protein Sales'!$B$2:$B$501,A375)+COUNTIF('Diet Support'!$B$2:$B$501,A375)=0),"",MIN(IF(COUNTIF('Injection Sales'!$B$2:$B$501,A375),_xlfn.MINIFS('Injection Sales'!$A$2:$A$501,'Injection Sales'!$B$2:$B$501,A375),99999),IF(COUNTIF('Protein Sales'!$B$2:$B$501,A375),_xlfn.MINIFS('Protein Sales'!$A$2:$A$501,'Protein Sales'!$B$2:$B$501,A375),99999),IF(COUNTIF('Diet Support'!$B$2:$B$501,A375),_xlfn.MINIFS('Diet Support'!$A$2:$A$501,'Diet Support'!$B$2:$B$501,A375),99999)))</f>
        <v/>
      </c>
      <c r="D375" s="18" t="str">
        <f aca="false">IF(OR(A375="",COUNTIF('Injection Sales'!$B$2:$B$501,A375)+COUNTIF('Protein Sales'!$B$2:$B$501,A375)+COUNTIF('Diet Support'!$B$2:$B$501,A375)=0),"",MAX(_xlfn.MAXIFS('Injection Sales'!$A$2:$A$501,'Injection Sales'!$B$2:$B$501,A375),_xlfn.MAXIFS('Protein Sales'!$A$2:$A$501,'Protein Sales'!$B$2:$B$501,A375),_xlfn.MAXIFS('Diet Support'!$A$2:$A$501,'Diet Support'!$B$2:$B$501,A375)))</f>
        <v/>
      </c>
      <c r="E375" s="19" t="str">
        <f aca="false">IF(A375="","",COUNTIF('Injection Sales'!$B$2:$B$501,A375)+COUNTIF('Protein Sales'!$B$2:$B$501,A375)+COUNTIF('Diet Support'!$B$2:$B$501,A375))</f>
        <v/>
      </c>
      <c r="F375" s="20" t="str">
        <f aca="false">IF(A375="","",SUMIF('Injection Sales'!$B$2:$B$501,A375,'Injection Sales'!$G$2:$G$501)+SUMIF('Protein Sales'!$B$2:$B$501,A375,'Protein Sales'!$F$2:$F$501)+SUMIF('Diet Support'!$B$2:$B$501,A375,'Diet Support'!$E$2:$E$501))</f>
        <v/>
      </c>
      <c r="G375" s="21" t="str">
        <f aca="false">IF(OR(A375="",COUNTIF('Injection Sales'!$B$2:$B$501,A375)=0),"",IFERROR(LOOKUP(2,1/(('Injection Sales'!$B$2:$B$501=A375)*('Injection Sales'!$A$2:$A$501=_xlfn.MAXIFS('Injection Sales'!$A$2:$A$501,'Injection Sales'!$B$2:$B$501,A375))),'Injection Sales'!$E$2:$E$501),""))</f>
        <v/>
      </c>
      <c r="H375" s="21" t="str">
        <f aca="false">IF(OR(A375="",COUNTIF('Injection Sales'!$B$2:$B$501,A375)=0),"",IFERROR(LOOKUP(2,1/(('Injection Sales'!$B$2:$B$501=A375)*('Injection Sales'!$A$2:$A$501=_xlfn.MAXIFS('Injection Sales'!$A$2:$A$501,'Injection Sales'!$B$2:$B$501,A375))),'Injection Sales'!$H$2:$H$501),""))</f>
        <v/>
      </c>
      <c r="I375" s="21" t="str">
        <f aca="true">IF(OR(A375="",D375=""),"",IF(TODAY()-D375&lt;=Settings!$B$7,"Active","Inactive"))</f>
        <v/>
      </c>
    </row>
    <row r="376" customFormat="false" ht="15" hidden="false" customHeight="false" outlineLevel="0" collapsed="false">
      <c r="A376" s="1"/>
      <c r="B376" s="22"/>
      <c r="C376" s="18" t="str">
        <f aca="false">IF(OR(A376="",COUNTIF('Injection Sales'!$B$2:$B$501,A376)+COUNTIF('Protein Sales'!$B$2:$B$501,A376)+COUNTIF('Diet Support'!$B$2:$B$501,A376)=0),"",MIN(IF(COUNTIF('Injection Sales'!$B$2:$B$501,A376),_xlfn.MINIFS('Injection Sales'!$A$2:$A$501,'Injection Sales'!$B$2:$B$501,A376),99999),IF(COUNTIF('Protein Sales'!$B$2:$B$501,A376),_xlfn.MINIFS('Protein Sales'!$A$2:$A$501,'Protein Sales'!$B$2:$B$501,A376),99999),IF(COUNTIF('Diet Support'!$B$2:$B$501,A376),_xlfn.MINIFS('Diet Support'!$A$2:$A$501,'Diet Support'!$B$2:$B$501,A376),99999)))</f>
        <v/>
      </c>
      <c r="D376" s="18" t="str">
        <f aca="false">IF(OR(A376="",COUNTIF('Injection Sales'!$B$2:$B$501,A376)+COUNTIF('Protein Sales'!$B$2:$B$501,A376)+COUNTIF('Diet Support'!$B$2:$B$501,A376)=0),"",MAX(_xlfn.MAXIFS('Injection Sales'!$A$2:$A$501,'Injection Sales'!$B$2:$B$501,A376),_xlfn.MAXIFS('Protein Sales'!$A$2:$A$501,'Protein Sales'!$B$2:$B$501,A376),_xlfn.MAXIFS('Diet Support'!$A$2:$A$501,'Diet Support'!$B$2:$B$501,A376)))</f>
        <v/>
      </c>
      <c r="E376" s="19" t="str">
        <f aca="false">IF(A376="","",COUNTIF('Injection Sales'!$B$2:$B$501,A376)+COUNTIF('Protein Sales'!$B$2:$B$501,A376)+COUNTIF('Diet Support'!$B$2:$B$501,A376))</f>
        <v/>
      </c>
      <c r="F376" s="20" t="str">
        <f aca="false">IF(A376="","",SUMIF('Injection Sales'!$B$2:$B$501,A376,'Injection Sales'!$G$2:$G$501)+SUMIF('Protein Sales'!$B$2:$B$501,A376,'Protein Sales'!$F$2:$F$501)+SUMIF('Diet Support'!$B$2:$B$501,A376,'Diet Support'!$E$2:$E$501))</f>
        <v/>
      </c>
      <c r="G376" s="21" t="str">
        <f aca="false">IF(OR(A376="",COUNTIF('Injection Sales'!$B$2:$B$501,A376)=0),"",IFERROR(LOOKUP(2,1/(('Injection Sales'!$B$2:$B$501=A376)*('Injection Sales'!$A$2:$A$501=_xlfn.MAXIFS('Injection Sales'!$A$2:$A$501,'Injection Sales'!$B$2:$B$501,A376))),'Injection Sales'!$E$2:$E$501),""))</f>
        <v/>
      </c>
      <c r="H376" s="21" t="str">
        <f aca="false">IF(OR(A376="",COUNTIF('Injection Sales'!$B$2:$B$501,A376)=0),"",IFERROR(LOOKUP(2,1/(('Injection Sales'!$B$2:$B$501=A376)*('Injection Sales'!$A$2:$A$501=_xlfn.MAXIFS('Injection Sales'!$A$2:$A$501,'Injection Sales'!$B$2:$B$501,A376))),'Injection Sales'!$H$2:$H$501),""))</f>
        <v/>
      </c>
      <c r="I376" s="21" t="str">
        <f aca="true">IF(OR(A376="",D376=""),"",IF(TODAY()-D376&lt;=Settings!$B$7,"Active","Inactive"))</f>
        <v/>
      </c>
    </row>
    <row r="377" customFormat="false" ht="15" hidden="false" customHeight="false" outlineLevel="0" collapsed="false">
      <c r="A377" s="1"/>
      <c r="B377" s="22"/>
      <c r="C377" s="18" t="str">
        <f aca="false">IF(OR(A377="",COUNTIF('Injection Sales'!$B$2:$B$501,A377)+COUNTIF('Protein Sales'!$B$2:$B$501,A377)+COUNTIF('Diet Support'!$B$2:$B$501,A377)=0),"",MIN(IF(COUNTIF('Injection Sales'!$B$2:$B$501,A377),_xlfn.MINIFS('Injection Sales'!$A$2:$A$501,'Injection Sales'!$B$2:$B$501,A377),99999),IF(COUNTIF('Protein Sales'!$B$2:$B$501,A377),_xlfn.MINIFS('Protein Sales'!$A$2:$A$501,'Protein Sales'!$B$2:$B$501,A377),99999),IF(COUNTIF('Diet Support'!$B$2:$B$501,A377),_xlfn.MINIFS('Diet Support'!$A$2:$A$501,'Diet Support'!$B$2:$B$501,A377),99999)))</f>
        <v/>
      </c>
      <c r="D377" s="18" t="str">
        <f aca="false">IF(OR(A377="",COUNTIF('Injection Sales'!$B$2:$B$501,A377)+COUNTIF('Protein Sales'!$B$2:$B$501,A377)+COUNTIF('Diet Support'!$B$2:$B$501,A377)=0),"",MAX(_xlfn.MAXIFS('Injection Sales'!$A$2:$A$501,'Injection Sales'!$B$2:$B$501,A377),_xlfn.MAXIFS('Protein Sales'!$A$2:$A$501,'Protein Sales'!$B$2:$B$501,A377),_xlfn.MAXIFS('Diet Support'!$A$2:$A$501,'Diet Support'!$B$2:$B$501,A377)))</f>
        <v/>
      </c>
      <c r="E377" s="19" t="str">
        <f aca="false">IF(A377="","",COUNTIF('Injection Sales'!$B$2:$B$501,A377)+COUNTIF('Protein Sales'!$B$2:$B$501,A377)+COUNTIF('Diet Support'!$B$2:$B$501,A377))</f>
        <v/>
      </c>
      <c r="F377" s="20" t="str">
        <f aca="false">IF(A377="","",SUMIF('Injection Sales'!$B$2:$B$501,A377,'Injection Sales'!$G$2:$G$501)+SUMIF('Protein Sales'!$B$2:$B$501,A377,'Protein Sales'!$F$2:$F$501)+SUMIF('Diet Support'!$B$2:$B$501,A377,'Diet Support'!$E$2:$E$501))</f>
        <v/>
      </c>
      <c r="G377" s="21" t="str">
        <f aca="false">IF(OR(A377="",COUNTIF('Injection Sales'!$B$2:$B$501,A377)=0),"",IFERROR(LOOKUP(2,1/(('Injection Sales'!$B$2:$B$501=A377)*('Injection Sales'!$A$2:$A$501=_xlfn.MAXIFS('Injection Sales'!$A$2:$A$501,'Injection Sales'!$B$2:$B$501,A377))),'Injection Sales'!$E$2:$E$501),""))</f>
        <v/>
      </c>
      <c r="H377" s="21" t="str">
        <f aca="false">IF(OR(A377="",COUNTIF('Injection Sales'!$B$2:$B$501,A377)=0),"",IFERROR(LOOKUP(2,1/(('Injection Sales'!$B$2:$B$501=A377)*('Injection Sales'!$A$2:$A$501=_xlfn.MAXIFS('Injection Sales'!$A$2:$A$501,'Injection Sales'!$B$2:$B$501,A377))),'Injection Sales'!$H$2:$H$501),""))</f>
        <v/>
      </c>
      <c r="I377" s="21" t="str">
        <f aca="true">IF(OR(A377="",D377=""),"",IF(TODAY()-D377&lt;=Settings!$B$7,"Active","Inactive"))</f>
        <v/>
      </c>
    </row>
    <row r="378" customFormat="false" ht="15" hidden="false" customHeight="false" outlineLevel="0" collapsed="false">
      <c r="A378" s="1"/>
      <c r="B378" s="22"/>
      <c r="C378" s="18" t="str">
        <f aca="false">IF(OR(A378="",COUNTIF('Injection Sales'!$B$2:$B$501,A378)+COUNTIF('Protein Sales'!$B$2:$B$501,A378)+COUNTIF('Diet Support'!$B$2:$B$501,A378)=0),"",MIN(IF(COUNTIF('Injection Sales'!$B$2:$B$501,A378),_xlfn.MINIFS('Injection Sales'!$A$2:$A$501,'Injection Sales'!$B$2:$B$501,A378),99999),IF(COUNTIF('Protein Sales'!$B$2:$B$501,A378),_xlfn.MINIFS('Protein Sales'!$A$2:$A$501,'Protein Sales'!$B$2:$B$501,A378),99999),IF(COUNTIF('Diet Support'!$B$2:$B$501,A378),_xlfn.MINIFS('Diet Support'!$A$2:$A$501,'Diet Support'!$B$2:$B$501,A378),99999)))</f>
        <v/>
      </c>
      <c r="D378" s="18" t="str">
        <f aca="false">IF(OR(A378="",COUNTIF('Injection Sales'!$B$2:$B$501,A378)+COUNTIF('Protein Sales'!$B$2:$B$501,A378)+COUNTIF('Diet Support'!$B$2:$B$501,A378)=0),"",MAX(_xlfn.MAXIFS('Injection Sales'!$A$2:$A$501,'Injection Sales'!$B$2:$B$501,A378),_xlfn.MAXIFS('Protein Sales'!$A$2:$A$501,'Protein Sales'!$B$2:$B$501,A378),_xlfn.MAXIFS('Diet Support'!$A$2:$A$501,'Diet Support'!$B$2:$B$501,A378)))</f>
        <v/>
      </c>
      <c r="E378" s="19" t="str">
        <f aca="false">IF(A378="","",COUNTIF('Injection Sales'!$B$2:$B$501,A378)+COUNTIF('Protein Sales'!$B$2:$B$501,A378)+COUNTIF('Diet Support'!$B$2:$B$501,A378))</f>
        <v/>
      </c>
      <c r="F378" s="20" t="str">
        <f aca="false">IF(A378="","",SUMIF('Injection Sales'!$B$2:$B$501,A378,'Injection Sales'!$G$2:$G$501)+SUMIF('Protein Sales'!$B$2:$B$501,A378,'Protein Sales'!$F$2:$F$501)+SUMIF('Diet Support'!$B$2:$B$501,A378,'Diet Support'!$E$2:$E$501))</f>
        <v/>
      </c>
      <c r="G378" s="21" t="str">
        <f aca="false">IF(OR(A378="",COUNTIF('Injection Sales'!$B$2:$B$501,A378)=0),"",IFERROR(LOOKUP(2,1/(('Injection Sales'!$B$2:$B$501=A378)*('Injection Sales'!$A$2:$A$501=_xlfn.MAXIFS('Injection Sales'!$A$2:$A$501,'Injection Sales'!$B$2:$B$501,A378))),'Injection Sales'!$E$2:$E$501),""))</f>
        <v/>
      </c>
      <c r="H378" s="21" t="str">
        <f aca="false">IF(OR(A378="",COUNTIF('Injection Sales'!$B$2:$B$501,A378)=0),"",IFERROR(LOOKUP(2,1/(('Injection Sales'!$B$2:$B$501=A378)*('Injection Sales'!$A$2:$A$501=_xlfn.MAXIFS('Injection Sales'!$A$2:$A$501,'Injection Sales'!$B$2:$B$501,A378))),'Injection Sales'!$H$2:$H$501),""))</f>
        <v/>
      </c>
      <c r="I378" s="21" t="str">
        <f aca="true">IF(OR(A378="",D378=""),"",IF(TODAY()-D378&lt;=Settings!$B$7,"Active","Inactive"))</f>
        <v/>
      </c>
    </row>
    <row r="379" customFormat="false" ht="15" hidden="false" customHeight="false" outlineLevel="0" collapsed="false">
      <c r="A379" s="1"/>
      <c r="B379" s="22"/>
      <c r="C379" s="18" t="str">
        <f aca="false">IF(OR(A379="",COUNTIF('Injection Sales'!$B$2:$B$501,A379)+COUNTIF('Protein Sales'!$B$2:$B$501,A379)+COUNTIF('Diet Support'!$B$2:$B$501,A379)=0),"",MIN(IF(COUNTIF('Injection Sales'!$B$2:$B$501,A379),_xlfn.MINIFS('Injection Sales'!$A$2:$A$501,'Injection Sales'!$B$2:$B$501,A379),99999),IF(COUNTIF('Protein Sales'!$B$2:$B$501,A379),_xlfn.MINIFS('Protein Sales'!$A$2:$A$501,'Protein Sales'!$B$2:$B$501,A379),99999),IF(COUNTIF('Diet Support'!$B$2:$B$501,A379),_xlfn.MINIFS('Diet Support'!$A$2:$A$501,'Diet Support'!$B$2:$B$501,A379),99999)))</f>
        <v/>
      </c>
      <c r="D379" s="18" t="str">
        <f aca="false">IF(OR(A379="",COUNTIF('Injection Sales'!$B$2:$B$501,A379)+COUNTIF('Protein Sales'!$B$2:$B$501,A379)+COUNTIF('Diet Support'!$B$2:$B$501,A379)=0),"",MAX(_xlfn.MAXIFS('Injection Sales'!$A$2:$A$501,'Injection Sales'!$B$2:$B$501,A379),_xlfn.MAXIFS('Protein Sales'!$A$2:$A$501,'Protein Sales'!$B$2:$B$501,A379),_xlfn.MAXIFS('Diet Support'!$A$2:$A$501,'Diet Support'!$B$2:$B$501,A379)))</f>
        <v/>
      </c>
      <c r="E379" s="19" t="str">
        <f aca="false">IF(A379="","",COUNTIF('Injection Sales'!$B$2:$B$501,A379)+COUNTIF('Protein Sales'!$B$2:$B$501,A379)+COUNTIF('Diet Support'!$B$2:$B$501,A379))</f>
        <v/>
      </c>
      <c r="F379" s="20" t="str">
        <f aca="false">IF(A379="","",SUMIF('Injection Sales'!$B$2:$B$501,A379,'Injection Sales'!$G$2:$G$501)+SUMIF('Protein Sales'!$B$2:$B$501,A379,'Protein Sales'!$F$2:$F$501)+SUMIF('Diet Support'!$B$2:$B$501,A379,'Diet Support'!$E$2:$E$501))</f>
        <v/>
      </c>
      <c r="G379" s="21" t="str">
        <f aca="false">IF(OR(A379="",COUNTIF('Injection Sales'!$B$2:$B$501,A379)=0),"",IFERROR(LOOKUP(2,1/(('Injection Sales'!$B$2:$B$501=A379)*('Injection Sales'!$A$2:$A$501=_xlfn.MAXIFS('Injection Sales'!$A$2:$A$501,'Injection Sales'!$B$2:$B$501,A379))),'Injection Sales'!$E$2:$E$501),""))</f>
        <v/>
      </c>
      <c r="H379" s="21" t="str">
        <f aca="false">IF(OR(A379="",COUNTIF('Injection Sales'!$B$2:$B$501,A379)=0),"",IFERROR(LOOKUP(2,1/(('Injection Sales'!$B$2:$B$501=A379)*('Injection Sales'!$A$2:$A$501=_xlfn.MAXIFS('Injection Sales'!$A$2:$A$501,'Injection Sales'!$B$2:$B$501,A379))),'Injection Sales'!$H$2:$H$501),""))</f>
        <v/>
      </c>
      <c r="I379" s="21" t="str">
        <f aca="true">IF(OR(A379="",D379=""),"",IF(TODAY()-D379&lt;=Settings!$B$7,"Active","Inactive"))</f>
        <v/>
      </c>
    </row>
    <row r="380" customFormat="false" ht="15" hidden="false" customHeight="false" outlineLevel="0" collapsed="false">
      <c r="A380" s="1"/>
      <c r="B380" s="22"/>
      <c r="C380" s="18" t="str">
        <f aca="false">IF(OR(A380="",COUNTIF('Injection Sales'!$B$2:$B$501,A380)+COUNTIF('Protein Sales'!$B$2:$B$501,A380)+COUNTIF('Diet Support'!$B$2:$B$501,A380)=0),"",MIN(IF(COUNTIF('Injection Sales'!$B$2:$B$501,A380),_xlfn.MINIFS('Injection Sales'!$A$2:$A$501,'Injection Sales'!$B$2:$B$501,A380),99999),IF(COUNTIF('Protein Sales'!$B$2:$B$501,A380),_xlfn.MINIFS('Protein Sales'!$A$2:$A$501,'Protein Sales'!$B$2:$B$501,A380),99999),IF(COUNTIF('Diet Support'!$B$2:$B$501,A380),_xlfn.MINIFS('Diet Support'!$A$2:$A$501,'Diet Support'!$B$2:$B$501,A380),99999)))</f>
        <v/>
      </c>
      <c r="D380" s="18" t="str">
        <f aca="false">IF(OR(A380="",COUNTIF('Injection Sales'!$B$2:$B$501,A380)+COUNTIF('Protein Sales'!$B$2:$B$501,A380)+COUNTIF('Diet Support'!$B$2:$B$501,A380)=0),"",MAX(_xlfn.MAXIFS('Injection Sales'!$A$2:$A$501,'Injection Sales'!$B$2:$B$501,A380),_xlfn.MAXIFS('Protein Sales'!$A$2:$A$501,'Protein Sales'!$B$2:$B$501,A380),_xlfn.MAXIFS('Diet Support'!$A$2:$A$501,'Diet Support'!$B$2:$B$501,A380)))</f>
        <v/>
      </c>
      <c r="E380" s="19" t="str">
        <f aca="false">IF(A380="","",COUNTIF('Injection Sales'!$B$2:$B$501,A380)+COUNTIF('Protein Sales'!$B$2:$B$501,A380)+COUNTIF('Diet Support'!$B$2:$B$501,A380))</f>
        <v/>
      </c>
      <c r="F380" s="20" t="str">
        <f aca="false">IF(A380="","",SUMIF('Injection Sales'!$B$2:$B$501,A380,'Injection Sales'!$G$2:$G$501)+SUMIF('Protein Sales'!$B$2:$B$501,A380,'Protein Sales'!$F$2:$F$501)+SUMIF('Diet Support'!$B$2:$B$501,A380,'Diet Support'!$E$2:$E$501))</f>
        <v/>
      </c>
      <c r="G380" s="21" t="str">
        <f aca="false">IF(OR(A380="",COUNTIF('Injection Sales'!$B$2:$B$501,A380)=0),"",IFERROR(LOOKUP(2,1/(('Injection Sales'!$B$2:$B$501=A380)*('Injection Sales'!$A$2:$A$501=_xlfn.MAXIFS('Injection Sales'!$A$2:$A$501,'Injection Sales'!$B$2:$B$501,A380))),'Injection Sales'!$E$2:$E$501),""))</f>
        <v/>
      </c>
      <c r="H380" s="21" t="str">
        <f aca="false">IF(OR(A380="",COUNTIF('Injection Sales'!$B$2:$B$501,A380)=0),"",IFERROR(LOOKUP(2,1/(('Injection Sales'!$B$2:$B$501=A380)*('Injection Sales'!$A$2:$A$501=_xlfn.MAXIFS('Injection Sales'!$A$2:$A$501,'Injection Sales'!$B$2:$B$501,A380))),'Injection Sales'!$H$2:$H$501),""))</f>
        <v/>
      </c>
      <c r="I380" s="21" t="str">
        <f aca="true">IF(OR(A380="",D380=""),"",IF(TODAY()-D380&lt;=Settings!$B$7,"Active","Inactive"))</f>
        <v/>
      </c>
    </row>
    <row r="381" customFormat="false" ht="15" hidden="false" customHeight="false" outlineLevel="0" collapsed="false">
      <c r="A381" s="1"/>
      <c r="B381" s="22"/>
      <c r="C381" s="18" t="str">
        <f aca="false">IF(OR(A381="",COUNTIF('Injection Sales'!$B$2:$B$501,A381)+COUNTIF('Protein Sales'!$B$2:$B$501,A381)+COUNTIF('Diet Support'!$B$2:$B$501,A381)=0),"",MIN(IF(COUNTIF('Injection Sales'!$B$2:$B$501,A381),_xlfn.MINIFS('Injection Sales'!$A$2:$A$501,'Injection Sales'!$B$2:$B$501,A381),99999),IF(COUNTIF('Protein Sales'!$B$2:$B$501,A381),_xlfn.MINIFS('Protein Sales'!$A$2:$A$501,'Protein Sales'!$B$2:$B$501,A381),99999),IF(COUNTIF('Diet Support'!$B$2:$B$501,A381),_xlfn.MINIFS('Diet Support'!$A$2:$A$501,'Diet Support'!$B$2:$B$501,A381),99999)))</f>
        <v/>
      </c>
      <c r="D381" s="18" t="str">
        <f aca="false">IF(OR(A381="",COUNTIF('Injection Sales'!$B$2:$B$501,A381)+COUNTIF('Protein Sales'!$B$2:$B$501,A381)+COUNTIF('Diet Support'!$B$2:$B$501,A381)=0),"",MAX(_xlfn.MAXIFS('Injection Sales'!$A$2:$A$501,'Injection Sales'!$B$2:$B$501,A381),_xlfn.MAXIFS('Protein Sales'!$A$2:$A$501,'Protein Sales'!$B$2:$B$501,A381),_xlfn.MAXIFS('Diet Support'!$A$2:$A$501,'Diet Support'!$B$2:$B$501,A381)))</f>
        <v/>
      </c>
      <c r="E381" s="19" t="str">
        <f aca="false">IF(A381="","",COUNTIF('Injection Sales'!$B$2:$B$501,A381)+COUNTIF('Protein Sales'!$B$2:$B$501,A381)+COUNTIF('Diet Support'!$B$2:$B$501,A381))</f>
        <v/>
      </c>
      <c r="F381" s="20" t="str">
        <f aca="false">IF(A381="","",SUMIF('Injection Sales'!$B$2:$B$501,A381,'Injection Sales'!$G$2:$G$501)+SUMIF('Protein Sales'!$B$2:$B$501,A381,'Protein Sales'!$F$2:$F$501)+SUMIF('Diet Support'!$B$2:$B$501,A381,'Diet Support'!$E$2:$E$501))</f>
        <v/>
      </c>
      <c r="G381" s="21" t="str">
        <f aca="false">IF(OR(A381="",COUNTIF('Injection Sales'!$B$2:$B$501,A381)=0),"",IFERROR(LOOKUP(2,1/(('Injection Sales'!$B$2:$B$501=A381)*('Injection Sales'!$A$2:$A$501=_xlfn.MAXIFS('Injection Sales'!$A$2:$A$501,'Injection Sales'!$B$2:$B$501,A381))),'Injection Sales'!$E$2:$E$501),""))</f>
        <v/>
      </c>
      <c r="H381" s="21" t="str">
        <f aca="false">IF(OR(A381="",COUNTIF('Injection Sales'!$B$2:$B$501,A381)=0),"",IFERROR(LOOKUP(2,1/(('Injection Sales'!$B$2:$B$501=A381)*('Injection Sales'!$A$2:$A$501=_xlfn.MAXIFS('Injection Sales'!$A$2:$A$501,'Injection Sales'!$B$2:$B$501,A381))),'Injection Sales'!$H$2:$H$501),""))</f>
        <v/>
      </c>
      <c r="I381" s="21" t="str">
        <f aca="true">IF(OR(A381="",D381=""),"",IF(TODAY()-D381&lt;=Settings!$B$7,"Active","Inactive"))</f>
        <v/>
      </c>
    </row>
    <row r="382" customFormat="false" ht="15" hidden="false" customHeight="false" outlineLevel="0" collapsed="false">
      <c r="A382" s="1"/>
      <c r="B382" s="22"/>
      <c r="C382" s="18" t="str">
        <f aca="false">IF(OR(A382="",COUNTIF('Injection Sales'!$B$2:$B$501,A382)+COUNTIF('Protein Sales'!$B$2:$B$501,A382)+COUNTIF('Diet Support'!$B$2:$B$501,A382)=0),"",MIN(IF(COUNTIF('Injection Sales'!$B$2:$B$501,A382),_xlfn.MINIFS('Injection Sales'!$A$2:$A$501,'Injection Sales'!$B$2:$B$501,A382),99999),IF(COUNTIF('Protein Sales'!$B$2:$B$501,A382),_xlfn.MINIFS('Protein Sales'!$A$2:$A$501,'Protein Sales'!$B$2:$B$501,A382),99999),IF(COUNTIF('Diet Support'!$B$2:$B$501,A382),_xlfn.MINIFS('Diet Support'!$A$2:$A$501,'Diet Support'!$B$2:$B$501,A382),99999)))</f>
        <v/>
      </c>
      <c r="D382" s="18" t="str">
        <f aca="false">IF(OR(A382="",COUNTIF('Injection Sales'!$B$2:$B$501,A382)+COUNTIF('Protein Sales'!$B$2:$B$501,A382)+COUNTIF('Diet Support'!$B$2:$B$501,A382)=0),"",MAX(_xlfn.MAXIFS('Injection Sales'!$A$2:$A$501,'Injection Sales'!$B$2:$B$501,A382),_xlfn.MAXIFS('Protein Sales'!$A$2:$A$501,'Protein Sales'!$B$2:$B$501,A382),_xlfn.MAXIFS('Diet Support'!$A$2:$A$501,'Diet Support'!$B$2:$B$501,A382)))</f>
        <v/>
      </c>
      <c r="E382" s="19" t="str">
        <f aca="false">IF(A382="","",COUNTIF('Injection Sales'!$B$2:$B$501,A382)+COUNTIF('Protein Sales'!$B$2:$B$501,A382)+COUNTIF('Diet Support'!$B$2:$B$501,A382))</f>
        <v/>
      </c>
      <c r="F382" s="20" t="str">
        <f aca="false">IF(A382="","",SUMIF('Injection Sales'!$B$2:$B$501,A382,'Injection Sales'!$G$2:$G$501)+SUMIF('Protein Sales'!$B$2:$B$501,A382,'Protein Sales'!$F$2:$F$501)+SUMIF('Diet Support'!$B$2:$B$501,A382,'Diet Support'!$E$2:$E$501))</f>
        <v/>
      </c>
      <c r="G382" s="21" t="str">
        <f aca="false">IF(OR(A382="",COUNTIF('Injection Sales'!$B$2:$B$501,A382)=0),"",IFERROR(LOOKUP(2,1/(('Injection Sales'!$B$2:$B$501=A382)*('Injection Sales'!$A$2:$A$501=_xlfn.MAXIFS('Injection Sales'!$A$2:$A$501,'Injection Sales'!$B$2:$B$501,A382))),'Injection Sales'!$E$2:$E$501),""))</f>
        <v/>
      </c>
      <c r="H382" s="21" t="str">
        <f aca="false">IF(OR(A382="",COUNTIF('Injection Sales'!$B$2:$B$501,A382)=0),"",IFERROR(LOOKUP(2,1/(('Injection Sales'!$B$2:$B$501=A382)*('Injection Sales'!$A$2:$A$501=_xlfn.MAXIFS('Injection Sales'!$A$2:$A$501,'Injection Sales'!$B$2:$B$501,A382))),'Injection Sales'!$H$2:$H$501),""))</f>
        <v/>
      </c>
      <c r="I382" s="21" t="str">
        <f aca="true">IF(OR(A382="",D382=""),"",IF(TODAY()-D382&lt;=Settings!$B$7,"Active","Inactive"))</f>
        <v/>
      </c>
    </row>
    <row r="383" customFormat="false" ht="15" hidden="false" customHeight="false" outlineLevel="0" collapsed="false">
      <c r="A383" s="1"/>
      <c r="B383" s="22"/>
      <c r="C383" s="18" t="str">
        <f aca="false">IF(OR(A383="",COUNTIF('Injection Sales'!$B$2:$B$501,A383)+COUNTIF('Protein Sales'!$B$2:$B$501,A383)+COUNTIF('Diet Support'!$B$2:$B$501,A383)=0),"",MIN(IF(COUNTIF('Injection Sales'!$B$2:$B$501,A383),_xlfn.MINIFS('Injection Sales'!$A$2:$A$501,'Injection Sales'!$B$2:$B$501,A383),99999),IF(COUNTIF('Protein Sales'!$B$2:$B$501,A383),_xlfn.MINIFS('Protein Sales'!$A$2:$A$501,'Protein Sales'!$B$2:$B$501,A383),99999),IF(COUNTIF('Diet Support'!$B$2:$B$501,A383),_xlfn.MINIFS('Diet Support'!$A$2:$A$501,'Diet Support'!$B$2:$B$501,A383),99999)))</f>
        <v/>
      </c>
      <c r="D383" s="18" t="str">
        <f aca="false">IF(OR(A383="",COUNTIF('Injection Sales'!$B$2:$B$501,A383)+COUNTIF('Protein Sales'!$B$2:$B$501,A383)+COUNTIF('Diet Support'!$B$2:$B$501,A383)=0),"",MAX(_xlfn.MAXIFS('Injection Sales'!$A$2:$A$501,'Injection Sales'!$B$2:$B$501,A383),_xlfn.MAXIFS('Protein Sales'!$A$2:$A$501,'Protein Sales'!$B$2:$B$501,A383),_xlfn.MAXIFS('Diet Support'!$A$2:$A$501,'Diet Support'!$B$2:$B$501,A383)))</f>
        <v/>
      </c>
      <c r="E383" s="19" t="str">
        <f aca="false">IF(A383="","",COUNTIF('Injection Sales'!$B$2:$B$501,A383)+COUNTIF('Protein Sales'!$B$2:$B$501,A383)+COUNTIF('Diet Support'!$B$2:$B$501,A383))</f>
        <v/>
      </c>
      <c r="F383" s="20" t="str">
        <f aca="false">IF(A383="","",SUMIF('Injection Sales'!$B$2:$B$501,A383,'Injection Sales'!$G$2:$G$501)+SUMIF('Protein Sales'!$B$2:$B$501,A383,'Protein Sales'!$F$2:$F$501)+SUMIF('Diet Support'!$B$2:$B$501,A383,'Diet Support'!$E$2:$E$501))</f>
        <v/>
      </c>
      <c r="G383" s="21" t="str">
        <f aca="false">IF(OR(A383="",COUNTIF('Injection Sales'!$B$2:$B$501,A383)=0),"",IFERROR(LOOKUP(2,1/(('Injection Sales'!$B$2:$B$501=A383)*('Injection Sales'!$A$2:$A$501=_xlfn.MAXIFS('Injection Sales'!$A$2:$A$501,'Injection Sales'!$B$2:$B$501,A383))),'Injection Sales'!$E$2:$E$501),""))</f>
        <v/>
      </c>
      <c r="H383" s="21" t="str">
        <f aca="false">IF(OR(A383="",COUNTIF('Injection Sales'!$B$2:$B$501,A383)=0),"",IFERROR(LOOKUP(2,1/(('Injection Sales'!$B$2:$B$501=A383)*('Injection Sales'!$A$2:$A$501=_xlfn.MAXIFS('Injection Sales'!$A$2:$A$501,'Injection Sales'!$B$2:$B$501,A383))),'Injection Sales'!$H$2:$H$501),""))</f>
        <v/>
      </c>
      <c r="I383" s="21" t="str">
        <f aca="true">IF(OR(A383="",D383=""),"",IF(TODAY()-D383&lt;=Settings!$B$7,"Active","Inactive"))</f>
        <v/>
      </c>
    </row>
    <row r="384" customFormat="false" ht="15" hidden="false" customHeight="false" outlineLevel="0" collapsed="false">
      <c r="A384" s="1"/>
      <c r="B384" s="22"/>
      <c r="C384" s="18" t="str">
        <f aca="false">IF(OR(A384="",COUNTIF('Injection Sales'!$B$2:$B$501,A384)+COUNTIF('Protein Sales'!$B$2:$B$501,A384)+COUNTIF('Diet Support'!$B$2:$B$501,A384)=0),"",MIN(IF(COUNTIF('Injection Sales'!$B$2:$B$501,A384),_xlfn.MINIFS('Injection Sales'!$A$2:$A$501,'Injection Sales'!$B$2:$B$501,A384),99999),IF(COUNTIF('Protein Sales'!$B$2:$B$501,A384),_xlfn.MINIFS('Protein Sales'!$A$2:$A$501,'Protein Sales'!$B$2:$B$501,A384),99999),IF(COUNTIF('Diet Support'!$B$2:$B$501,A384),_xlfn.MINIFS('Diet Support'!$A$2:$A$501,'Diet Support'!$B$2:$B$501,A384),99999)))</f>
        <v/>
      </c>
      <c r="D384" s="18" t="str">
        <f aca="false">IF(OR(A384="",COUNTIF('Injection Sales'!$B$2:$B$501,A384)+COUNTIF('Protein Sales'!$B$2:$B$501,A384)+COUNTIF('Diet Support'!$B$2:$B$501,A384)=0),"",MAX(_xlfn.MAXIFS('Injection Sales'!$A$2:$A$501,'Injection Sales'!$B$2:$B$501,A384),_xlfn.MAXIFS('Protein Sales'!$A$2:$A$501,'Protein Sales'!$B$2:$B$501,A384),_xlfn.MAXIFS('Diet Support'!$A$2:$A$501,'Diet Support'!$B$2:$B$501,A384)))</f>
        <v/>
      </c>
      <c r="E384" s="19" t="str">
        <f aca="false">IF(A384="","",COUNTIF('Injection Sales'!$B$2:$B$501,A384)+COUNTIF('Protein Sales'!$B$2:$B$501,A384)+COUNTIF('Diet Support'!$B$2:$B$501,A384))</f>
        <v/>
      </c>
      <c r="F384" s="20" t="str">
        <f aca="false">IF(A384="","",SUMIF('Injection Sales'!$B$2:$B$501,A384,'Injection Sales'!$G$2:$G$501)+SUMIF('Protein Sales'!$B$2:$B$501,A384,'Protein Sales'!$F$2:$F$501)+SUMIF('Diet Support'!$B$2:$B$501,A384,'Diet Support'!$E$2:$E$501))</f>
        <v/>
      </c>
      <c r="G384" s="21" t="str">
        <f aca="false">IF(OR(A384="",COUNTIF('Injection Sales'!$B$2:$B$501,A384)=0),"",IFERROR(LOOKUP(2,1/(('Injection Sales'!$B$2:$B$501=A384)*('Injection Sales'!$A$2:$A$501=_xlfn.MAXIFS('Injection Sales'!$A$2:$A$501,'Injection Sales'!$B$2:$B$501,A384))),'Injection Sales'!$E$2:$E$501),""))</f>
        <v/>
      </c>
      <c r="H384" s="21" t="str">
        <f aca="false">IF(OR(A384="",COUNTIF('Injection Sales'!$B$2:$B$501,A384)=0),"",IFERROR(LOOKUP(2,1/(('Injection Sales'!$B$2:$B$501=A384)*('Injection Sales'!$A$2:$A$501=_xlfn.MAXIFS('Injection Sales'!$A$2:$A$501,'Injection Sales'!$B$2:$B$501,A384))),'Injection Sales'!$H$2:$H$501),""))</f>
        <v/>
      </c>
      <c r="I384" s="21" t="str">
        <f aca="true">IF(OR(A384="",D384=""),"",IF(TODAY()-D384&lt;=Settings!$B$7,"Active","Inactive"))</f>
        <v/>
      </c>
    </row>
    <row r="385" customFormat="false" ht="15" hidden="false" customHeight="false" outlineLevel="0" collapsed="false">
      <c r="A385" s="1"/>
      <c r="B385" s="22"/>
      <c r="C385" s="18" t="str">
        <f aca="false">IF(OR(A385="",COUNTIF('Injection Sales'!$B$2:$B$501,A385)+COUNTIF('Protein Sales'!$B$2:$B$501,A385)+COUNTIF('Diet Support'!$B$2:$B$501,A385)=0),"",MIN(IF(COUNTIF('Injection Sales'!$B$2:$B$501,A385),_xlfn.MINIFS('Injection Sales'!$A$2:$A$501,'Injection Sales'!$B$2:$B$501,A385),99999),IF(COUNTIF('Protein Sales'!$B$2:$B$501,A385),_xlfn.MINIFS('Protein Sales'!$A$2:$A$501,'Protein Sales'!$B$2:$B$501,A385),99999),IF(COUNTIF('Diet Support'!$B$2:$B$501,A385),_xlfn.MINIFS('Diet Support'!$A$2:$A$501,'Diet Support'!$B$2:$B$501,A385),99999)))</f>
        <v/>
      </c>
      <c r="D385" s="18" t="str">
        <f aca="false">IF(OR(A385="",COUNTIF('Injection Sales'!$B$2:$B$501,A385)+COUNTIF('Protein Sales'!$B$2:$B$501,A385)+COUNTIF('Diet Support'!$B$2:$B$501,A385)=0),"",MAX(_xlfn.MAXIFS('Injection Sales'!$A$2:$A$501,'Injection Sales'!$B$2:$B$501,A385),_xlfn.MAXIFS('Protein Sales'!$A$2:$A$501,'Protein Sales'!$B$2:$B$501,A385),_xlfn.MAXIFS('Diet Support'!$A$2:$A$501,'Diet Support'!$B$2:$B$501,A385)))</f>
        <v/>
      </c>
      <c r="E385" s="19" t="str">
        <f aca="false">IF(A385="","",COUNTIF('Injection Sales'!$B$2:$B$501,A385)+COUNTIF('Protein Sales'!$B$2:$B$501,A385)+COUNTIF('Diet Support'!$B$2:$B$501,A385))</f>
        <v/>
      </c>
      <c r="F385" s="20" t="str">
        <f aca="false">IF(A385="","",SUMIF('Injection Sales'!$B$2:$B$501,A385,'Injection Sales'!$G$2:$G$501)+SUMIF('Protein Sales'!$B$2:$B$501,A385,'Protein Sales'!$F$2:$F$501)+SUMIF('Diet Support'!$B$2:$B$501,A385,'Diet Support'!$E$2:$E$501))</f>
        <v/>
      </c>
      <c r="G385" s="21" t="str">
        <f aca="false">IF(OR(A385="",COUNTIF('Injection Sales'!$B$2:$B$501,A385)=0),"",IFERROR(LOOKUP(2,1/(('Injection Sales'!$B$2:$B$501=A385)*('Injection Sales'!$A$2:$A$501=_xlfn.MAXIFS('Injection Sales'!$A$2:$A$501,'Injection Sales'!$B$2:$B$501,A385))),'Injection Sales'!$E$2:$E$501),""))</f>
        <v/>
      </c>
      <c r="H385" s="21" t="str">
        <f aca="false">IF(OR(A385="",COUNTIF('Injection Sales'!$B$2:$B$501,A385)=0),"",IFERROR(LOOKUP(2,1/(('Injection Sales'!$B$2:$B$501=A385)*('Injection Sales'!$A$2:$A$501=_xlfn.MAXIFS('Injection Sales'!$A$2:$A$501,'Injection Sales'!$B$2:$B$501,A385))),'Injection Sales'!$H$2:$H$501),""))</f>
        <v/>
      </c>
      <c r="I385" s="21" t="str">
        <f aca="true">IF(OR(A385="",D385=""),"",IF(TODAY()-D385&lt;=Settings!$B$7,"Active","Inactive"))</f>
        <v/>
      </c>
    </row>
    <row r="386" customFormat="false" ht="15" hidden="false" customHeight="false" outlineLevel="0" collapsed="false">
      <c r="A386" s="1"/>
      <c r="B386" s="22"/>
      <c r="C386" s="18" t="str">
        <f aca="false">IF(OR(A386="",COUNTIF('Injection Sales'!$B$2:$B$501,A386)+COUNTIF('Protein Sales'!$B$2:$B$501,A386)+COUNTIF('Diet Support'!$B$2:$B$501,A386)=0),"",MIN(IF(COUNTIF('Injection Sales'!$B$2:$B$501,A386),_xlfn.MINIFS('Injection Sales'!$A$2:$A$501,'Injection Sales'!$B$2:$B$501,A386),99999),IF(COUNTIF('Protein Sales'!$B$2:$B$501,A386),_xlfn.MINIFS('Protein Sales'!$A$2:$A$501,'Protein Sales'!$B$2:$B$501,A386),99999),IF(COUNTIF('Diet Support'!$B$2:$B$501,A386),_xlfn.MINIFS('Diet Support'!$A$2:$A$501,'Diet Support'!$B$2:$B$501,A386),99999)))</f>
        <v/>
      </c>
      <c r="D386" s="18" t="str">
        <f aca="false">IF(OR(A386="",COUNTIF('Injection Sales'!$B$2:$B$501,A386)+COUNTIF('Protein Sales'!$B$2:$B$501,A386)+COUNTIF('Diet Support'!$B$2:$B$501,A386)=0),"",MAX(_xlfn.MAXIFS('Injection Sales'!$A$2:$A$501,'Injection Sales'!$B$2:$B$501,A386),_xlfn.MAXIFS('Protein Sales'!$A$2:$A$501,'Protein Sales'!$B$2:$B$501,A386),_xlfn.MAXIFS('Diet Support'!$A$2:$A$501,'Diet Support'!$B$2:$B$501,A386)))</f>
        <v/>
      </c>
      <c r="E386" s="19" t="str">
        <f aca="false">IF(A386="","",COUNTIF('Injection Sales'!$B$2:$B$501,A386)+COUNTIF('Protein Sales'!$B$2:$B$501,A386)+COUNTIF('Diet Support'!$B$2:$B$501,A386))</f>
        <v/>
      </c>
      <c r="F386" s="20" t="str">
        <f aca="false">IF(A386="","",SUMIF('Injection Sales'!$B$2:$B$501,A386,'Injection Sales'!$G$2:$G$501)+SUMIF('Protein Sales'!$B$2:$B$501,A386,'Protein Sales'!$F$2:$F$501)+SUMIF('Diet Support'!$B$2:$B$501,A386,'Diet Support'!$E$2:$E$501))</f>
        <v/>
      </c>
      <c r="G386" s="21" t="str">
        <f aca="false">IF(OR(A386="",COUNTIF('Injection Sales'!$B$2:$B$501,A386)=0),"",IFERROR(LOOKUP(2,1/(('Injection Sales'!$B$2:$B$501=A386)*('Injection Sales'!$A$2:$A$501=_xlfn.MAXIFS('Injection Sales'!$A$2:$A$501,'Injection Sales'!$B$2:$B$501,A386))),'Injection Sales'!$E$2:$E$501),""))</f>
        <v/>
      </c>
      <c r="H386" s="21" t="str">
        <f aca="false">IF(OR(A386="",COUNTIF('Injection Sales'!$B$2:$B$501,A386)=0),"",IFERROR(LOOKUP(2,1/(('Injection Sales'!$B$2:$B$501=A386)*('Injection Sales'!$A$2:$A$501=_xlfn.MAXIFS('Injection Sales'!$A$2:$A$501,'Injection Sales'!$B$2:$B$501,A386))),'Injection Sales'!$H$2:$H$501),""))</f>
        <v/>
      </c>
      <c r="I386" s="21" t="str">
        <f aca="true">IF(OR(A386="",D386=""),"",IF(TODAY()-D386&lt;=Settings!$B$7,"Active","Inactive"))</f>
        <v/>
      </c>
    </row>
    <row r="387" customFormat="false" ht="15" hidden="false" customHeight="false" outlineLevel="0" collapsed="false">
      <c r="A387" s="1"/>
      <c r="B387" s="22"/>
      <c r="C387" s="18" t="str">
        <f aca="false">IF(OR(A387="",COUNTIF('Injection Sales'!$B$2:$B$501,A387)+COUNTIF('Protein Sales'!$B$2:$B$501,A387)+COUNTIF('Diet Support'!$B$2:$B$501,A387)=0),"",MIN(IF(COUNTIF('Injection Sales'!$B$2:$B$501,A387),_xlfn.MINIFS('Injection Sales'!$A$2:$A$501,'Injection Sales'!$B$2:$B$501,A387),99999),IF(COUNTIF('Protein Sales'!$B$2:$B$501,A387),_xlfn.MINIFS('Protein Sales'!$A$2:$A$501,'Protein Sales'!$B$2:$B$501,A387),99999),IF(COUNTIF('Diet Support'!$B$2:$B$501,A387),_xlfn.MINIFS('Diet Support'!$A$2:$A$501,'Diet Support'!$B$2:$B$501,A387),99999)))</f>
        <v/>
      </c>
      <c r="D387" s="18" t="str">
        <f aca="false">IF(OR(A387="",COUNTIF('Injection Sales'!$B$2:$B$501,A387)+COUNTIF('Protein Sales'!$B$2:$B$501,A387)+COUNTIF('Diet Support'!$B$2:$B$501,A387)=0),"",MAX(_xlfn.MAXIFS('Injection Sales'!$A$2:$A$501,'Injection Sales'!$B$2:$B$501,A387),_xlfn.MAXIFS('Protein Sales'!$A$2:$A$501,'Protein Sales'!$B$2:$B$501,A387),_xlfn.MAXIFS('Diet Support'!$A$2:$A$501,'Diet Support'!$B$2:$B$501,A387)))</f>
        <v/>
      </c>
      <c r="E387" s="19" t="str">
        <f aca="false">IF(A387="","",COUNTIF('Injection Sales'!$B$2:$B$501,A387)+COUNTIF('Protein Sales'!$B$2:$B$501,A387)+COUNTIF('Diet Support'!$B$2:$B$501,A387))</f>
        <v/>
      </c>
      <c r="F387" s="20" t="str">
        <f aca="false">IF(A387="","",SUMIF('Injection Sales'!$B$2:$B$501,A387,'Injection Sales'!$G$2:$G$501)+SUMIF('Protein Sales'!$B$2:$B$501,A387,'Protein Sales'!$F$2:$F$501)+SUMIF('Diet Support'!$B$2:$B$501,A387,'Diet Support'!$E$2:$E$501))</f>
        <v/>
      </c>
      <c r="G387" s="21" t="str">
        <f aca="false">IF(OR(A387="",COUNTIF('Injection Sales'!$B$2:$B$501,A387)=0),"",IFERROR(LOOKUP(2,1/(('Injection Sales'!$B$2:$B$501=A387)*('Injection Sales'!$A$2:$A$501=_xlfn.MAXIFS('Injection Sales'!$A$2:$A$501,'Injection Sales'!$B$2:$B$501,A387))),'Injection Sales'!$E$2:$E$501),""))</f>
        <v/>
      </c>
      <c r="H387" s="21" t="str">
        <f aca="false">IF(OR(A387="",COUNTIF('Injection Sales'!$B$2:$B$501,A387)=0),"",IFERROR(LOOKUP(2,1/(('Injection Sales'!$B$2:$B$501=A387)*('Injection Sales'!$A$2:$A$501=_xlfn.MAXIFS('Injection Sales'!$A$2:$A$501,'Injection Sales'!$B$2:$B$501,A387))),'Injection Sales'!$H$2:$H$501),""))</f>
        <v/>
      </c>
      <c r="I387" s="21" t="str">
        <f aca="true">IF(OR(A387="",D387=""),"",IF(TODAY()-D387&lt;=Settings!$B$7,"Active","Inactive"))</f>
        <v/>
      </c>
    </row>
    <row r="388" customFormat="false" ht="15" hidden="false" customHeight="false" outlineLevel="0" collapsed="false">
      <c r="A388" s="1"/>
      <c r="B388" s="22"/>
      <c r="C388" s="18" t="str">
        <f aca="false">IF(OR(A388="",COUNTIF('Injection Sales'!$B$2:$B$501,A388)+COUNTIF('Protein Sales'!$B$2:$B$501,A388)+COUNTIF('Diet Support'!$B$2:$B$501,A388)=0),"",MIN(IF(COUNTIF('Injection Sales'!$B$2:$B$501,A388),_xlfn.MINIFS('Injection Sales'!$A$2:$A$501,'Injection Sales'!$B$2:$B$501,A388),99999),IF(COUNTIF('Protein Sales'!$B$2:$B$501,A388),_xlfn.MINIFS('Protein Sales'!$A$2:$A$501,'Protein Sales'!$B$2:$B$501,A388),99999),IF(COUNTIF('Diet Support'!$B$2:$B$501,A388),_xlfn.MINIFS('Diet Support'!$A$2:$A$501,'Diet Support'!$B$2:$B$501,A388),99999)))</f>
        <v/>
      </c>
      <c r="D388" s="18" t="str">
        <f aca="false">IF(OR(A388="",COUNTIF('Injection Sales'!$B$2:$B$501,A388)+COUNTIF('Protein Sales'!$B$2:$B$501,A388)+COUNTIF('Diet Support'!$B$2:$B$501,A388)=0),"",MAX(_xlfn.MAXIFS('Injection Sales'!$A$2:$A$501,'Injection Sales'!$B$2:$B$501,A388),_xlfn.MAXIFS('Protein Sales'!$A$2:$A$501,'Protein Sales'!$B$2:$B$501,A388),_xlfn.MAXIFS('Diet Support'!$A$2:$A$501,'Diet Support'!$B$2:$B$501,A388)))</f>
        <v/>
      </c>
      <c r="E388" s="19" t="str">
        <f aca="false">IF(A388="","",COUNTIF('Injection Sales'!$B$2:$B$501,A388)+COUNTIF('Protein Sales'!$B$2:$B$501,A388)+COUNTIF('Diet Support'!$B$2:$B$501,A388))</f>
        <v/>
      </c>
      <c r="F388" s="20" t="str">
        <f aca="false">IF(A388="","",SUMIF('Injection Sales'!$B$2:$B$501,A388,'Injection Sales'!$G$2:$G$501)+SUMIF('Protein Sales'!$B$2:$B$501,A388,'Protein Sales'!$F$2:$F$501)+SUMIF('Diet Support'!$B$2:$B$501,A388,'Diet Support'!$E$2:$E$501))</f>
        <v/>
      </c>
      <c r="G388" s="21" t="str">
        <f aca="false">IF(OR(A388="",COUNTIF('Injection Sales'!$B$2:$B$501,A388)=0),"",IFERROR(LOOKUP(2,1/(('Injection Sales'!$B$2:$B$501=A388)*('Injection Sales'!$A$2:$A$501=_xlfn.MAXIFS('Injection Sales'!$A$2:$A$501,'Injection Sales'!$B$2:$B$501,A388))),'Injection Sales'!$E$2:$E$501),""))</f>
        <v/>
      </c>
      <c r="H388" s="21" t="str">
        <f aca="false">IF(OR(A388="",COUNTIF('Injection Sales'!$B$2:$B$501,A388)=0),"",IFERROR(LOOKUP(2,1/(('Injection Sales'!$B$2:$B$501=A388)*('Injection Sales'!$A$2:$A$501=_xlfn.MAXIFS('Injection Sales'!$A$2:$A$501,'Injection Sales'!$B$2:$B$501,A388))),'Injection Sales'!$H$2:$H$501),""))</f>
        <v/>
      </c>
      <c r="I388" s="21" t="str">
        <f aca="true">IF(OR(A388="",D388=""),"",IF(TODAY()-D388&lt;=Settings!$B$7,"Active","Inactive"))</f>
        <v/>
      </c>
    </row>
    <row r="389" customFormat="false" ht="15" hidden="false" customHeight="false" outlineLevel="0" collapsed="false">
      <c r="A389" s="1"/>
      <c r="B389" s="22"/>
      <c r="C389" s="18" t="str">
        <f aca="false">IF(OR(A389="",COUNTIF('Injection Sales'!$B$2:$B$501,A389)+COUNTIF('Protein Sales'!$B$2:$B$501,A389)+COUNTIF('Diet Support'!$B$2:$B$501,A389)=0),"",MIN(IF(COUNTIF('Injection Sales'!$B$2:$B$501,A389),_xlfn.MINIFS('Injection Sales'!$A$2:$A$501,'Injection Sales'!$B$2:$B$501,A389),99999),IF(COUNTIF('Protein Sales'!$B$2:$B$501,A389),_xlfn.MINIFS('Protein Sales'!$A$2:$A$501,'Protein Sales'!$B$2:$B$501,A389),99999),IF(COUNTIF('Diet Support'!$B$2:$B$501,A389),_xlfn.MINIFS('Diet Support'!$A$2:$A$501,'Diet Support'!$B$2:$B$501,A389),99999)))</f>
        <v/>
      </c>
      <c r="D389" s="18" t="str">
        <f aca="false">IF(OR(A389="",COUNTIF('Injection Sales'!$B$2:$B$501,A389)+COUNTIF('Protein Sales'!$B$2:$B$501,A389)+COUNTIF('Diet Support'!$B$2:$B$501,A389)=0),"",MAX(_xlfn.MAXIFS('Injection Sales'!$A$2:$A$501,'Injection Sales'!$B$2:$B$501,A389),_xlfn.MAXIFS('Protein Sales'!$A$2:$A$501,'Protein Sales'!$B$2:$B$501,A389),_xlfn.MAXIFS('Diet Support'!$A$2:$A$501,'Diet Support'!$B$2:$B$501,A389)))</f>
        <v/>
      </c>
      <c r="E389" s="19" t="str">
        <f aca="false">IF(A389="","",COUNTIF('Injection Sales'!$B$2:$B$501,A389)+COUNTIF('Protein Sales'!$B$2:$B$501,A389)+COUNTIF('Diet Support'!$B$2:$B$501,A389))</f>
        <v/>
      </c>
      <c r="F389" s="20" t="str">
        <f aca="false">IF(A389="","",SUMIF('Injection Sales'!$B$2:$B$501,A389,'Injection Sales'!$G$2:$G$501)+SUMIF('Protein Sales'!$B$2:$B$501,A389,'Protein Sales'!$F$2:$F$501)+SUMIF('Diet Support'!$B$2:$B$501,A389,'Diet Support'!$E$2:$E$501))</f>
        <v/>
      </c>
      <c r="G389" s="21" t="str">
        <f aca="false">IF(OR(A389="",COUNTIF('Injection Sales'!$B$2:$B$501,A389)=0),"",IFERROR(LOOKUP(2,1/(('Injection Sales'!$B$2:$B$501=A389)*('Injection Sales'!$A$2:$A$501=_xlfn.MAXIFS('Injection Sales'!$A$2:$A$501,'Injection Sales'!$B$2:$B$501,A389))),'Injection Sales'!$E$2:$E$501),""))</f>
        <v/>
      </c>
      <c r="H389" s="21" t="str">
        <f aca="false">IF(OR(A389="",COUNTIF('Injection Sales'!$B$2:$B$501,A389)=0),"",IFERROR(LOOKUP(2,1/(('Injection Sales'!$B$2:$B$501=A389)*('Injection Sales'!$A$2:$A$501=_xlfn.MAXIFS('Injection Sales'!$A$2:$A$501,'Injection Sales'!$B$2:$B$501,A389))),'Injection Sales'!$H$2:$H$501),""))</f>
        <v/>
      </c>
      <c r="I389" s="21" t="str">
        <f aca="true">IF(OR(A389="",D389=""),"",IF(TODAY()-D389&lt;=Settings!$B$7,"Active","Inactive"))</f>
        <v/>
      </c>
    </row>
    <row r="390" customFormat="false" ht="15" hidden="false" customHeight="false" outlineLevel="0" collapsed="false">
      <c r="A390" s="1"/>
      <c r="B390" s="22"/>
      <c r="C390" s="18" t="str">
        <f aca="false">IF(OR(A390="",COUNTIF('Injection Sales'!$B$2:$B$501,A390)+COUNTIF('Protein Sales'!$B$2:$B$501,A390)+COUNTIF('Diet Support'!$B$2:$B$501,A390)=0),"",MIN(IF(COUNTIF('Injection Sales'!$B$2:$B$501,A390),_xlfn.MINIFS('Injection Sales'!$A$2:$A$501,'Injection Sales'!$B$2:$B$501,A390),99999),IF(COUNTIF('Protein Sales'!$B$2:$B$501,A390),_xlfn.MINIFS('Protein Sales'!$A$2:$A$501,'Protein Sales'!$B$2:$B$501,A390),99999),IF(COUNTIF('Diet Support'!$B$2:$B$501,A390),_xlfn.MINIFS('Diet Support'!$A$2:$A$501,'Diet Support'!$B$2:$B$501,A390),99999)))</f>
        <v/>
      </c>
      <c r="D390" s="18" t="str">
        <f aca="false">IF(OR(A390="",COUNTIF('Injection Sales'!$B$2:$B$501,A390)+COUNTIF('Protein Sales'!$B$2:$B$501,A390)+COUNTIF('Diet Support'!$B$2:$B$501,A390)=0),"",MAX(_xlfn.MAXIFS('Injection Sales'!$A$2:$A$501,'Injection Sales'!$B$2:$B$501,A390),_xlfn.MAXIFS('Protein Sales'!$A$2:$A$501,'Protein Sales'!$B$2:$B$501,A390),_xlfn.MAXIFS('Diet Support'!$A$2:$A$501,'Diet Support'!$B$2:$B$501,A390)))</f>
        <v/>
      </c>
      <c r="E390" s="19" t="str">
        <f aca="false">IF(A390="","",COUNTIF('Injection Sales'!$B$2:$B$501,A390)+COUNTIF('Protein Sales'!$B$2:$B$501,A390)+COUNTIF('Diet Support'!$B$2:$B$501,A390))</f>
        <v/>
      </c>
      <c r="F390" s="20" t="str">
        <f aca="false">IF(A390="","",SUMIF('Injection Sales'!$B$2:$B$501,A390,'Injection Sales'!$G$2:$G$501)+SUMIF('Protein Sales'!$B$2:$B$501,A390,'Protein Sales'!$F$2:$F$501)+SUMIF('Diet Support'!$B$2:$B$501,A390,'Diet Support'!$E$2:$E$501))</f>
        <v/>
      </c>
      <c r="G390" s="21" t="str">
        <f aca="false">IF(OR(A390="",COUNTIF('Injection Sales'!$B$2:$B$501,A390)=0),"",IFERROR(LOOKUP(2,1/(('Injection Sales'!$B$2:$B$501=A390)*('Injection Sales'!$A$2:$A$501=_xlfn.MAXIFS('Injection Sales'!$A$2:$A$501,'Injection Sales'!$B$2:$B$501,A390))),'Injection Sales'!$E$2:$E$501),""))</f>
        <v/>
      </c>
      <c r="H390" s="21" t="str">
        <f aca="false">IF(OR(A390="",COUNTIF('Injection Sales'!$B$2:$B$501,A390)=0),"",IFERROR(LOOKUP(2,1/(('Injection Sales'!$B$2:$B$501=A390)*('Injection Sales'!$A$2:$A$501=_xlfn.MAXIFS('Injection Sales'!$A$2:$A$501,'Injection Sales'!$B$2:$B$501,A390))),'Injection Sales'!$H$2:$H$501),""))</f>
        <v/>
      </c>
      <c r="I390" s="21" t="str">
        <f aca="true">IF(OR(A390="",D390=""),"",IF(TODAY()-D390&lt;=Settings!$B$7,"Active","Inactive"))</f>
        <v/>
      </c>
    </row>
    <row r="391" customFormat="false" ht="15" hidden="false" customHeight="false" outlineLevel="0" collapsed="false">
      <c r="A391" s="1"/>
      <c r="B391" s="22"/>
      <c r="C391" s="18" t="str">
        <f aca="false">IF(OR(A391="",COUNTIF('Injection Sales'!$B$2:$B$501,A391)+COUNTIF('Protein Sales'!$B$2:$B$501,A391)+COUNTIF('Diet Support'!$B$2:$B$501,A391)=0),"",MIN(IF(COUNTIF('Injection Sales'!$B$2:$B$501,A391),_xlfn.MINIFS('Injection Sales'!$A$2:$A$501,'Injection Sales'!$B$2:$B$501,A391),99999),IF(COUNTIF('Protein Sales'!$B$2:$B$501,A391),_xlfn.MINIFS('Protein Sales'!$A$2:$A$501,'Protein Sales'!$B$2:$B$501,A391),99999),IF(COUNTIF('Diet Support'!$B$2:$B$501,A391),_xlfn.MINIFS('Diet Support'!$A$2:$A$501,'Diet Support'!$B$2:$B$501,A391),99999)))</f>
        <v/>
      </c>
      <c r="D391" s="18" t="str">
        <f aca="false">IF(OR(A391="",COUNTIF('Injection Sales'!$B$2:$B$501,A391)+COUNTIF('Protein Sales'!$B$2:$B$501,A391)+COUNTIF('Diet Support'!$B$2:$B$501,A391)=0),"",MAX(_xlfn.MAXIFS('Injection Sales'!$A$2:$A$501,'Injection Sales'!$B$2:$B$501,A391),_xlfn.MAXIFS('Protein Sales'!$A$2:$A$501,'Protein Sales'!$B$2:$B$501,A391),_xlfn.MAXIFS('Diet Support'!$A$2:$A$501,'Diet Support'!$B$2:$B$501,A391)))</f>
        <v/>
      </c>
      <c r="E391" s="19" t="str">
        <f aca="false">IF(A391="","",COUNTIF('Injection Sales'!$B$2:$B$501,A391)+COUNTIF('Protein Sales'!$B$2:$B$501,A391)+COUNTIF('Diet Support'!$B$2:$B$501,A391))</f>
        <v/>
      </c>
      <c r="F391" s="20" t="str">
        <f aca="false">IF(A391="","",SUMIF('Injection Sales'!$B$2:$B$501,A391,'Injection Sales'!$G$2:$G$501)+SUMIF('Protein Sales'!$B$2:$B$501,A391,'Protein Sales'!$F$2:$F$501)+SUMIF('Diet Support'!$B$2:$B$501,A391,'Diet Support'!$E$2:$E$501))</f>
        <v/>
      </c>
      <c r="G391" s="21" t="str">
        <f aca="false">IF(OR(A391="",COUNTIF('Injection Sales'!$B$2:$B$501,A391)=0),"",IFERROR(LOOKUP(2,1/(('Injection Sales'!$B$2:$B$501=A391)*('Injection Sales'!$A$2:$A$501=_xlfn.MAXIFS('Injection Sales'!$A$2:$A$501,'Injection Sales'!$B$2:$B$501,A391))),'Injection Sales'!$E$2:$E$501),""))</f>
        <v/>
      </c>
      <c r="H391" s="21" t="str">
        <f aca="false">IF(OR(A391="",COUNTIF('Injection Sales'!$B$2:$B$501,A391)=0),"",IFERROR(LOOKUP(2,1/(('Injection Sales'!$B$2:$B$501=A391)*('Injection Sales'!$A$2:$A$501=_xlfn.MAXIFS('Injection Sales'!$A$2:$A$501,'Injection Sales'!$B$2:$B$501,A391))),'Injection Sales'!$H$2:$H$501),""))</f>
        <v/>
      </c>
      <c r="I391" s="21" t="str">
        <f aca="true">IF(OR(A391="",D391=""),"",IF(TODAY()-D391&lt;=Settings!$B$7,"Active","Inactive"))</f>
        <v/>
      </c>
    </row>
    <row r="392" customFormat="false" ht="15" hidden="false" customHeight="false" outlineLevel="0" collapsed="false">
      <c r="A392" s="1"/>
      <c r="B392" s="22"/>
      <c r="C392" s="18" t="str">
        <f aca="false">IF(OR(A392="",COUNTIF('Injection Sales'!$B$2:$B$501,A392)+COUNTIF('Protein Sales'!$B$2:$B$501,A392)+COUNTIF('Diet Support'!$B$2:$B$501,A392)=0),"",MIN(IF(COUNTIF('Injection Sales'!$B$2:$B$501,A392),_xlfn.MINIFS('Injection Sales'!$A$2:$A$501,'Injection Sales'!$B$2:$B$501,A392),99999),IF(COUNTIF('Protein Sales'!$B$2:$B$501,A392),_xlfn.MINIFS('Protein Sales'!$A$2:$A$501,'Protein Sales'!$B$2:$B$501,A392),99999),IF(COUNTIF('Diet Support'!$B$2:$B$501,A392),_xlfn.MINIFS('Diet Support'!$A$2:$A$501,'Diet Support'!$B$2:$B$501,A392),99999)))</f>
        <v/>
      </c>
      <c r="D392" s="18" t="str">
        <f aca="false">IF(OR(A392="",COUNTIF('Injection Sales'!$B$2:$B$501,A392)+COUNTIF('Protein Sales'!$B$2:$B$501,A392)+COUNTIF('Diet Support'!$B$2:$B$501,A392)=0),"",MAX(_xlfn.MAXIFS('Injection Sales'!$A$2:$A$501,'Injection Sales'!$B$2:$B$501,A392),_xlfn.MAXIFS('Protein Sales'!$A$2:$A$501,'Protein Sales'!$B$2:$B$501,A392),_xlfn.MAXIFS('Diet Support'!$A$2:$A$501,'Diet Support'!$B$2:$B$501,A392)))</f>
        <v/>
      </c>
      <c r="E392" s="19" t="str">
        <f aca="false">IF(A392="","",COUNTIF('Injection Sales'!$B$2:$B$501,A392)+COUNTIF('Protein Sales'!$B$2:$B$501,A392)+COUNTIF('Diet Support'!$B$2:$B$501,A392))</f>
        <v/>
      </c>
      <c r="F392" s="20" t="str">
        <f aca="false">IF(A392="","",SUMIF('Injection Sales'!$B$2:$B$501,A392,'Injection Sales'!$G$2:$G$501)+SUMIF('Protein Sales'!$B$2:$B$501,A392,'Protein Sales'!$F$2:$F$501)+SUMIF('Diet Support'!$B$2:$B$501,A392,'Diet Support'!$E$2:$E$501))</f>
        <v/>
      </c>
      <c r="G392" s="21" t="str">
        <f aca="false">IF(OR(A392="",COUNTIF('Injection Sales'!$B$2:$B$501,A392)=0),"",IFERROR(LOOKUP(2,1/(('Injection Sales'!$B$2:$B$501=A392)*('Injection Sales'!$A$2:$A$501=_xlfn.MAXIFS('Injection Sales'!$A$2:$A$501,'Injection Sales'!$B$2:$B$501,A392))),'Injection Sales'!$E$2:$E$501),""))</f>
        <v/>
      </c>
      <c r="H392" s="21" t="str">
        <f aca="false">IF(OR(A392="",COUNTIF('Injection Sales'!$B$2:$B$501,A392)=0),"",IFERROR(LOOKUP(2,1/(('Injection Sales'!$B$2:$B$501=A392)*('Injection Sales'!$A$2:$A$501=_xlfn.MAXIFS('Injection Sales'!$A$2:$A$501,'Injection Sales'!$B$2:$B$501,A392))),'Injection Sales'!$H$2:$H$501),""))</f>
        <v/>
      </c>
      <c r="I392" s="21" t="str">
        <f aca="true">IF(OR(A392="",D392=""),"",IF(TODAY()-D392&lt;=Settings!$B$7,"Active","Inactive"))</f>
        <v/>
      </c>
    </row>
    <row r="393" customFormat="false" ht="15" hidden="false" customHeight="false" outlineLevel="0" collapsed="false">
      <c r="A393" s="1"/>
      <c r="B393" s="22"/>
      <c r="C393" s="18" t="str">
        <f aca="false">IF(OR(A393="",COUNTIF('Injection Sales'!$B$2:$B$501,A393)+COUNTIF('Protein Sales'!$B$2:$B$501,A393)+COUNTIF('Diet Support'!$B$2:$B$501,A393)=0),"",MIN(IF(COUNTIF('Injection Sales'!$B$2:$B$501,A393),_xlfn.MINIFS('Injection Sales'!$A$2:$A$501,'Injection Sales'!$B$2:$B$501,A393),99999),IF(COUNTIF('Protein Sales'!$B$2:$B$501,A393),_xlfn.MINIFS('Protein Sales'!$A$2:$A$501,'Protein Sales'!$B$2:$B$501,A393),99999),IF(COUNTIF('Diet Support'!$B$2:$B$501,A393),_xlfn.MINIFS('Diet Support'!$A$2:$A$501,'Diet Support'!$B$2:$B$501,A393),99999)))</f>
        <v/>
      </c>
      <c r="D393" s="18" t="str">
        <f aca="false">IF(OR(A393="",COUNTIF('Injection Sales'!$B$2:$B$501,A393)+COUNTIF('Protein Sales'!$B$2:$B$501,A393)+COUNTIF('Diet Support'!$B$2:$B$501,A393)=0),"",MAX(_xlfn.MAXIFS('Injection Sales'!$A$2:$A$501,'Injection Sales'!$B$2:$B$501,A393),_xlfn.MAXIFS('Protein Sales'!$A$2:$A$501,'Protein Sales'!$B$2:$B$501,A393),_xlfn.MAXIFS('Diet Support'!$A$2:$A$501,'Diet Support'!$B$2:$B$501,A393)))</f>
        <v/>
      </c>
      <c r="E393" s="19" t="str">
        <f aca="false">IF(A393="","",COUNTIF('Injection Sales'!$B$2:$B$501,A393)+COUNTIF('Protein Sales'!$B$2:$B$501,A393)+COUNTIF('Diet Support'!$B$2:$B$501,A393))</f>
        <v/>
      </c>
      <c r="F393" s="20" t="str">
        <f aca="false">IF(A393="","",SUMIF('Injection Sales'!$B$2:$B$501,A393,'Injection Sales'!$G$2:$G$501)+SUMIF('Protein Sales'!$B$2:$B$501,A393,'Protein Sales'!$F$2:$F$501)+SUMIF('Diet Support'!$B$2:$B$501,A393,'Diet Support'!$E$2:$E$501))</f>
        <v/>
      </c>
      <c r="G393" s="21" t="str">
        <f aca="false">IF(OR(A393="",COUNTIF('Injection Sales'!$B$2:$B$501,A393)=0),"",IFERROR(LOOKUP(2,1/(('Injection Sales'!$B$2:$B$501=A393)*('Injection Sales'!$A$2:$A$501=_xlfn.MAXIFS('Injection Sales'!$A$2:$A$501,'Injection Sales'!$B$2:$B$501,A393))),'Injection Sales'!$E$2:$E$501),""))</f>
        <v/>
      </c>
      <c r="H393" s="21" t="str">
        <f aca="false">IF(OR(A393="",COUNTIF('Injection Sales'!$B$2:$B$501,A393)=0),"",IFERROR(LOOKUP(2,1/(('Injection Sales'!$B$2:$B$501=A393)*('Injection Sales'!$A$2:$A$501=_xlfn.MAXIFS('Injection Sales'!$A$2:$A$501,'Injection Sales'!$B$2:$B$501,A393))),'Injection Sales'!$H$2:$H$501),""))</f>
        <v/>
      </c>
      <c r="I393" s="21" t="str">
        <f aca="true">IF(OR(A393="",D393=""),"",IF(TODAY()-D393&lt;=Settings!$B$7,"Active","Inactive"))</f>
        <v/>
      </c>
    </row>
    <row r="394" customFormat="false" ht="15" hidden="false" customHeight="false" outlineLevel="0" collapsed="false">
      <c r="A394" s="1"/>
      <c r="B394" s="22"/>
      <c r="C394" s="18" t="str">
        <f aca="false">IF(OR(A394="",COUNTIF('Injection Sales'!$B$2:$B$501,A394)+COUNTIF('Protein Sales'!$B$2:$B$501,A394)+COUNTIF('Diet Support'!$B$2:$B$501,A394)=0),"",MIN(IF(COUNTIF('Injection Sales'!$B$2:$B$501,A394),_xlfn.MINIFS('Injection Sales'!$A$2:$A$501,'Injection Sales'!$B$2:$B$501,A394),99999),IF(COUNTIF('Protein Sales'!$B$2:$B$501,A394),_xlfn.MINIFS('Protein Sales'!$A$2:$A$501,'Protein Sales'!$B$2:$B$501,A394),99999),IF(COUNTIF('Diet Support'!$B$2:$B$501,A394),_xlfn.MINIFS('Diet Support'!$A$2:$A$501,'Diet Support'!$B$2:$B$501,A394),99999)))</f>
        <v/>
      </c>
      <c r="D394" s="18" t="str">
        <f aca="false">IF(OR(A394="",COUNTIF('Injection Sales'!$B$2:$B$501,A394)+COUNTIF('Protein Sales'!$B$2:$B$501,A394)+COUNTIF('Diet Support'!$B$2:$B$501,A394)=0),"",MAX(_xlfn.MAXIFS('Injection Sales'!$A$2:$A$501,'Injection Sales'!$B$2:$B$501,A394),_xlfn.MAXIFS('Protein Sales'!$A$2:$A$501,'Protein Sales'!$B$2:$B$501,A394),_xlfn.MAXIFS('Diet Support'!$A$2:$A$501,'Diet Support'!$B$2:$B$501,A394)))</f>
        <v/>
      </c>
      <c r="E394" s="19" t="str">
        <f aca="false">IF(A394="","",COUNTIF('Injection Sales'!$B$2:$B$501,A394)+COUNTIF('Protein Sales'!$B$2:$B$501,A394)+COUNTIF('Diet Support'!$B$2:$B$501,A394))</f>
        <v/>
      </c>
      <c r="F394" s="20" t="str">
        <f aca="false">IF(A394="","",SUMIF('Injection Sales'!$B$2:$B$501,A394,'Injection Sales'!$G$2:$G$501)+SUMIF('Protein Sales'!$B$2:$B$501,A394,'Protein Sales'!$F$2:$F$501)+SUMIF('Diet Support'!$B$2:$B$501,A394,'Diet Support'!$E$2:$E$501))</f>
        <v/>
      </c>
      <c r="G394" s="21" t="str">
        <f aca="false">IF(OR(A394="",COUNTIF('Injection Sales'!$B$2:$B$501,A394)=0),"",IFERROR(LOOKUP(2,1/(('Injection Sales'!$B$2:$B$501=A394)*('Injection Sales'!$A$2:$A$501=_xlfn.MAXIFS('Injection Sales'!$A$2:$A$501,'Injection Sales'!$B$2:$B$501,A394))),'Injection Sales'!$E$2:$E$501),""))</f>
        <v/>
      </c>
      <c r="H394" s="21" t="str">
        <f aca="false">IF(OR(A394="",COUNTIF('Injection Sales'!$B$2:$B$501,A394)=0),"",IFERROR(LOOKUP(2,1/(('Injection Sales'!$B$2:$B$501=A394)*('Injection Sales'!$A$2:$A$501=_xlfn.MAXIFS('Injection Sales'!$A$2:$A$501,'Injection Sales'!$B$2:$B$501,A394))),'Injection Sales'!$H$2:$H$501),""))</f>
        <v/>
      </c>
      <c r="I394" s="21" t="str">
        <f aca="true">IF(OR(A394="",D394=""),"",IF(TODAY()-D394&lt;=Settings!$B$7,"Active","Inactive"))</f>
        <v/>
      </c>
    </row>
    <row r="395" customFormat="false" ht="15" hidden="false" customHeight="false" outlineLevel="0" collapsed="false">
      <c r="A395" s="1"/>
      <c r="B395" s="22"/>
      <c r="C395" s="18" t="str">
        <f aca="false">IF(OR(A395="",COUNTIF('Injection Sales'!$B$2:$B$501,A395)+COUNTIF('Protein Sales'!$B$2:$B$501,A395)+COUNTIF('Diet Support'!$B$2:$B$501,A395)=0),"",MIN(IF(COUNTIF('Injection Sales'!$B$2:$B$501,A395),_xlfn.MINIFS('Injection Sales'!$A$2:$A$501,'Injection Sales'!$B$2:$B$501,A395),99999),IF(COUNTIF('Protein Sales'!$B$2:$B$501,A395),_xlfn.MINIFS('Protein Sales'!$A$2:$A$501,'Protein Sales'!$B$2:$B$501,A395),99999),IF(COUNTIF('Diet Support'!$B$2:$B$501,A395),_xlfn.MINIFS('Diet Support'!$A$2:$A$501,'Diet Support'!$B$2:$B$501,A395),99999)))</f>
        <v/>
      </c>
      <c r="D395" s="18" t="str">
        <f aca="false">IF(OR(A395="",COUNTIF('Injection Sales'!$B$2:$B$501,A395)+COUNTIF('Protein Sales'!$B$2:$B$501,A395)+COUNTIF('Diet Support'!$B$2:$B$501,A395)=0),"",MAX(_xlfn.MAXIFS('Injection Sales'!$A$2:$A$501,'Injection Sales'!$B$2:$B$501,A395),_xlfn.MAXIFS('Protein Sales'!$A$2:$A$501,'Protein Sales'!$B$2:$B$501,A395),_xlfn.MAXIFS('Diet Support'!$A$2:$A$501,'Diet Support'!$B$2:$B$501,A395)))</f>
        <v/>
      </c>
      <c r="E395" s="19" t="str">
        <f aca="false">IF(A395="","",COUNTIF('Injection Sales'!$B$2:$B$501,A395)+COUNTIF('Protein Sales'!$B$2:$B$501,A395)+COUNTIF('Diet Support'!$B$2:$B$501,A395))</f>
        <v/>
      </c>
      <c r="F395" s="20" t="str">
        <f aca="false">IF(A395="","",SUMIF('Injection Sales'!$B$2:$B$501,A395,'Injection Sales'!$G$2:$G$501)+SUMIF('Protein Sales'!$B$2:$B$501,A395,'Protein Sales'!$F$2:$F$501)+SUMIF('Diet Support'!$B$2:$B$501,A395,'Diet Support'!$E$2:$E$501))</f>
        <v/>
      </c>
      <c r="G395" s="21" t="str">
        <f aca="false">IF(OR(A395="",COUNTIF('Injection Sales'!$B$2:$B$501,A395)=0),"",IFERROR(LOOKUP(2,1/(('Injection Sales'!$B$2:$B$501=A395)*('Injection Sales'!$A$2:$A$501=_xlfn.MAXIFS('Injection Sales'!$A$2:$A$501,'Injection Sales'!$B$2:$B$501,A395))),'Injection Sales'!$E$2:$E$501),""))</f>
        <v/>
      </c>
      <c r="H395" s="21" t="str">
        <f aca="false">IF(OR(A395="",COUNTIF('Injection Sales'!$B$2:$B$501,A395)=0),"",IFERROR(LOOKUP(2,1/(('Injection Sales'!$B$2:$B$501=A395)*('Injection Sales'!$A$2:$A$501=_xlfn.MAXIFS('Injection Sales'!$A$2:$A$501,'Injection Sales'!$B$2:$B$501,A395))),'Injection Sales'!$H$2:$H$501),""))</f>
        <v/>
      </c>
      <c r="I395" s="21" t="str">
        <f aca="true">IF(OR(A395="",D395=""),"",IF(TODAY()-D395&lt;=Settings!$B$7,"Active","Inactive"))</f>
        <v/>
      </c>
    </row>
    <row r="396" customFormat="false" ht="15" hidden="false" customHeight="false" outlineLevel="0" collapsed="false">
      <c r="A396" s="1"/>
      <c r="B396" s="22"/>
      <c r="C396" s="18" t="str">
        <f aca="false">IF(OR(A396="",COUNTIF('Injection Sales'!$B$2:$B$501,A396)+COUNTIF('Protein Sales'!$B$2:$B$501,A396)+COUNTIF('Diet Support'!$B$2:$B$501,A396)=0),"",MIN(IF(COUNTIF('Injection Sales'!$B$2:$B$501,A396),_xlfn.MINIFS('Injection Sales'!$A$2:$A$501,'Injection Sales'!$B$2:$B$501,A396),99999),IF(COUNTIF('Protein Sales'!$B$2:$B$501,A396),_xlfn.MINIFS('Protein Sales'!$A$2:$A$501,'Protein Sales'!$B$2:$B$501,A396),99999),IF(COUNTIF('Diet Support'!$B$2:$B$501,A396),_xlfn.MINIFS('Diet Support'!$A$2:$A$501,'Diet Support'!$B$2:$B$501,A396),99999)))</f>
        <v/>
      </c>
      <c r="D396" s="18" t="str">
        <f aca="false">IF(OR(A396="",COUNTIF('Injection Sales'!$B$2:$B$501,A396)+COUNTIF('Protein Sales'!$B$2:$B$501,A396)+COUNTIF('Diet Support'!$B$2:$B$501,A396)=0),"",MAX(_xlfn.MAXIFS('Injection Sales'!$A$2:$A$501,'Injection Sales'!$B$2:$B$501,A396),_xlfn.MAXIFS('Protein Sales'!$A$2:$A$501,'Protein Sales'!$B$2:$B$501,A396),_xlfn.MAXIFS('Diet Support'!$A$2:$A$501,'Diet Support'!$B$2:$B$501,A396)))</f>
        <v/>
      </c>
      <c r="E396" s="19" t="str">
        <f aca="false">IF(A396="","",COUNTIF('Injection Sales'!$B$2:$B$501,A396)+COUNTIF('Protein Sales'!$B$2:$B$501,A396)+COUNTIF('Diet Support'!$B$2:$B$501,A396))</f>
        <v/>
      </c>
      <c r="F396" s="20" t="str">
        <f aca="false">IF(A396="","",SUMIF('Injection Sales'!$B$2:$B$501,A396,'Injection Sales'!$G$2:$G$501)+SUMIF('Protein Sales'!$B$2:$B$501,A396,'Protein Sales'!$F$2:$F$501)+SUMIF('Diet Support'!$B$2:$B$501,A396,'Diet Support'!$E$2:$E$501))</f>
        <v/>
      </c>
      <c r="G396" s="21" t="str">
        <f aca="false">IF(OR(A396="",COUNTIF('Injection Sales'!$B$2:$B$501,A396)=0),"",IFERROR(LOOKUP(2,1/(('Injection Sales'!$B$2:$B$501=A396)*('Injection Sales'!$A$2:$A$501=_xlfn.MAXIFS('Injection Sales'!$A$2:$A$501,'Injection Sales'!$B$2:$B$501,A396))),'Injection Sales'!$E$2:$E$501),""))</f>
        <v/>
      </c>
      <c r="H396" s="21" t="str">
        <f aca="false">IF(OR(A396="",COUNTIF('Injection Sales'!$B$2:$B$501,A396)=0),"",IFERROR(LOOKUP(2,1/(('Injection Sales'!$B$2:$B$501=A396)*('Injection Sales'!$A$2:$A$501=_xlfn.MAXIFS('Injection Sales'!$A$2:$A$501,'Injection Sales'!$B$2:$B$501,A396))),'Injection Sales'!$H$2:$H$501),""))</f>
        <v/>
      </c>
      <c r="I396" s="21" t="str">
        <f aca="true">IF(OR(A396="",D396=""),"",IF(TODAY()-D396&lt;=Settings!$B$7,"Active","Inactive"))</f>
        <v/>
      </c>
    </row>
    <row r="397" customFormat="false" ht="15" hidden="false" customHeight="false" outlineLevel="0" collapsed="false">
      <c r="A397" s="1"/>
      <c r="B397" s="22"/>
      <c r="C397" s="18" t="str">
        <f aca="false">IF(OR(A397="",COUNTIF('Injection Sales'!$B$2:$B$501,A397)+COUNTIF('Protein Sales'!$B$2:$B$501,A397)+COUNTIF('Diet Support'!$B$2:$B$501,A397)=0),"",MIN(IF(COUNTIF('Injection Sales'!$B$2:$B$501,A397),_xlfn.MINIFS('Injection Sales'!$A$2:$A$501,'Injection Sales'!$B$2:$B$501,A397),99999),IF(COUNTIF('Protein Sales'!$B$2:$B$501,A397),_xlfn.MINIFS('Protein Sales'!$A$2:$A$501,'Protein Sales'!$B$2:$B$501,A397),99999),IF(COUNTIF('Diet Support'!$B$2:$B$501,A397),_xlfn.MINIFS('Diet Support'!$A$2:$A$501,'Diet Support'!$B$2:$B$501,A397),99999)))</f>
        <v/>
      </c>
      <c r="D397" s="18" t="str">
        <f aca="false">IF(OR(A397="",COUNTIF('Injection Sales'!$B$2:$B$501,A397)+COUNTIF('Protein Sales'!$B$2:$B$501,A397)+COUNTIF('Diet Support'!$B$2:$B$501,A397)=0),"",MAX(_xlfn.MAXIFS('Injection Sales'!$A$2:$A$501,'Injection Sales'!$B$2:$B$501,A397),_xlfn.MAXIFS('Protein Sales'!$A$2:$A$501,'Protein Sales'!$B$2:$B$501,A397),_xlfn.MAXIFS('Diet Support'!$A$2:$A$501,'Diet Support'!$B$2:$B$501,A397)))</f>
        <v/>
      </c>
      <c r="E397" s="19" t="str">
        <f aca="false">IF(A397="","",COUNTIF('Injection Sales'!$B$2:$B$501,A397)+COUNTIF('Protein Sales'!$B$2:$B$501,A397)+COUNTIF('Diet Support'!$B$2:$B$501,A397))</f>
        <v/>
      </c>
      <c r="F397" s="20" t="str">
        <f aca="false">IF(A397="","",SUMIF('Injection Sales'!$B$2:$B$501,A397,'Injection Sales'!$G$2:$G$501)+SUMIF('Protein Sales'!$B$2:$B$501,A397,'Protein Sales'!$F$2:$F$501)+SUMIF('Diet Support'!$B$2:$B$501,A397,'Diet Support'!$E$2:$E$501))</f>
        <v/>
      </c>
      <c r="G397" s="21" t="str">
        <f aca="false">IF(OR(A397="",COUNTIF('Injection Sales'!$B$2:$B$501,A397)=0),"",IFERROR(LOOKUP(2,1/(('Injection Sales'!$B$2:$B$501=A397)*('Injection Sales'!$A$2:$A$501=_xlfn.MAXIFS('Injection Sales'!$A$2:$A$501,'Injection Sales'!$B$2:$B$501,A397))),'Injection Sales'!$E$2:$E$501),""))</f>
        <v/>
      </c>
      <c r="H397" s="21" t="str">
        <f aca="false">IF(OR(A397="",COUNTIF('Injection Sales'!$B$2:$B$501,A397)=0),"",IFERROR(LOOKUP(2,1/(('Injection Sales'!$B$2:$B$501=A397)*('Injection Sales'!$A$2:$A$501=_xlfn.MAXIFS('Injection Sales'!$A$2:$A$501,'Injection Sales'!$B$2:$B$501,A397))),'Injection Sales'!$H$2:$H$501),""))</f>
        <v/>
      </c>
      <c r="I397" s="21" t="str">
        <f aca="true">IF(OR(A397="",D397=""),"",IF(TODAY()-D397&lt;=Settings!$B$7,"Active","Inactive"))</f>
        <v/>
      </c>
    </row>
    <row r="398" customFormat="false" ht="15" hidden="false" customHeight="false" outlineLevel="0" collapsed="false">
      <c r="A398" s="1"/>
      <c r="B398" s="22"/>
      <c r="C398" s="18" t="str">
        <f aca="false">IF(OR(A398="",COUNTIF('Injection Sales'!$B$2:$B$501,A398)+COUNTIF('Protein Sales'!$B$2:$B$501,A398)+COUNTIF('Diet Support'!$B$2:$B$501,A398)=0),"",MIN(IF(COUNTIF('Injection Sales'!$B$2:$B$501,A398),_xlfn.MINIFS('Injection Sales'!$A$2:$A$501,'Injection Sales'!$B$2:$B$501,A398),99999),IF(COUNTIF('Protein Sales'!$B$2:$B$501,A398),_xlfn.MINIFS('Protein Sales'!$A$2:$A$501,'Protein Sales'!$B$2:$B$501,A398),99999),IF(COUNTIF('Diet Support'!$B$2:$B$501,A398),_xlfn.MINIFS('Diet Support'!$A$2:$A$501,'Diet Support'!$B$2:$B$501,A398),99999)))</f>
        <v/>
      </c>
      <c r="D398" s="18" t="str">
        <f aca="false">IF(OR(A398="",COUNTIF('Injection Sales'!$B$2:$B$501,A398)+COUNTIF('Protein Sales'!$B$2:$B$501,A398)+COUNTIF('Diet Support'!$B$2:$B$501,A398)=0),"",MAX(_xlfn.MAXIFS('Injection Sales'!$A$2:$A$501,'Injection Sales'!$B$2:$B$501,A398),_xlfn.MAXIFS('Protein Sales'!$A$2:$A$501,'Protein Sales'!$B$2:$B$501,A398),_xlfn.MAXIFS('Diet Support'!$A$2:$A$501,'Diet Support'!$B$2:$B$501,A398)))</f>
        <v/>
      </c>
      <c r="E398" s="19" t="str">
        <f aca="false">IF(A398="","",COUNTIF('Injection Sales'!$B$2:$B$501,A398)+COUNTIF('Protein Sales'!$B$2:$B$501,A398)+COUNTIF('Diet Support'!$B$2:$B$501,A398))</f>
        <v/>
      </c>
      <c r="F398" s="20" t="str">
        <f aca="false">IF(A398="","",SUMIF('Injection Sales'!$B$2:$B$501,A398,'Injection Sales'!$G$2:$G$501)+SUMIF('Protein Sales'!$B$2:$B$501,A398,'Protein Sales'!$F$2:$F$501)+SUMIF('Diet Support'!$B$2:$B$501,A398,'Diet Support'!$E$2:$E$501))</f>
        <v/>
      </c>
      <c r="G398" s="21" t="str">
        <f aca="false">IF(OR(A398="",COUNTIF('Injection Sales'!$B$2:$B$501,A398)=0),"",IFERROR(LOOKUP(2,1/(('Injection Sales'!$B$2:$B$501=A398)*('Injection Sales'!$A$2:$A$501=_xlfn.MAXIFS('Injection Sales'!$A$2:$A$501,'Injection Sales'!$B$2:$B$501,A398))),'Injection Sales'!$E$2:$E$501),""))</f>
        <v/>
      </c>
      <c r="H398" s="21" t="str">
        <f aca="false">IF(OR(A398="",COUNTIF('Injection Sales'!$B$2:$B$501,A398)=0),"",IFERROR(LOOKUP(2,1/(('Injection Sales'!$B$2:$B$501=A398)*('Injection Sales'!$A$2:$A$501=_xlfn.MAXIFS('Injection Sales'!$A$2:$A$501,'Injection Sales'!$B$2:$B$501,A398))),'Injection Sales'!$H$2:$H$501),""))</f>
        <v/>
      </c>
      <c r="I398" s="21" t="str">
        <f aca="true">IF(OR(A398="",D398=""),"",IF(TODAY()-D398&lt;=Settings!$B$7,"Active","Inactive"))</f>
        <v/>
      </c>
    </row>
    <row r="399" customFormat="false" ht="15" hidden="false" customHeight="false" outlineLevel="0" collapsed="false">
      <c r="A399" s="1"/>
      <c r="B399" s="22"/>
      <c r="C399" s="18" t="str">
        <f aca="false">IF(OR(A399="",COUNTIF('Injection Sales'!$B$2:$B$501,A399)+COUNTIF('Protein Sales'!$B$2:$B$501,A399)+COUNTIF('Diet Support'!$B$2:$B$501,A399)=0),"",MIN(IF(COUNTIF('Injection Sales'!$B$2:$B$501,A399),_xlfn.MINIFS('Injection Sales'!$A$2:$A$501,'Injection Sales'!$B$2:$B$501,A399),99999),IF(COUNTIF('Protein Sales'!$B$2:$B$501,A399),_xlfn.MINIFS('Protein Sales'!$A$2:$A$501,'Protein Sales'!$B$2:$B$501,A399),99999),IF(COUNTIF('Diet Support'!$B$2:$B$501,A399),_xlfn.MINIFS('Diet Support'!$A$2:$A$501,'Diet Support'!$B$2:$B$501,A399),99999)))</f>
        <v/>
      </c>
      <c r="D399" s="18" t="str">
        <f aca="false">IF(OR(A399="",COUNTIF('Injection Sales'!$B$2:$B$501,A399)+COUNTIF('Protein Sales'!$B$2:$B$501,A399)+COUNTIF('Diet Support'!$B$2:$B$501,A399)=0),"",MAX(_xlfn.MAXIFS('Injection Sales'!$A$2:$A$501,'Injection Sales'!$B$2:$B$501,A399),_xlfn.MAXIFS('Protein Sales'!$A$2:$A$501,'Protein Sales'!$B$2:$B$501,A399),_xlfn.MAXIFS('Diet Support'!$A$2:$A$501,'Diet Support'!$B$2:$B$501,A399)))</f>
        <v/>
      </c>
      <c r="E399" s="19" t="str">
        <f aca="false">IF(A399="","",COUNTIF('Injection Sales'!$B$2:$B$501,A399)+COUNTIF('Protein Sales'!$B$2:$B$501,A399)+COUNTIF('Diet Support'!$B$2:$B$501,A399))</f>
        <v/>
      </c>
      <c r="F399" s="20" t="str">
        <f aca="false">IF(A399="","",SUMIF('Injection Sales'!$B$2:$B$501,A399,'Injection Sales'!$G$2:$G$501)+SUMIF('Protein Sales'!$B$2:$B$501,A399,'Protein Sales'!$F$2:$F$501)+SUMIF('Diet Support'!$B$2:$B$501,A399,'Diet Support'!$E$2:$E$501))</f>
        <v/>
      </c>
      <c r="G399" s="21" t="str">
        <f aca="false">IF(OR(A399="",COUNTIF('Injection Sales'!$B$2:$B$501,A399)=0),"",IFERROR(LOOKUP(2,1/(('Injection Sales'!$B$2:$B$501=A399)*('Injection Sales'!$A$2:$A$501=_xlfn.MAXIFS('Injection Sales'!$A$2:$A$501,'Injection Sales'!$B$2:$B$501,A399))),'Injection Sales'!$E$2:$E$501),""))</f>
        <v/>
      </c>
      <c r="H399" s="21" t="str">
        <f aca="false">IF(OR(A399="",COUNTIF('Injection Sales'!$B$2:$B$501,A399)=0),"",IFERROR(LOOKUP(2,1/(('Injection Sales'!$B$2:$B$501=A399)*('Injection Sales'!$A$2:$A$501=_xlfn.MAXIFS('Injection Sales'!$A$2:$A$501,'Injection Sales'!$B$2:$B$501,A399))),'Injection Sales'!$H$2:$H$501),""))</f>
        <v/>
      </c>
      <c r="I399" s="21" t="str">
        <f aca="true">IF(OR(A399="",D399=""),"",IF(TODAY()-D399&lt;=Settings!$B$7,"Active","Inactive"))</f>
        <v/>
      </c>
    </row>
    <row r="400" customFormat="false" ht="15" hidden="false" customHeight="false" outlineLevel="0" collapsed="false">
      <c r="A400" s="1"/>
      <c r="B400" s="22"/>
      <c r="C400" s="18" t="str">
        <f aca="false">IF(OR(A400="",COUNTIF('Injection Sales'!$B$2:$B$501,A400)+COUNTIF('Protein Sales'!$B$2:$B$501,A400)+COUNTIF('Diet Support'!$B$2:$B$501,A400)=0),"",MIN(IF(COUNTIF('Injection Sales'!$B$2:$B$501,A400),_xlfn.MINIFS('Injection Sales'!$A$2:$A$501,'Injection Sales'!$B$2:$B$501,A400),99999),IF(COUNTIF('Protein Sales'!$B$2:$B$501,A400),_xlfn.MINIFS('Protein Sales'!$A$2:$A$501,'Protein Sales'!$B$2:$B$501,A400),99999),IF(COUNTIF('Diet Support'!$B$2:$B$501,A400),_xlfn.MINIFS('Diet Support'!$A$2:$A$501,'Diet Support'!$B$2:$B$501,A400),99999)))</f>
        <v/>
      </c>
      <c r="D400" s="18" t="str">
        <f aca="false">IF(OR(A400="",COUNTIF('Injection Sales'!$B$2:$B$501,A400)+COUNTIF('Protein Sales'!$B$2:$B$501,A400)+COUNTIF('Diet Support'!$B$2:$B$501,A400)=0),"",MAX(_xlfn.MAXIFS('Injection Sales'!$A$2:$A$501,'Injection Sales'!$B$2:$B$501,A400),_xlfn.MAXIFS('Protein Sales'!$A$2:$A$501,'Protein Sales'!$B$2:$B$501,A400),_xlfn.MAXIFS('Diet Support'!$A$2:$A$501,'Diet Support'!$B$2:$B$501,A400)))</f>
        <v/>
      </c>
      <c r="E400" s="19" t="str">
        <f aca="false">IF(A400="","",COUNTIF('Injection Sales'!$B$2:$B$501,A400)+COUNTIF('Protein Sales'!$B$2:$B$501,A400)+COUNTIF('Diet Support'!$B$2:$B$501,A400))</f>
        <v/>
      </c>
      <c r="F400" s="20" t="str">
        <f aca="false">IF(A400="","",SUMIF('Injection Sales'!$B$2:$B$501,A400,'Injection Sales'!$G$2:$G$501)+SUMIF('Protein Sales'!$B$2:$B$501,A400,'Protein Sales'!$F$2:$F$501)+SUMIF('Diet Support'!$B$2:$B$501,A400,'Diet Support'!$E$2:$E$501))</f>
        <v/>
      </c>
      <c r="G400" s="21" t="str">
        <f aca="false">IF(OR(A400="",COUNTIF('Injection Sales'!$B$2:$B$501,A400)=0),"",IFERROR(LOOKUP(2,1/(('Injection Sales'!$B$2:$B$501=A400)*('Injection Sales'!$A$2:$A$501=_xlfn.MAXIFS('Injection Sales'!$A$2:$A$501,'Injection Sales'!$B$2:$B$501,A400))),'Injection Sales'!$E$2:$E$501),""))</f>
        <v/>
      </c>
      <c r="H400" s="21" t="str">
        <f aca="false">IF(OR(A400="",COUNTIF('Injection Sales'!$B$2:$B$501,A400)=0),"",IFERROR(LOOKUP(2,1/(('Injection Sales'!$B$2:$B$501=A400)*('Injection Sales'!$A$2:$A$501=_xlfn.MAXIFS('Injection Sales'!$A$2:$A$501,'Injection Sales'!$B$2:$B$501,A400))),'Injection Sales'!$H$2:$H$501),""))</f>
        <v/>
      </c>
      <c r="I400" s="21" t="str">
        <f aca="true">IF(OR(A400="",D400=""),"",IF(TODAY()-D400&lt;=Settings!$B$7,"Active","Inactive"))</f>
        <v/>
      </c>
    </row>
    <row r="401" customFormat="false" ht="15" hidden="false" customHeight="false" outlineLevel="0" collapsed="false">
      <c r="A401" s="1"/>
      <c r="B401" s="22"/>
      <c r="C401" s="18" t="str">
        <f aca="false">IF(OR(A401="",COUNTIF('Injection Sales'!$B$2:$B$501,A401)+COUNTIF('Protein Sales'!$B$2:$B$501,A401)+COUNTIF('Diet Support'!$B$2:$B$501,A401)=0),"",MIN(IF(COUNTIF('Injection Sales'!$B$2:$B$501,A401),_xlfn.MINIFS('Injection Sales'!$A$2:$A$501,'Injection Sales'!$B$2:$B$501,A401),99999),IF(COUNTIF('Protein Sales'!$B$2:$B$501,A401),_xlfn.MINIFS('Protein Sales'!$A$2:$A$501,'Protein Sales'!$B$2:$B$501,A401),99999),IF(COUNTIF('Diet Support'!$B$2:$B$501,A401),_xlfn.MINIFS('Diet Support'!$A$2:$A$501,'Diet Support'!$B$2:$B$501,A401),99999)))</f>
        <v/>
      </c>
      <c r="D401" s="18" t="str">
        <f aca="false">IF(OR(A401="",COUNTIF('Injection Sales'!$B$2:$B$501,A401)+COUNTIF('Protein Sales'!$B$2:$B$501,A401)+COUNTIF('Diet Support'!$B$2:$B$501,A401)=0),"",MAX(_xlfn.MAXIFS('Injection Sales'!$A$2:$A$501,'Injection Sales'!$B$2:$B$501,A401),_xlfn.MAXIFS('Protein Sales'!$A$2:$A$501,'Protein Sales'!$B$2:$B$501,A401),_xlfn.MAXIFS('Diet Support'!$A$2:$A$501,'Diet Support'!$B$2:$B$501,A401)))</f>
        <v/>
      </c>
      <c r="E401" s="19" t="str">
        <f aca="false">IF(A401="","",COUNTIF('Injection Sales'!$B$2:$B$501,A401)+COUNTIF('Protein Sales'!$B$2:$B$501,A401)+COUNTIF('Diet Support'!$B$2:$B$501,A401))</f>
        <v/>
      </c>
      <c r="F401" s="20" t="str">
        <f aca="false">IF(A401="","",SUMIF('Injection Sales'!$B$2:$B$501,A401,'Injection Sales'!$G$2:$G$501)+SUMIF('Protein Sales'!$B$2:$B$501,A401,'Protein Sales'!$F$2:$F$501)+SUMIF('Diet Support'!$B$2:$B$501,A401,'Diet Support'!$E$2:$E$501))</f>
        <v/>
      </c>
      <c r="G401" s="21" t="str">
        <f aca="false">IF(OR(A401="",COUNTIF('Injection Sales'!$B$2:$B$501,A401)=0),"",IFERROR(LOOKUP(2,1/(('Injection Sales'!$B$2:$B$501=A401)*('Injection Sales'!$A$2:$A$501=_xlfn.MAXIFS('Injection Sales'!$A$2:$A$501,'Injection Sales'!$B$2:$B$501,A401))),'Injection Sales'!$E$2:$E$501),""))</f>
        <v/>
      </c>
      <c r="H401" s="21" t="str">
        <f aca="false">IF(OR(A401="",COUNTIF('Injection Sales'!$B$2:$B$501,A401)=0),"",IFERROR(LOOKUP(2,1/(('Injection Sales'!$B$2:$B$501=A401)*('Injection Sales'!$A$2:$A$501=_xlfn.MAXIFS('Injection Sales'!$A$2:$A$501,'Injection Sales'!$B$2:$B$501,A401))),'Injection Sales'!$H$2:$H$501),""))</f>
        <v/>
      </c>
      <c r="I401" s="21" t="str">
        <f aca="true">IF(OR(A401="",D401=""),"",IF(TODAY()-D401&lt;=Settings!$B$7,"Active","Inactive"))</f>
        <v/>
      </c>
    </row>
    <row r="402" customFormat="false" ht="15" hidden="false" customHeight="false" outlineLevel="0" collapsed="false">
      <c r="A402" s="1"/>
      <c r="B402" s="22"/>
      <c r="C402" s="18" t="str">
        <f aca="false">IF(OR(A402="",COUNTIF('Injection Sales'!$B$2:$B$501,A402)+COUNTIF('Protein Sales'!$B$2:$B$501,A402)+COUNTIF('Diet Support'!$B$2:$B$501,A402)=0),"",MIN(IF(COUNTIF('Injection Sales'!$B$2:$B$501,A402),_xlfn.MINIFS('Injection Sales'!$A$2:$A$501,'Injection Sales'!$B$2:$B$501,A402),99999),IF(COUNTIF('Protein Sales'!$B$2:$B$501,A402),_xlfn.MINIFS('Protein Sales'!$A$2:$A$501,'Protein Sales'!$B$2:$B$501,A402),99999),IF(COUNTIF('Diet Support'!$B$2:$B$501,A402),_xlfn.MINIFS('Diet Support'!$A$2:$A$501,'Diet Support'!$B$2:$B$501,A402),99999)))</f>
        <v/>
      </c>
      <c r="D402" s="18" t="str">
        <f aca="false">IF(OR(A402="",COUNTIF('Injection Sales'!$B$2:$B$501,A402)+COUNTIF('Protein Sales'!$B$2:$B$501,A402)+COUNTIF('Diet Support'!$B$2:$B$501,A402)=0),"",MAX(_xlfn.MAXIFS('Injection Sales'!$A$2:$A$501,'Injection Sales'!$B$2:$B$501,A402),_xlfn.MAXIFS('Protein Sales'!$A$2:$A$501,'Protein Sales'!$B$2:$B$501,A402),_xlfn.MAXIFS('Diet Support'!$A$2:$A$501,'Diet Support'!$B$2:$B$501,A402)))</f>
        <v/>
      </c>
      <c r="E402" s="19" t="str">
        <f aca="false">IF(A402="","",COUNTIF('Injection Sales'!$B$2:$B$501,A402)+COUNTIF('Protein Sales'!$B$2:$B$501,A402)+COUNTIF('Diet Support'!$B$2:$B$501,A402))</f>
        <v/>
      </c>
      <c r="F402" s="20" t="str">
        <f aca="false">IF(A402="","",SUMIF('Injection Sales'!$B$2:$B$501,A402,'Injection Sales'!$G$2:$G$501)+SUMIF('Protein Sales'!$B$2:$B$501,A402,'Protein Sales'!$F$2:$F$501)+SUMIF('Diet Support'!$B$2:$B$501,A402,'Diet Support'!$E$2:$E$501))</f>
        <v/>
      </c>
      <c r="G402" s="21" t="str">
        <f aca="false">IF(OR(A402="",COUNTIF('Injection Sales'!$B$2:$B$501,A402)=0),"",IFERROR(LOOKUP(2,1/(('Injection Sales'!$B$2:$B$501=A402)*('Injection Sales'!$A$2:$A$501=_xlfn.MAXIFS('Injection Sales'!$A$2:$A$501,'Injection Sales'!$B$2:$B$501,A402))),'Injection Sales'!$E$2:$E$501),""))</f>
        <v/>
      </c>
      <c r="H402" s="21" t="str">
        <f aca="false">IF(OR(A402="",COUNTIF('Injection Sales'!$B$2:$B$501,A402)=0),"",IFERROR(LOOKUP(2,1/(('Injection Sales'!$B$2:$B$501=A402)*('Injection Sales'!$A$2:$A$501=_xlfn.MAXIFS('Injection Sales'!$A$2:$A$501,'Injection Sales'!$B$2:$B$501,A402))),'Injection Sales'!$H$2:$H$501),""))</f>
        <v/>
      </c>
      <c r="I402" s="21" t="str">
        <f aca="true">IF(OR(A402="",D402=""),"",IF(TODAY()-D402&lt;=Settings!$B$7,"Active","Inactive"))</f>
        <v/>
      </c>
    </row>
    <row r="403" customFormat="false" ht="15" hidden="false" customHeight="false" outlineLevel="0" collapsed="false">
      <c r="A403" s="1"/>
      <c r="B403" s="22"/>
      <c r="C403" s="18" t="str">
        <f aca="false">IF(OR(A403="",COUNTIF('Injection Sales'!$B$2:$B$501,A403)+COUNTIF('Protein Sales'!$B$2:$B$501,A403)+COUNTIF('Diet Support'!$B$2:$B$501,A403)=0),"",MIN(IF(COUNTIF('Injection Sales'!$B$2:$B$501,A403),_xlfn.MINIFS('Injection Sales'!$A$2:$A$501,'Injection Sales'!$B$2:$B$501,A403),99999),IF(COUNTIF('Protein Sales'!$B$2:$B$501,A403),_xlfn.MINIFS('Protein Sales'!$A$2:$A$501,'Protein Sales'!$B$2:$B$501,A403),99999),IF(COUNTIF('Diet Support'!$B$2:$B$501,A403),_xlfn.MINIFS('Diet Support'!$A$2:$A$501,'Diet Support'!$B$2:$B$501,A403),99999)))</f>
        <v/>
      </c>
      <c r="D403" s="18" t="str">
        <f aca="false">IF(OR(A403="",COUNTIF('Injection Sales'!$B$2:$B$501,A403)+COUNTIF('Protein Sales'!$B$2:$B$501,A403)+COUNTIF('Diet Support'!$B$2:$B$501,A403)=0),"",MAX(_xlfn.MAXIFS('Injection Sales'!$A$2:$A$501,'Injection Sales'!$B$2:$B$501,A403),_xlfn.MAXIFS('Protein Sales'!$A$2:$A$501,'Protein Sales'!$B$2:$B$501,A403),_xlfn.MAXIFS('Diet Support'!$A$2:$A$501,'Diet Support'!$B$2:$B$501,A403)))</f>
        <v/>
      </c>
      <c r="E403" s="19" t="str">
        <f aca="false">IF(A403="","",COUNTIF('Injection Sales'!$B$2:$B$501,A403)+COUNTIF('Protein Sales'!$B$2:$B$501,A403)+COUNTIF('Diet Support'!$B$2:$B$501,A403))</f>
        <v/>
      </c>
      <c r="F403" s="20" t="str">
        <f aca="false">IF(A403="","",SUMIF('Injection Sales'!$B$2:$B$501,A403,'Injection Sales'!$G$2:$G$501)+SUMIF('Protein Sales'!$B$2:$B$501,A403,'Protein Sales'!$F$2:$F$501)+SUMIF('Diet Support'!$B$2:$B$501,A403,'Diet Support'!$E$2:$E$501))</f>
        <v/>
      </c>
      <c r="G403" s="21" t="str">
        <f aca="false">IF(OR(A403="",COUNTIF('Injection Sales'!$B$2:$B$501,A403)=0),"",IFERROR(LOOKUP(2,1/(('Injection Sales'!$B$2:$B$501=A403)*('Injection Sales'!$A$2:$A$501=_xlfn.MAXIFS('Injection Sales'!$A$2:$A$501,'Injection Sales'!$B$2:$B$501,A403))),'Injection Sales'!$E$2:$E$501),""))</f>
        <v/>
      </c>
      <c r="H403" s="21" t="str">
        <f aca="false">IF(OR(A403="",COUNTIF('Injection Sales'!$B$2:$B$501,A403)=0),"",IFERROR(LOOKUP(2,1/(('Injection Sales'!$B$2:$B$501=A403)*('Injection Sales'!$A$2:$A$501=_xlfn.MAXIFS('Injection Sales'!$A$2:$A$501,'Injection Sales'!$B$2:$B$501,A403))),'Injection Sales'!$H$2:$H$501),""))</f>
        <v/>
      </c>
      <c r="I403" s="21" t="str">
        <f aca="true">IF(OR(A403="",D403=""),"",IF(TODAY()-D403&lt;=Settings!$B$7,"Active","Inactive"))</f>
        <v/>
      </c>
    </row>
    <row r="404" customFormat="false" ht="15" hidden="false" customHeight="false" outlineLevel="0" collapsed="false">
      <c r="A404" s="1"/>
      <c r="B404" s="22"/>
      <c r="C404" s="18" t="str">
        <f aca="false">IF(OR(A404="",COUNTIF('Injection Sales'!$B$2:$B$501,A404)+COUNTIF('Protein Sales'!$B$2:$B$501,A404)+COUNTIF('Diet Support'!$B$2:$B$501,A404)=0),"",MIN(IF(COUNTIF('Injection Sales'!$B$2:$B$501,A404),_xlfn.MINIFS('Injection Sales'!$A$2:$A$501,'Injection Sales'!$B$2:$B$501,A404),99999),IF(COUNTIF('Protein Sales'!$B$2:$B$501,A404),_xlfn.MINIFS('Protein Sales'!$A$2:$A$501,'Protein Sales'!$B$2:$B$501,A404),99999),IF(COUNTIF('Diet Support'!$B$2:$B$501,A404),_xlfn.MINIFS('Diet Support'!$A$2:$A$501,'Diet Support'!$B$2:$B$501,A404),99999)))</f>
        <v/>
      </c>
      <c r="D404" s="18" t="str">
        <f aca="false">IF(OR(A404="",COUNTIF('Injection Sales'!$B$2:$B$501,A404)+COUNTIF('Protein Sales'!$B$2:$B$501,A404)+COUNTIF('Diet Support'!$B$2:$B$501,A404)=0),"",MAX(_xlfn.MAXIFS('Injection Sales'!$A$2:$A$501,'Injection Sales'!$B$2:$B$501,A404),_xlfn.MAXIFS('Protein Sales'!$A$2:$A$501,'Protein Sales'!$B$2:$B$501,A404),_xlfn.MAXIFS('Diet Support'!$A$2:$A$501,'Diet Support'!$B$2:$B$501,A404)))</f>
        <v/>
      </c>
      <c r="E404" s="19" t="str">
        <f aca="false">IF(A404="","",COUNTIF('Injection Sales'!$B$2:$B$501,A404)+COUNTIF('Protein Sales'!$B$2:$B$501,A404)+COUNTIF('Diet Support'!$B$2:$B$501,A404))</f>
        <v/>
      </c>
      <c r="F404" s="20" t="str">
        <f aca="false">IF(A404="","",SUMIF('Injection Sales'!$B$2:$B$501,A404,'Injection Sales'!$G$2:$G$501)+SUMIF('Protein Sales'!$B$2:$B$501,A404,'Protein Sales'!$F$2:$F$501)+SUMIF('Diet Support'!$B$2:$B$501,A404,'Diet Support'!$E$2:$E$501))</f>
        <v/>
      </c>
      <c r="G404" s="21" t="str">
        <f aca="false">IF(OR(A404="",COUNTIF('Injection Sales'!$B$2:$B$501,A404)=0),"",IFERROR(LOOKUP(2,1/(('Injection Sales'!$B$2:$B$501=A404)*('Injection Sales'!$A$2:$A$501=_xlfn.MAXIFS('Injection Sales'!$A$2:$A$501,'Injection Sales'!$B$2:$B$501,A404))),'Injection Sales'!$E$2:$E$501),""))</f>
        <v/>
      </c>
      <c r="H404" s="21" t="str">
        <f aca="false">IF(OR(A404="",COUNTIF('Injection Sales'!$B$2:$B$501,A404)=0),"",IFERROR(LOOKUP(2,1/(('Injection Sales'!$B$2:$B$501=A404)*('Injection Sales'!$A$2:$A$501=_xlfn.MAXIFS('Injection Sales'!$A$2:$A$501,'Injection Sales'!$B$2:$B$501,A404))),'Injection Sales'!$H$2:$H$501),""))</f>
        <v/>
      </c>
      <c r="I404" s="21" t="str">
        <f aca="true">IF(OR(A404="",D404=""),"",IF(TODAY()-D404&lt;=Settings!$B$7,"Active","Inactive"))</f>
        <v/>
      </c>
    </row>
    <row r="405" customFormat="false" ht="15" hidden="false" customHeight="false" outlineLevel="0" collapsed="false">
      <c r="A405" s="1"/>
      <c r="B405" s="22"/>
      <c r="C405" s="18" t="str">
        <f aca="false">IF(OR(A405="",COUNTIF('Injection Sales'!$B$2:$B$501,A405)+COUNTIF('Protein Sales'!$B$2:$B$501,A405)+COUNTIF('Diet Support'!$B$2:$B$501,A405)=0),"",MIN(IF(COUNTIF('Injection Sales'!$B$2:$B$501,A405),_xlfn.MINIFS('Injection Sales'!$A$2:$A$501,'Injection Sales'!$B$2:$B$501,A405),99999),IF(COUNTIF('Protein Sales'!$B$2:$B$501,A405),_xlfn.MINIFS('Protein Sales'!$A$2:$A$501,'Protein Sales'!$B$2:$B$501,A405),99999),IF(COUNTIF('Diet Support'!$B$2:$B$501,A405),_xlfn.MINIFS('Diet Support'!$A$2:$A$501,'Diet Support'!$B$2:$B$501,A405),99999)))</f>
        <v/>
      </c>
      <c r="D405" s="18" t="str">
        <f aca="false">IF(OR(A405="",COUNTIF('Injection Sales'!$B$2:$B$501,A405)+COUNTIF('Protein Sales'!$B$2:$B$501,A405)+COUNTIF('Diet Support'!$B$2:$B$501,A405)=0),"",MAX(_xlfn.MAXIFS('Injection Sales'!$A$2:$A$501,'Injection Sales'!$B$2:$B$501,A405),_xlfn.MAXIFS('Protein Sales'!$A$2:$A$501,'Protein Sales'!$B$2:$B$501,A405),_xlfn.MAXIFS('Diet Support'!$A$2:$A$501,'Diet Support'!$B$2:$B$501,A405)))</f>
        <v/>
      </c>
      <c r="E405" s="19" t="str">
        <f aca="false">IF(A405="","",COUNTIF('Injection Sales'!$B$2:$B$501,A405)+COUNTIF('Protein Sales'!$B$2:$B$501,A405)+COUNTIF('Diet Support'!$B$2:$B$501,A405))</f>
        <v/>
      </c>
      <c r="F405" s="20" t="str">
        <f aca="false">IF(A405="","",SUMIF('Injection Sales'!$B$2:$B$501,A405,'Injection Sales'!$G$2:$G$501)+SUMIF('Protein Sales'!$B$2:$B$501,A405,'Protein Sales'!$F$2:$F$501)+SUMIF('Diet Support'!$B$2:$B$501,A405,'Diet Support'!$E$2:$E$501))</f>
        <v/>
      </c>
      <c r="G405" s="21" t="str">
        <f aca="false">IF(OR(A405="",COUNTIF('Injection Sales'!$B$2:$B$501,A405)=0),"",IFERROR(LOOKUP(2,1/(('Injection Sales'!$B$2:$B$501=A405)*('Injection Sales'!$A$2:$A$501=_xlfn.MAXIFS('Injection Sales'!$A$2:$A$501,'Injection Sales'!$B$2:$B$501,A405))),'Injection Sales'!$E$2:$E$501),""))</f>
        <v/>
      </c>
      <c r="H405" s="21" t="str">
        <f aca="false">IF(OR(A405="",COUNTIF('Injection Sales'!$B$2:$B$501,A405)=0),"",IFERROR(LOOKUP(2,1/(('Injection Sales'!$B$2:$B$501=A405)*('Injection Sales'!$A$2:$A$501=_xlfn.MAXIFS('Injection Sales'!$A$2:$A$501,'Injection Sales'!$B$2:$B$501,A405))),'Injection Sales'!$H$2:$H$501),""))</f>
        <v/>
      </c>
      <c r="I405" s="21" t="str">
        <f aca="true">IF(OR(A405="",D405=""),"",IF(TODAY()-D405&lt;=Settings!$B$7,"Active","Inactive"))</f>
        <v/>
      </c>
    </row>
    <row r="406" customFormat="false" ht="15" hidden="false" customHeight="false" outlineLevel="0" collapsed="false">
      <c r="A406" s="1"/>
      <c r="B406" s="22"/>
      <c r="C406" s="18" t="str">
        <f aca="false">IF(OR(A406="",COUNTIF('Injection Sales'!$B$2:$B$501,A406)+COUNTIF('Protein Sales'!$B$2:$B$501,A406)+COUNTIF('Diet Support'!$B$2:$B$501,A406)=0),"",MIN(IF(COUNTIF('Injection Sales'!$B$2:$B$501,A406),_xlfn.MINIFS('Injection Sales'!$A$2:$A$501,'Injection Sales'!$B$2:$B$501,A406),99999),IF(COUNTIF('Protein Sales'!$B$2:$B$501,A406),_xlfn.MINIFS('Protein Sales'!$A$2:$A$501,'Protein Sales'!$B$2:$B$501,A406),99999),IF(COUNTIF('Diet Support'!$B$2:$B$501,A406),_xlfn.MINIFS('Diet Support'!$A$2:$A$501,'Diet Support'!$B$2:$B$501,A406),99999)))</f>
        <v/>
      </c>
      <c r="D406" s="18" t="str">
        <f aca="false">IF(OR(A406="",COUNTIF('Injection Sales'!$B$2:$B$501,A406)+COUNTIF('Protein Sales'!$B$2:$B$501,A406)+COUNTIF('Diet Support'!$B$2:$B$501,A406)=0),"",MAX(_xlfn.MAXIFS('Injection Sales'!$A$2:$A$501,'Injection Sales'!$B$2:$B$501,A406),_xlfn.MAXIFS('Protein Sales'!$A$2:$A$501,'Protein Sales'!$B$2:$B$501,A406),_xlfn.MAXIFS('Diet Support'!$A$2:$A$501,'Diet Support'!$B$2:$B$501,A406)))</f>
        <v/>
      </c>
      <c r="E406" s="19" t="str">
        <f aca="false">IF(A406="","",COUNTIF('Injection Sales'!$B$2:$B$501,A406)+COUNTIF('Protein Sales'!$B$2:$B$501,A406)+COUNTIF('Diet Support'!$B$2:$B$501,A406))</f>
        <v/>
      </c>
      <c r="F406" s="20" t="str">
        <f aca="false">IF(A406="","",SUMIF('Injection Sales'!$B$2:$B$501,A406,'Injection Sales'!$G$2:$G$501)+SUMIF('Protein Sales'!$B$2:$B$501,A406,'Protein Sales'!$F$2:$F$501)+SUMIF('Diet Support'!$B$2:$B$501,A406,'Diet Support'!$E$2:$E$501))</f>
        <v/>
      </c>
      <c r="G406" s="21" t="str">
        <f aca="false">IF(OR(A406="",COUNTIF('Injection Sales'!$B$2:$B$501,A406)=0),"",IFERROR(LOOKUP(2,1/(('Injection Sales'!$B$2:$B$501=A406)*('Injection Sales'!$A$2:$A$501=_xlfn.MAXIFS('Injection Sales'!$A$2:$A$501,'Injection Sales'!$B$2:$B$501,A406))),'Injection Sales'!$E$2:$E$501),""))</f>
        <v/>
      </c>
      <c r="H406" s="21" t="str">
        <f aca="false">IF(OR(A406="",COUNTIF('Injection Sales'!$B$2:$B$501,A406)=0),"",IFERROR(LOOKUP(2,1/(('Injection Sales'!$B$2:$B$501=A406)*('Injection Sales'!$A$2:$A$501=_xlfn.MAXIFS('Injection Sales'!$A$2:$A$501,'Injection Sales'!$B$2:$B$501,A406))),'Injection Sales'!$H$2:$H$501),""))</f>
        <v/>
      </c>
      <c r="I406" s="21" t="str">
        <f aca="true">IF(OR(A406="",D406=""),"",IF(TODAY()-D406&lt;=Settings!$B$7,"Active","Inactive"))</f>
        <v/>
      </c>
    </row>
    <row r="407" customFormat="false" ht="15" hidden="false" customHeight="false" outlineLevel="0" collapsed="false">
      <c r="A407" s="1"/>
      <c r="B407" s="22"/>
      <c r="C407" s="18" t="str">
        <f aca="false">IF(OR(A407="",COUNTIF('Injection Sales'!$B$2:$B$501,A407)+COUNTIF('Protein Sales'!$B$2:$B$501,A407)+COUNTIF('Diet Support'!$B$2:$B$501,A407)=0),"",MIN(IF(COUNTIF('Injection Sales'!$B$2:$B$501,A407),_xlfn.MINIFS('Injection Sales'!$A$2:$A$501,'Injection Sales'!$B$2:$B$501,A407),99999),IF(COUNTIF('Protein Sales'!$B$2:$B$501,A407),_xlfn.MINIFS('Protein Sales'!$A$2:$A$501,'Protein Sales'!$B$2:$B$501,A407),99999),IF(COUNTIF('Diet Support'!$B$2:$B$501,A407),_xlfn.MINIFS('Diet Support'!$A$2:$A$501,'Diet Support'!$B$2:$B$501,A407),99999)))</f>
        <v/>
      </c>
      <c r="D407" s="18" t="str">
        <f aca="false">IF(OR(A407="",COUNTIF('Injection Sales'!$B$2:$B$501,A407)+COUNTIF('Protein Sales'!$B$2:$B$501,A407)+COUNTIF('Diet Support'!$B$2:$B$501,A407)=0),"",MAX(_xlfn.MAXIFS('Injection Sales'!$A$2:$A$501,'Injection Sales'!$B$2:$B$501,A407),_xlfn.MAXIFS('Protein Sales'!$A$2:$A$501,'Protein Sales'!$B$2:$B$501,A407),_xlfn.MAXIFS('Diet Support'!$A$2:$A$501,'Diet Support'!$B$2:$B$501,A407)))</f>
        <v/>
      </c>
      <c r="E407" s="19" t="str">
        <f aca="false">IF(A407="","",COUNTIF('Injection Sales'!$B$2:$B$501,A407)+COUNTIF('Protein Sales'!$B$2:$B$501,A407)+COUNTIF('Diet Support'!$B$2:$B$501,A407))</f>
        <v/>
      </c>
      <c r="F407" s="20" t="str">
        <f aca="false">IF(A407="","",SUMIF('Injection Sales'!$B$2:$B$501,A407,'Injection Sales'!$G$2:$G$501)+SUMIF('Protein Sales'!$B$2:$B$501,A407,'Protein Sales'!$F$2:$F$501)+SUMIF('Diet Support'!$B$2:$B$501,A407,'Diet Support'!$E$2:$E$501))</f>
        <v/>
      </c>
      <c r="G407" s="21" t="str">
        <f aca="false">IF(OR(A407="",COUNTIF('Injection Sales'!$B$2:$B$501,A407)=0),"",IFERROR(LOOKUP(2,1/(('Injection Sales'!$B$2:$B$501=A407)*('Injection Sales'!$A$2:$A$501=_xlfn.MAXIFS('Injection Sales'!$A$2:$A$501,'Injection Sales'!$B$2:$B$501,A407))),'Injection Sales'!$E$2:$E$501),""))</f>
        <v/>
      </c>
      <c r="H407" s="21" t="str">
        <f aca="false">IF(OR(A407="",COUNTIF('Injection Sales'!$B$2:$B$501,A407)=0),"",IFERROR(LOOKUP(2,1/(('Injection Sales'!$B$2:$B$501=A407)*('Injection Sales'!$A$2:$A$501=_xlfn.MAXIFS('Injection Sales'!$A$2:$A$501,'Injection Sales'!$B$2:$B$501,A407))),'Injection Sales'!$H$2:$H$501),""))</f>
        <v/>
      </c>
      <c r="I407" s="21" t="str">
        <f aca="true">IF(OR(A407="",D407=""),"",IF(TODAY()-D407&lt;=Settings!$B$7,"Active","Inactive"))</f>
        <v/>
      </c>
    </row>
    <row r="408" customFormat="false" ht="15" hidden="false" customHeight="false" outlineLevel="0" collapsed="false">
      <c r="A408" s="1"/>
      <c r="B408" s="22"/>
      <c r="C408" s="18" t="str">
        <f aca="false">IF(OR(A408="",COUNTIF('Injection Sales'!$B$2:$B$501,A408)+COUNTIF('Protein Sales'!$B$2:$B$501,A408)+COUNTIF('Diet Support'!$B$2:$B$501,A408)=0),"",MIN(IF(COUNTIF('Injection Sales'!$B$2:$B$501,A408),_xlfn.MINIFS('Injection Sales'!$A$2:$A$501,'Injection Sales'!$B$2:$B$501,A408),99999),IF(COUNTIF('Protein Sales'!$B$2:$B$501,A408),_xlfn.MINIFS('Protein Sales'!$A$2:$A$501,'Protein Sales'!$B$2:$B$501,A408),99999),IF(COUNTIF('Diet Support'!$B$2:$B$501,A408),_xlfn.MINIFS('Diet Support'!$A$2:$A$501,'Diet Support'!$B$2:$B$501,A408),99999)))</f>
        <v/>
      </c>
      <c r="D408" s="18" t="str">
        <f aca="false">IF(OR(A408="",COUNTIF('Injection Sales'!$B$2:$B$501,A408)+COUNTIF('Protein Sales'!$B$2:$B$501,A408)+COUNTIF('Diet Support'!$B$2:$B$501,A408)=0),"",MAX(_xlfn.MAXIFS('Injection Sales'!$A$2:$A$501,'Injection Sales'!$B$2:$B$501,A408),_xlfn.MAXIFS('Protein Sales'!$A$2:$A$501,'Protein Sales'!$B$2:$B$501,A408),_xlfn.MAXIFS('Diet Support'!$A$2:$A$501,'Diet Support'!$B$2:$B$501,A408)))</f>
        <v/>
      </c>
      <c r="E408" s="19" t="str">
        <f aca="false">IF(A408="","",COUNTIF('Injection Sales'!$B$2:$B$501,A408)+COUNTIF('Protein Sales'!$B$2:$B$501,A408)+COUNTIF('Diet Support'!$B$2:$B$501,A408))</f>
        <v/>
      </c>
      <c r="F408" s="20" t="str">
        <f aca="false">IF(A408="","",SUMIF('Injection Sales'!$B$2:$B$501,A408,'Injection Sales'!$G$2:$G$501)+SUMIF('Protein Sales'!$B$2:$B$501,A408,'Protein Sales'!$F$2:$F$501)+SUMIF('Diet Support'!$B$2:$B$501,A408,'Diet Support'!$E$2:$E$501))</f>
        <v/>
      </c>
      <c r="G408" s="21" t="str">
        <f aca="false">IF(OR(A408="",COUNTIF('Injection Sales'!$B$2:$B$501,A408)=0),"",IFERROR(LOOKUP(2,1/(('Injection Sales'!$B$2:$B$501=A408)*('Injection Sales'!$A$2:$A$501=_xlfn.MAXIFS('Injection Sales'!$A$2:$A$501,'Injection Sales'!$B$2:$B$501,A408))),'Injection Sales'!$E$2:$E$501),""))</f>
        <v/>
      </c>
      <c r="H408" s="21" t="str">
        <f aca="false">IF(OR(A408="",COUNTIF('Injection Sales'!$B$2:$B$501,A408)=0),"",IFERROR(LOOKUP(2,1/(('Injection Sales'!$B$2:$B$501=A408)*('Injection Sales'!$A$2:$A$501=_xlfn.MAXIFS('Injection Sales'!$A$2:$A$501,'Injection Sales'!$B$2:$B$501,A408))),'Injection Sales'!$H$2:$H$501),""))</f>
        <v/>
      </c>
      <c r="I408" s="21" t="str">
        <f aca="true">IF(OR(A408="",D408=""),"",IF(TODAY()-D408&lt;=Settings!$B$7,"Active","Inactive"))</f>
        <v/>
      </c>
    </row>
    <row r="409" customFormat="false" ht="15" hidden="false" customHeight="false" outlineLevel="0" collapsed="false">
      <c r="A409" s="1"/>
      <c r="B409" s="22"/>
      <c r="C409" s="18" t="str">
        <f aca="false">IF(OR(A409="",COUNTIF('Injection Sales'!$B$2:$B$501,A409)+COUNTIF('Protein Sales'!$B$2:$B$501,A409)+COUNTIF('Diet Support'!$B$2:$B$501,A409)=0),"",MIN(IF(COUNTIF('Injection Sales'!$B$2:$B$501,A409),_xlfn.MINIFS('Injection Sales'!$A$2:$A$501,'Injection Sales'!$B$2:$B$501,A409),99999),IF(COUNTIF('Protein Sales'!$B$2:$B$501,A409),_xlfn.MINIFS('Protein Sales'!$A$2:$A$501,'Protein Sales'!$B$2:$B$501,A409),99999),IF(COUNTIF('Diet Support'!$B$2:$B$501,A409),_xlfn.MINIFS('Diet Support'!$A$2:$A$501,'Diet Support'!$B$2:$B$501,A409),99999)))</f>
        <v/>
      </c>
      <c r="D409" s="18" t="str">
        <f aca="false">IF(OR(A409="",COUNTIF('Injection Sales'!$B$2:$B$501,A409)+COUNTIF('Protein Sales'!$B$2:$B$501,A409)+COUNTIF('Diet Support'!$B$2:$B$501,A409)=0),"",MAX(_xlfn.MAXIFS('Injection Sales'!$A$2:$A$501,'Injection Sales'!$B$2:$B$501,A409),_xlfn.MAXIFS('Protein Sales'!$A$2:$A$501,'Protein Sales'!$B$2:$B$501,A409),_xlfn.MAXIFS('Diet Support'!$A$2:$A$501,'Diet Support'!$B$2:$B$501,A409)))</f>
        <v/>
      </c>
      <c r="E409" s="19" t="str">
        <f aca="false">IF(A409="","",COUNTIF('Injection Sales'!$B$2:$B$501,A409)+COUNTIF('Protein Sales'!$B$2:$B$501,A409)+COUNTIF('Diet Support'!$B$2:$B$501,A409))</f>
        <v/>
      </c>
      <c r="F409" s="20" t="str">
        <f aca="false">IF(A409="","",SUMIF('Injection Sales'!$B$2:$B$501,A409,'Injection Sales'!$G$2:$G$501)+SUMIF('Protein Sales'!$B$2:$B$501,A409,'Protein Sales'!$F$2:$F$501)+SUMIF('Diet Support'!$B$2:$B$501,A409,'Diet Support'!$E$2:$E$501))</f>
        <v/>
      </c>
      <c r="G409" s="21" t="str">
        <f aca="false">IF(OR(A409="",COUNTIF('Injection Sales'!$B$2:$B$501,A409)=0),"",IFERROR(LOOKUP(2,1/(('Injection Sales'!$B$2:$B$501=A409)*('Injection Sales'!$A$2:$A$501=_xlfn.MAXIFS('Injection Sales'!$A$2:$A$501,'Injection Sales'!$B$2:$B$501,A409))),'Injection Sales'!$E$2:$E$501),""))</f>
        <v/>
      </c>
      <c r="H409" s="21" t="str">
        <f aca="false">IF(OR(A409="",COUNTIF('Injection Sales'!$B$2:$B$501,A409)=0),"",IFERROR(LOOKUP(2,1/(('Injection Sales'!$B$2:$B$501=A409)*('Injection Sales'!$A$2:$A$501=_xlfn.MAXIFS('Injection Sales'!$A$2:$A$501,'Injection Sales'!$B$2:$B$501,A409))),'Injection Sales'!$H$2:$H$501),""))</f>
        <v/>
      </c>
      <c r="I409" s="21" t="str">
        <f aca="true">IF(OR(A409="",D409=""),"",IF(TODAY()-D409&lt;=Settings!$B$7,"Active","Inactive"))</f>
        <v/>
      </c>
    </row>
    <row r="410" customFormat="false" ht="15" hidden="false" customHeight="false" outlineLevel="0" collapsed="false">
      <c r="A410" s="1"/>
      <c r="B410" s="22"/>
      <c r="C410" s="18" t="str">
        <f aca="false">IF(OR(A410="",COUNTIF('Injection Sales'!$B$2:$B$501,A410)+COUNTIF('Protein Sales'!$B$2:$B$501,A410)+COUNTIF('Diet Support'!$B$2:$B$501,A410)=0),"",MIN(IF(COUNTIF('Injection Sales'!$B$2:$B$501,A410),_xlfn.MINIFS('Injection Sales'!$A$2:$A$501,'Injection Sales'!$B$2:$B$501,A410),99999),IF(COUNTIF('Protein Sales'!$B$2:$B$501,A410),_xlfn.MINIFS('Protein Sales'!$A$2:$A$501,'Protein Sales'!$B$2:$B$501,A410),99999),IF(COUNTIF('Diet Support'!$B$2:$B$501,A410),_xlfn.MINIFS('Diet Support'!$A$2:$A$501,'Diet Support'!$B$2:$B$501,A410),99999)))</f>
        <v/>
      </c>
      <c r="D410" s="18" t="str">
        <f aca="false">IF(OR(A410="",COUNTIF('Injection Sales'!$B$2:$B$501,A410)+COUNTIF('Protein Sales'!$B$2:$B$501,A410)+COUNTIF('Diet Support'!$B$2:$B$501,A410)=0),"",MAX(_xlfn.MAXIFS('Injection Sales'!$A$2:$A$501,'Injection Sales'!$B$2:$B$501,A410),_xlfn.MAXIFS('Protein Sales'!$A$2:$A$501,'Protein Sales'!$B$2:$B$501,A410),_xlfn.MAXIFS('Diet Support'!$A$2:$A$501,'Diet Support'!$B$2:$B$501,A410)))</f>
        <v/>
      </c>
      <c r="E410" s="19" t="str">
        <f aca="false">IF(A410="","",COUNTIF('Injection Sales'!$B$2:$B$501,A410)+COUNTIF('Protein Sales'!$B$2:$B$501,A410)+COUNTIF('Diet Support'!$B$2:$B$501,A410))</f>
        <v/>
      </c>
      <c r="F410" s="20" t="str">
        <f aca="false">IF(A410="","",SUMIF('Injection Sales'!$B$2:$B$501,A410,'Injection Sales'!$G$2:$G$501)+SUMIF('Protein Sales'!$B$2:$B$501,A410,'Protein Sales'!$F$2:$F$501)+SUMIF('Diet Support'!$B$2:$B$501,A410,'Diet Support'!$E$2:$E$501))</f>
        <v/>
      </c>
      <c r="G410" s="21" t="str">
        <f aca="false">IF(OR(A410="",COUNTIF('Injection Sales'!$B$2:$B$501,A410)=0),"",IFERROR(LOOKUP(2,1/(('Injection Sales'!$B$2:$B$501=A410)*('Injection Sales'!$A$2:$A$501=_xlfn.MAXIFS('Injection Sales'!$A$2:$A$501,'Injection Sales'!$B$2:$B$501,A410))),'Injection Sales'!$E$2:$E$501),""))</f>
        <v/>
      </c>
      <c r="H410" s="21" t="str">
        <f aca="false">IF(OR(A410="",COUNTIF('Injection Sales'!$B$2:$B$501,A410)=0),"",IFERROR(LOOKUP(2,1/(('Injection Sales'!$B$2:$B$501=A410)*('Injection Sales'!$A$2:$A$501=_xlfn.MAXIFS('Injection Sales'!$A$2:$A$501,'Injection Sales'!$B$2:$B$501,A410))),'Injection Sales'!$H$2:$H$501),""))</f>
        <v/>
      </c>
      <c r="I410" s="21" t="str">
        <f aca="true">IF(OR(A410="",D410=""),"",IF(TODAY()-D410&lt;=Settings!$B$7,"Active","Inactive"))</f>
        <v/>
      </c>
    </row>
    <row r="411" customFormat="false" ht="15" hidden="false" customHeight="false" outlineLevel="0" collapsed="false">
      <c r="A411" s="1"/>
      <c r="B411" s="22"/>
      <c r="C411" s="18" t="str">
        <f aca="false">IF(OR(A411="",COUNTIF('Injection Sales'!$B$2:$B$501,A411)+COUNTIF('Protein Sales'!$B$2:$B$501,A411)+COUNTIF('Diet Support'!$B$2:$B$501,A411)=0),"",MIN(IF(COUNTIF('Injection Sales'!$B$2:$B$501,A411),_xlfn.MINIFS('Injection Sales'!$A$2:$A$501,'Injection Sales'!$B$2:$B$501,A411),99999),IF(COUNTIF('Protein Sales'!$B$2:$B$501,A411),_xlfn.MINIFS('Protein Sales'!$A$2:$A$501,'Protein Sales'!$B$2:$B$501,A411),99999),IF(COUNTIF('Diet Support'!$B$2:$B$501,A411),_xlfn.MINIFS('Diet Support'!$A$2:$A$501,'Diet Support'!$B$2:$B$501,A411),99999)))</f>
        <v/>
      </c>
      <c r="D411" s="18" t="str">
        <f aca="false">IF(OR(A411="",COUNTIF('Injection Sales'!$B$2:$B$501,A411)+COUNTIF('Protein Sales'!$B$2:$B$501,A411)+COUNTIF('Diet Support'!$B$2:$B$501,A411)=0),"",MAX(_xlfn.MAXIFS('Injection Sales'!$A$2:$A$501,'Injection Sales'!$B$2:$B$501,A411),_xlfn.MAXIFS('Protein Sales'!$A$2:$A$501,'Protein Sales'!$B$2:$B$501,A411),_xlfn.MAXIFS('Diet Support'!$A$2:$A$501,'Diet Support'!$B$2:$B$501,A411)))</f>
        <v/>
      </c>
      <c r="E411" s="19" t="str">
        <f aca="false">IF(A411="","",COUNTIF('Injection Sales'!$B$2:$B$501,A411)+COUNTIF('Protein Sales'!$B$2:$B$501,A411)+COUNTIF('Diet Support'!$B$2:$B$501,A411))</f>
        <v/>
      </c>
      <c r="F411" s="20" t="str">
        <f aca="false">IF(A411="","",SUMIF('Injection Sales'!$B$2:$B$501,A411,'Injection Sales'!$G$2:$G$501)+SUMIF('Protein Sales'!$B$2:$B$501,A411,'Protein Sales'!$F$2:$F$501)+SUMIF('Diet Support'!$B$2:$B$501,A411,'Diet Support'!$E$2:$E$501))</f>
        <v/>
      </c>
      <c r="G411" s="21" t="str">
        <f aca="false">IF(OR(A411="",COUNTIF('Injection Sales'!$B$2:$B$501,A411)=0),"",IFERROR(LOOKUP(2,1/(('Injection Sales'!$B$2:$B$501=A411)*('Injection Sales'!$A$2:$A$501=_xlfn.MAXIFS('Injection Sales'!$A$2:$A$501,'Injection Sales'!$B$2:$B$501,A411))),'Injection Sales'!$E$2:$E$501),""))</f>
        <v/>
      </c>
      <c r="H411" s="21" t="str">
        <f aca="false">IF(OR(A411="",COUNTIF('Injection Sales'!$B$2:$B$501,A411)=0),"",IFERROR(LOOKUP(2,1/(('Injection Sales'!$B$2:$B$501=A411)*('Injection Sales'!$A$2:$A$501=_xlfn.MAXIFS('Injection Sales'!$A$2:$A$501,'Injection Sales'!$B$2:$B$501,A411))),'Injection Sales'!$H$2:$H$501),""))</f>
        <v/>
      </c>
      <c r="I411" s="21" t="str">
        <f aca="true">IF(OR(A411="",D411=""),"",IF(TODAY()-D411&lt;=Settings!$B$7,"Active","Inactive"))</f>
        <v/>
      </c>
    </row>
    <row r="412" customFormat="false" ht="15" hidden="false" customHeight="false" outlineLevel="0" collapsed="false">
      <c r="A412" s="1"/>
      <c r="B412" s="22"/>
      <c r="C412" s="18" t="str">
        <f aca="false">IF(OR(A412="",COUNTIF('Injection Sales'!$B$2:$B$501,A412)+COUNTIF('Protein Sales'!$B$2:$B$501,A412)+COUNTIF('Diet Support'!$B$2:$B$501,A412)=0),"",MIN(IF(COUNTIF('Injection Sales'!$B$2:$B$501,A412),_xlfn.MINIFS('Injection Sales'!$A$2:$A$501,'Injection Sales'!$B$2:$B$501,A412),99999),IF(COUNTIF('Protein Sales'!$B$2:$B$501,A412),_xlfn.MINIFS('Protein Sales'!$A$2:$A$501,'Protein Sales'!$B$2:$B$501,A412),99999),IF(COUNTIF('Diet Support'!$B$2:$B$501,A412),_xlfn.MINIFS('Diet Support'!$A$2:$A$501,'Diet Support'!$B$2:$B$501,A412),99999)))</f>
        <v/>
      </c>
      <c r="D412" s="18" t="str">
        <f aca="false">IF(OR(A412="",COUNTIF('Injection Sales'!$B$2:$B$501,A412)+COUNTIF('Protein Sales'!$B$2:$B$501,A412)+COUNTIF('Diet Support'!$B$2:$B$501,A412)=0),"",MAX(_xlfn.MAXIFS('Injection Sales'!$A$2:$A$501,'Injection Sales'!$B$2:$B$501,A412),_xlfn.MAXIFS('Protein Sales'!$A$2:$A$501,'Protein Sales'!$B$2:$B$501,A412),_xlfn.MAXIFS('Diet Support'!$A$2:$A$501,'Diet Support'!$B$2:$B$501,A412)))</f>
        <v/>
      </c>
      <c r="E412" s="19" t="str">
        <f aca="false">IF(A412="","",COUNTIF('Injection Sales'!$B$2:$B$501,A412)+COUNTIF('Protein Sales'!$B$2:$B$501,A412)+COUNTIF('Diet Support'!$B$2:$B$501,A412))</f>
        <v/>
      </c>
      <c r="F412" s="20" t="str">
        <f aca="false">IF(A412="","",SUMIF('Injection Sales'!$B$2:$B$501,A412,'Injection Sales'!$G$2:$G$501)+SUMIF('Protein Sales'!$B$2:$B$501,A412,'Protein Sales'!$F$2:$F$501)+SUMIF('Diet Support'!$B$2:$B$501,A412,'Diet Support'!$E$2:$E$501))</f>
        <v/>
      </c>
      <c r="G412" s="21" t="str">
        <f aca="false">IF(OR(A412="",COUNTIF('Injection Sales'!$B$2:$B$501,A412)=0),"",IFERROR(LOOKUP(2,1/(('Injection Sales'!$B$2:$B$501=A412)*('Injection Sales'!$A$2:$A$501=_xlfn.MAXIFS('Injection Sales'!$A$2:$A$501,'Injection Sales'!$B$2:$B$501,A412))),'Injection Sales'!$E$2:$E$501),""))</f>
        <v/>
      </c>
      <c r="H412" s="21" t="str">
        <f aca="false">IF(OR(A412="",COUNTIF('Injection Sales'!$B$2:$B$501,A412)=0),"",IFERROR(LOOKUP(2,1/(('Injection Sales'!$B$2:$B$501=A412)*('Injection Sales'!$A$2:$A$501=_xlfn.MAXIFS('Injection Sales'!$A$2:$A$501,'Injection Sales'!$B$2:$B$501,A412))),'Injection Sales'!$H$2:$H$501),""))</f>
        <v/>
      </c>
      <c r="I412" s="21" t="str">
        <f aca="true">IF(OR(A412="",D412=""),"",IF(TODAY()-D412&lt;=Settings!$B$7,"Active","Inactive"))</f>
        <v/>
      </c>
    </row>
    <row r="413" customFormat="false" ht="15" hidden="false" customHeight="false" outlineLevel="0" collapsed="false">
      <c r="A413" s="1"/>
      <c r="B413" s="22"/>
      <c r="C413" s="18" t="str">
        <f aca="false">IF(OR(A413="",COUNTIF('Injection Sales'!$B$2:$B$501,A413)+COUNTIF('Protein Sales'!$B$2:$B$501,A413)+COUNTIF('Diet Support'!$B$2:$B$501,A413)=0),"",MIN(IF(COUNTIF('Injection Sales'!$B$2:$B$501,A413),_xlfn.MINIFS('Injection Sales'!$A$2:$A$501,'Injection Sales'!$B$2:$B$501,A413),99999),IF(COUNTIF('Protein Sales'!$B$2:$B$501,A413),_xlfn.MINIFS('Protein Sales'!$A$2:$A$501,'Protein Sales'!$B$2:$B$501,A413),99999),IF(COUNTIF('Diet Support'!$B$2:$B$501,A413),_xlfn.MINIFS('Diet Support'!$A$2:$A$501,'Diet Support'!$B$2:$B$501,A413),99999)))</f>
        <v/>
      </c>
      <c r="D413" s="18" t="str">
        <f aca="false">IF(OR(A413="",COUNTIF('Injection Sales'!$B$2:$B$501,A413)+COUNTIF('Protein Sales'!$B$2:$B$501,A413)+COUNTIF('Diet Support'!$B$2:$B$501,A413)=0),"",MAX(_xlfn.MAXIFS('Injection Sales'!$A$2:$A$501,'Injection Sales'!$B$2:$B$501,A413),_xlfn.MAXIFS('Protein Sales'!$A$2:$A$501,'Protein Sales'!$B$2:$B$501,A413),_xlfn.MAXIFS('Diet Support'!$A$2:$A$501,'Diet Support'!$B$2:$B$501,A413)))</f>
        <v/>
      </c>
      <c r="E413" s="19" t="str">
        <f aca="false">IF(A413="","",COUNTIF('Injection Sales'!$B$2:$B$501,A413)+COUNTIF('Protein Sales'!$B$2:$B$501,A413)+COUNTIF('Diet Support'!$B$2:$B$501,A413))</f>
        <v/>
      </c>
      <c r="F413" s="20" t="str">
        <f aca="false">IF(A413="","",SUMIF('Injection Sales'!$B$2:$B$501,A413,'Injection Sales'!$G$2:$G$501)+SUMIF('Protein Sales'!$B$2:$B$501,A413,'Protein Sales'!$F$2:$F$501)+SUMIF('Diet Support'!$B$2:$B$501,A413,'Diet Support'!$E$2:$E$501))</f>
        <v/>
      </c>
      <c r="G413" s="21" t="str">
        <f aca="false">IF(OR(A413="",COUNTIF('Injection Sales'!$B$2:$B$501,A413)=0),"",IFERROR(LOOKUP(2,1/(('Injection Sales'!$B$2:$B$501=A413)*('Injection Sales'!$A$2:$A$501=_xlfn.MAXIFS('Injection Sales'!$A$2:$A$501,'Injection Sales'!$B$2:$B$501,A413))),'Injection Sales'!$E$2:$E$501),""))</f>
        <v/>
      </c>
      <c r="H413" s="21" t="str">
        <f aca="false">IF(OR(A413="",COUNTIF('Injection Sales'!$B$2:$B$501,A413)=0),"",IFERROR(LOOKUP(2,1/(('Injection Sales'!$B$2:$B$501=A413)*('Injection Sales'!$A$2:$A$501=_xlfn.MAXIFS('Injection Sales'!$A$2:$A$501,'Injection Sales'!$B$2:$B$501,A413))),'Injection Sales'!$H$2:$H$501),""))</f>
        <v/>
      </c>
      <c r="I413" s="21" t="str">
        <f aca="true">IF(OR(A413="",D413=""),"",IF(TODAY()-D413&lt;=Settings!$B$7,"Active","Inactive"))</f>
        <v/>
      </c>
    </row>
    <row r="414" customFormat="false" ht="15" hidden="false" customHeight="false" outlineLevel="0" collapsed="false">
      <c r="A414" s="1"/>
      <c r="B414" s="22"/>
      <c r="C414" s="18" t="str">
        <f aca="false">IF(OR(A414="",COUNTIF('Injection Sales'!$B$2:$B$501,A414)+COUNTIF('Protein Sales'!$B$2:$B$501,A414)+COUNTIF('Diet Support'!$B$2:$B$501,A414)=0),"",MIN(IF(COUNTIF('Injection Sales'!$B$2:$B$501,A414),_xlfn.MINIFS('Injection Sales'!$A$2:$A$501,'Injection Sales'!$B$2:$B$501,A414),99999),IF(COUNTIF('Protein Sales'!$B$2:$B$501,A414),_xlfn.MINIFS('Protein Sales'!$A$2:$A$501,'Protein Sales'!$B$2:$B$501,A414),99999),IF(COUNTIF('Diet Support'!$B$2:$B$501,A414),_xlfn.MINIFS('Diet Support'!$A$2:$A$501,'Diet Support'!$B$2:$B$501,A414),99999)))</f>
        <v/>
      </c>
      <c r="D414" s="18" t="str">
        <f aca="false">IF(OR(A414="",COUNTIF('Injection Sales'!$B$2:$B$501,A414)+COUNTIF('Protein Sales'!$B$2:$B$501,A414)+COUNTIF('Diet Support'!$B$2:$B$501,A414)=0),"",MAX(_xlfn.MAXIFS('Injection Sales'!$A$2:$A$501,'Injection Sales'!$B$2:$B$501,A414),_xlfn.MAXIFS('Protein Sales'!$A$2:$A$501,'Protein Sales'!$B$2:$B$501,A414),_xlfn.MAXIFS('Diet Support'!$A$2:$A$501,'Diet Support'!$B$2:$B$501,A414)))</f>
        <v/>
      </c>
      <c r="E414" s="19" t="str">
        <f aca="false">IF(A414="","",COUNTIF('Injection Sales'!$B$2:$B$501,A414)+COUNTIF('Protein Sales'!$B$2:$B$501,A414)+COUNTIF('Diet Support'!$B$2:$B$501,A414))</f>
        <v/>
      </c>
      <c r="F414" s="20" t="str">
        <f aca="false">IF(A414="","",SUMIF('Injection Sales'!$B$2:$B$501,A414,'Injection Sales'!$G$2:$G$501)+SUMIF('Protein Sales'!$B$2:$B$501,A414,'Protein Sales'!$F$2:$F$501)+SUMIF('Diet Support'!$B$2:$B$501,A414,'Diet Support'!$E$2:$E$501))</f>
        <v/>
      </c>
      <c r="G414" s="21" t="str">
        <f aca="false">IF(OR(A414="",COUNTIF('Injection Sales'!$B$2:$B$501,A414)=0),"",IFERROR(LOOKUP(2,1/(('Injection Sales'!$B$2:$B$501=A414)*('Injection Sales'!$A$2:$A$501=_xlfn.MAXIFS('Injection Sales'!$A$2:$A$501,'Injection Sales'!$B$2:$B$501,A414))),'Injection Sales'!$E$2:$E$501),""))</f>
        <v/>
      </c>
      <c r="H414" s="21" t="str">
        <f aca="false">IF(OR(A414="",COUNTIF('Injection Sales'!$B$2:$B$501,A414)=0),"",IFERROR(LOOKUP(2,1/(('Injection Sales'!$B$2:$B$501=A414)*('Injection Sales'!$A$2:$A$501=_xlfn.MAXIFS('Injection Sales'!$A$2:$A$501,'Injection Sales'!$B$2:$B$501,A414))),'Injection Sales'!$H$2:$H$501),""))</f>
        <v/>
      </c>
      <c r="I414" s="21" t="str">
        <f aca="true">IF(OR(A414="",D414=""),"",IF(TODAY()-D414&lt;=Settings!$B$7,"Active","Inactive"))</f>
        <v/>
      </c>
    </row>
    <row r="415" customFormat="false" ht="15" hidden="false" customHeight="false" outlineLevel="0" collapsed="false">
      <c r="A415" s="1"/>
      <c r="B415" s="22"/>
      <c r="C415" s="18" t="str">
        <f aca="false">IF(OR(A415="",COUNTIF('Injection Sales'!$B$2:$B$501,A415)+COUNTIF('Protein Sales'!$B$2:$B$501,A415)+COUNTIF('Diet Support'!$B$2:$B$501,A415)=0),"",MIN(IF(COUNTIF('Injection Sales'!$B$2:$B$501,A415),_xlfn.MINIFS('Injection Sales'!$A$2:$A$501,'Injection Sales'!$B$2:$B$501,A415),99999),IF(COUNTIF('Protein Sales'!$B$2:$B$501,A415),_xlfn.MINIFS('Protein Sales'!$A$2:$A$501,'Protein Sales'!$B$2:$B$501,A415),99999),IF(COUNTIF('Diet Support'!$B$2:$B$501,A415),_xlfn.MINIFS('Diet Support'!$A$2:$A$501,'Diet Support'!$B$2:$B$501,A415),99999)))</f>
        <v/>
      </c>
      <c r="D415" s="18" t="str">
        <f aca="false">IF(OR(A415="",COUNTIF('Injection Sales'!$B$2:$B$501,A415)+COUNTIF('Protein Sales'!$B$2:$B$501,A415)+COUNTIF('Diet Support'!$B$2:$B$501,A415)=0),"",MAX(_xlfn.MAXIFS('Injection Sales'!$A$2:$A$501,'Injection Sales'!$B$2:$B$501,A415),_xlfn.MAXIFS('Protein Sales'!$A$2:$A$501,'Protein Sales'!$B$2:$B$501,A415),_xlfn.MAXIFS('Diet Support'!$A$2:$A$501,'Diet Support'!$B$2:$B$501,A415)))</f>
        <v/>
      </c>
      <c r="E415" s="19" t="str">
        <f aca="false">IF(A415="","",COUNTIF('Injection Sales'!$B$2:$B$501,A415)+COUNTIF('Protein Sales'!$B$2:$B$501,A415)+COUNTIF('Diet Support'!$B$2:$B$501,A415))</f>
        <v/>
      </c>
      <c r="F415" s="20" t="str">
        <f aca="false">IF(A415="","",SUMIF('Injection Sales'!$B$2:$B$501,A415,'Injection Sales'!$G$2:$G$501)+SUMIF('Protein Sales'!$B$2:$B$501,A415,'Protein Sales'!$F$2:$F$501)+SUMIF('Diet Support'!$B$2:$B$501,A415,'Diet Support'!$E$2:$E$501))</f>
        <v/>
      </c>
      <c r="G415" s="21" t="str">
        <f aca="false">IF(OR(A415="",COUNTIF('Injection Sales'!$B$2:$B$501,A415)=0),"",IFERROR(LOOKUP(2,1/(('Injection Sales'!$B$2:$B$501=A415)*('Injection Sales'!$A$2:$A$501=_xlfn.MAXIFS('Injection Sales'!$A$2:$A$501,'Injection Sales'!$B$2:$B$501,A415))),'Injection Sales'!$E$2:$E$501),""))</f>
        <v/>
      </c>
      <c r="H415" s="21" t="str">
        <f aca="false">IF(OR(A415="",COUNTIF('Injection Sales'!$B$2:$B$501,A415)=0),"",IFERROR(LOOKUP(2,1/(('Injection Sales'!$B$2:$B$501=A415)*('Injection Sales'!$A$2:$A$501=_xlfn.MAXIFS('Injection Sales'!$A$2:$A$501,'Injection Sales'!$B$2:$B$501,A415))),'Injection Sales'!$H$2:$H$501),""))</f>
        <v/>
      </c>
      <c r="I415" s="21" t="str">
        <f aca="true">IF(OR(A415="",D415=""),"",IF(TODAY()-D415&lt;=Settings!$B$7,"Active","Inactive"))</f>
        <v/>
      </c>
    </row>
    <row r="416" customFormat="false" ht="15" hidden="false" customHeight="false" outlineLevel="0" collapsed="false">
      <c r="A416" s="1"/>
      <c r="B416" s="22"/>
      <c r="C416" s="18" t="str">
        <f aca="false">IF(OR(A416="",COUNTIF('Injection Sales'!$B$2:$B$501,A416)+COUNTIF('Protein Sales'!$B$2:$B$501,A416)+COUNTIF('Diet Support'!$B$2:$B$501,A416)=0),"",MIN(IF(COUNTIF('Injection Sales'!$B$2:$B$501,A416),_xlfn.MINIFS('Injection Sales'!$A$2:$A$501,'Injection Sales'!$B$2:$B$501,A416),99999),IF(COUNTIF('Protein Sales'!$B$2:$B$501,A416),_xlfn.MINIFS('Protein Sales'!$A$2:$A$501,'Protein Sales'!$B$2:$B$501,A416),99999),IF(COUNTIF('Diet Support'!$B$2:$B$501,A416),_xlfn.MINIFS('Diet Support'!$A$2:$A$501,'Diet Support'!$B$2:$B$501,A416),99999)))</f>
        <v/>
      </c>
      <c r="D416" s="18" t="str">
        <f aca="false">IF(OR(A416="",COUNTIF('Injection Sales'!$B$2:$B$501,A416)+COUNTIF('Protein Sales'!$B$2:$B$501,A416)+COUNTIF('Diet Support'!$B$2:$B$501,A416)=0),"",MAX(_xlfn.MAXIFS('Injection Sales'!$A$2:$A$501,'Injection Sales'!$B$2:$B$501,A416),_xlfn.MAXIFS('Protein Sales'!$A$2:$A$501,'Protein Sales'!$B$2:$B$501,A416),_xlfn.MAXIFS('Diet Support'!$A$2:$A$501,'Diet Support'!$B$2:$B$501,A416)))</f>
        <v/>
      </c>
      <c r="E416" s="19" t="str">
        <f aca="false">IF(A416="","",COUNTIF('Injection Sales'!$B$2:$B$501,A416)+COUNTIF('Protein Sales'!$B$2:$B$501,A416)+COUNTIF('Diet Support'!$B$2:$B$501,A416))</f>
        <v/>
      </c>
      <c r="F416" s="20" t="str">
        <f aca="false">IF(A416="","",SUMIF('Injection Sales'!$B$2:$B$501,A416,'Injection Sales'!$G$2:$G$501)+SUMIF('Protein Sales'!$B$2:$B$501,A416,'Protein Sales'!$F$2:$F$501)+SUMIF('Diet Support'!$B$2:$B$501,A416,'Diet Support'!$E$2:$E$501))</f>
        <v/>
      </c>
      <c r="G416" s="21" t="str">
        <f aca="false">IF(OR(A416="",COUNTIF('Injection Sales'!$B$2:$B$501,A416)=0),"",IFERROR(LOOKUP(2,1/(('Injection Sales'!$B$2:$B$501=A416)*('Injection Sales'!$A$2:$A$501=_xlfn.MAXIFS('Injection Sales'!$A$2:$A$501,'Injection Sales'!$B$2:$B$501,A416))),'Injection Sales'!$E$2:$E$501),""))</f>
        <v/>
      </c>
      <c r="H416" s="21" t="str">
        <f aca="false">IF(OR(A416="",COUNTIF('Injection Sales'!$B$2:$B$501,A416)=0),"",IFERROR(LOOKUP(2,1/(('Injection Sales'!$B$2:$B$501=A416)*('Injection Sales'!$A$2:$A$501=_xlfn.MAXIFS('Injection Sales'!$A$2:$A$501,'Injection Sales'!$B$2:$B$501,A416))),'Injection Sales'!$H$2:$H$501),""))</f>
        <v/>
      </c>
      <c r="I416" s="21" t="str">
        <f aca="true">IF(OR(A416="",D416=""),"",IF(TODAY()-D416&lt;=Settings!$B$7,"Active","Inactive"))</f>
        <v/>
      </c>
    </row>
    <row r="417" customFormat="false" ht="15" hidden="false" customHeight="false" outlineLevel="0" collapsed="false">
      <c r="A417" s="1"/>
      <c r="B417" s="22"/>
      <c r="C417" s="18" t="str">
        <f aca="false">IF(OR(A417="",COUNTIF('Injection Sales'!$B$2:$B$501,A417)+COUNTIF('Protein Sales'!$B$2:$B$501,A417)+COUNTIF('Diet Support'!$B$2:$B$501,A417)=0),"",MIN(IF(COUNTIF('Injection Sales'!$B$2:$B$501,A417),_xlfn.MINIFS('Injection Sales'!$A$2:$A$501,'Injection Sales'!$B$2:$B$501,A417),99999),IF(COUNTIF('Protein Sales'!$B$2:$B$501,A417),_xlfn.MINIFS('Protein Sales'!$A$2:$A$501,'Protein Sales'!$B$2:$B$501,A417),99999),IF(COUNTIF('Diet Support'!$B$2:$B$501,A417),_xlfn.MINIFS('Diet Support'!$A$2:$A$501,'Diet Support'!$B$2:$B$501,A417),99999)))</f>
        <v/>
      </c>
      <c r="D417" s="18" t="str">
        <f aca="false">IF(OR(A417="",COUNTIF('Injection Sales'!$B$2:$B$501,A417)+COUNTIF('Protein Sales'!$B$2:$B$501,A417)+COUNTIF('Diet Support'!$B$2:$B$501,A417)=0),"",MAX(_xlfn.MAXIFS('Injection Sales'!$A$2:$A$501,'Injection Sales'!$B$2:$B$501,A417),_xlfn.MAXIFS('Protein Sales'!$A$2:$A$501,'Protein Sales'!$B$2:$B$501,A417),_xlfn.MAXIFS('Diet Support'!$A$2:$A$501,'Diet Support'!$B$2:$B$501,A417)))</f>
        <v/>
      </c>
      <c r="E417" s="19" t="str">
        <f aca="false">IF(A417="","",COUNTIF('Injection Sales'!$B$2:$B$501,A417)+COUNTIF('Protein Sales'!$B$2:$B$501,A417)+COUNTIF('Diet Support'!$B$2:$B$501,A417))</f>
        <v/>
      </c>
      <c r="F417" s="20" t="str">
        <f aca="false">IF(A417="","",SUMIF('Injection Sales'!$B$2:$B$501,A417,'Injection Sales'!$G$2:$G$501)+SUMIF('Protein Sales'!$B$2:$B$501,A417,'Protein Sales'!$F$2:$F$501)+SUMIF('Diet Support'!$B$2:$B$501,A417,'Diet Support'!$E$2:$E$501))</f>
        <v/>
      </c>
      <c r="G417" s="21" t="str">
        <f aca="false">IF(OR(A417="",COUNTIF('Injection Sales'!$B$2:$B$501,A417)=0),"",IFERROR(LOOKUP(2,1/(('Injection Sales'!$B$2:$B$501=A417)*('Injection Sales'!$A$2:$A$501=_xlfn.MAXIFS('Injection Sales'!$A$2:$A$501,'Injection Sales'!$B$2:$B$501,A417))),'Injection Sales'!$E$2:$E$501),""))</f>
        <v/>
      </c>
      <c r="H417" s="21" t="str">
        <f aca="false">IF(OR(A417="",COUNTIF('Injection Sales'!$B$2:$B$501,A417)=0),"",IFERROR(LOOKUP(2,1/(('Injection Sales'!$B$2:$B$501=A417)*('Injection Sales'!$A$2:$A$501=_xlfn.MAXIFS('Injection Sales'!$A$2:$A$501,'Injection Sales'!$B$2:$B$501,A417))),'Injection Sales'!$H$2:$H$501),""))</f>
        <v/>
      </c>
      <c r="I417" s="21" t="str">
        <f aca="true">IF(OR(A417="",D417=""),"",IF(TODAY()-D417&lt;=Settings!$B$7,"Active","Inactive"))</f>
        <v/>
      </c>
    </row>
    <row r="418" customFormat="false" ht="15" hidden="false" customHeight="false" outlineLevel="0" collapsed="false">
      <c r="A418" s="1"/>
      <c r="B418" s="22"/>
      <c r="C418" s="18" t="str">
        <f aca="false">IF(OR(A418="",COUNTIF('Injection Sales'!$B$2:$B$501,A418)+COUNTIF('Protein Sales'!$B$2:$B$501,A418)+COUNTIF('Diet Support'!$B$2:$B$501,A418)=0),"",MIN(IF(COUNTIF('Injection Sales'!$B$2:$B$501,A418),_xlfn.MINIFS('Injection Sales'!$A$2:$A$501,'Injection Sales'!$B$2:$B$501,A418),99999),IF(COUNTIF('Protein Sales'!$B$2:$B$501,A418),_xlfn.MINIFS('Protein Sales'!$A$2:$A$501,'Protein Sales'!$B$2:$B$501,A418),99999),IF(COUNTIF('Diet Support'!$B$2:$B$501,A418),_xlfn.MINIFS('Diet Support'!$A$2:$A$501,'Diet Support'!$B$2:$B$501,A418),99999)))</f>
        <v/>
      </c>
      <c r="D418" s="18" t="str">
        <f aca="false">IF(OR(A418="",COUNTIF('Injection Sales'!$B$2:$B$501,A418)+COUNTIF('Protein Sales'!$B$2:$B$501,A418)+COUNTIF('Diet Support'!$B$2:$B$501,A418)=0),"",MAX(_xlfn.MAXIFS('Injection Sales'!$A$2:$A$501,'Injection Sales'!$B$2:$B$501,A418),_xlfn.MAXIFS('Protein Sales'!$A$2:$A$501,'Protein Sales'!$B$2:$B$501,A418),_xlfn.MAXIFS('Diet Support'!$A$2:$A$501,'Diet Support'!$B$2:$B$501,A418)))</f>
        <v/>
      </c>
      <c r="E418" s="19" t="str">
        <f aca="false">IF(A418="","",COUNTIF('Injection Sales'!$B$2:$B$501,A418)+COUNTIF('Protein Sales'!$B$2:$B$501,A418)+COUNTIF('Diet Support'!$B$2:$B$501,A418))</f>
        <v/>
      </c>
      <c r="F418" s="20" t="str">
        <f aca="false">IF(A418="","",SUMIF('Injection Sales'!$B$2:$B$501,A418,'Injection Sales'!$G$2:$G$501)+SUMIF('Protein Sales'!$B$2:$B$501,A418,'Protein Sales'!$F$2:$F$501)+SUMIF('Diet Support'!$B$2:$B$501,A418,'Diet Support'!$E$2:$E$501))</f>
        <v/>
      </c>
      <c r="G418" s="21" t="str">
        <f aca="false">IF(OR(A418="",COUNTIF('Injection Sales'!$B$2:$B$501,A418)=0),"",IFERROR(LOOKUP(2,1/(('Injection Sales'!$B$2:$B$501=A418)*('Injection Sales'!$A$2:$A$501=_xlfn.MAXIFS('Injection Sales'!$A$2:$A$501,'Injection Sales'!$B$2:$B$501,A418))),'Injection Sales'!$E$2:$E$501),""))</f>
        <v/>
      </c>
      <c r="H418" s="21" t="str">
        <f aca="false">IF(OR(A418="",COUNTIF('Injection Sales'!$B$2:$B$501,A418)=0),"",IFERROR(LOOKUP(2,1/(('Injection Sales'!$B$2:$B$501=A418)*('Injection Sales'!$A$2:$A$501=_xlfn.MAXIFS('Injection Sales'!$A$2:$A$501,'Injection Sales'!$B$2:$B$501,A418))),'Injection Sales'!$H$2:$H$501),""))</f>
        <v/>
      </c>
      <c r="I418" s="21" t="str">
        <f aca="true">IF(OR(A418="",D418=""),"",IF(TODAY()-D418&lt;=Settings!$B$7,"Active","Inactive"))</f>
        <v/>
      </c>
    </row>
    <row r="419" customFormat="false" ht="15" hidden="false" customHeight="false" outlineLevel="0" collapsed="false">
      <c r="A419" s="1"/>
      <c r="B419" s="22"/>
      <c r="C419" s="18" t="str">
        <f aca="false">IF(OR(A419="",COUNTIF('Injection Sales'!$B$2:$B$501,A419)+COUNTIF('Protein Sales'!$B$2:$B$501,A419)+COUNTIF('Diet Support'!$B$2:$B$501,A419)=0),"",MIN(IF(COUNTIF('Injection Sales'!$B$2:$B$501,A419),_xlfn.MINIFS('Injection Sales'!$A$2:$A$501,'Injection Sales'!$B$2:$B$501,A419),99999),IF(COUNTIF('Protein Sales'!$B$2:$B$501,A419),_xlfn.MINIFS('Protein Sales'!$A$2:$A$501,'Protein Sales'!$B$2:$B$501,A419),99999),IF(COUNTIF('Diet Support'!$B$2:$B$501,A419),_xlfn.MINIFS('Diet Support'!$A$2:$A$501,'Diet Support'!$B$2:$B$501,A419),99999)))</f>
        <v/>
      </c>
      <c r="D419" s="18" t="str">
        <f aca="false">IF(OR(A419="",COUNTIF('Injection Sales'!$B$2:$B$501,A419)+COUNTIF('Protein Sales'!$B$2:$B$501,A419)+COUNTIF('Diet Support'!$B$2:$B$501,A419)=0),"",MAX(_xlfn.MAXIFS('Injection Sales'!$A$2:$A$501,'Injection Sales'!$B$2:$B$501,A419),_xlfn.MAXIFS('Protein Sales'!$A$2:$A$501,'Protein Sales'!$B$2:$B$501,A419),_xlfn.MAXIFS('Diet Support'!$A$2:$A$501,'Diet Support'!$B$2:$B$501,A419)))</f>
        <v/>
      </c>
      <c r="E419" s="19" t="str">
        <f aca="false">IF(A419="","",COUNTIF('Injection Sales'!$B$2:$B$501,A419)+COUNTIF('Protein Sales'!$B$2:$B$501,A419)+COUNTIF('Diet Support'!$B$2:$B$501,A419))</f>
        <v/>
      </c>
      <c r="F419" s="20" t="str">
        <f aca="false">IF(A419="","",SUMIF('Injection Sales'!$B$2:$B$501,A419,'Injection Sales'!$G$2:$G$501)+SUMIF('Protein Sales'!$B$2:$B$501,A419,'Protein Sales'!$F$2:$F$501)+SUMIF('Diet Support'!$B$2:$B$501,A419,'Diet Support'!$E$2:$E$501))</f>
        <v/>
      </c>
      <c r="G419" s="21" t="str">
        <f aca="false">IF(OR(A419="",COUNTIF('Injection Sales'!$B$2:$B$501,A419)=0),"",IFERROR(LOOKUP(2,1/(('Injection Sales'!$B$2:$B$501=A419)*('Injection Sales'!$A$2:$A$501=_xlfn.MAXIFS('Injection Sales'!$A$2:$A$501,'Injection Sales'!$B$2:$B$501,A419))),'Injection Sales'!$E$2:$E$501),""))</f>
        <v/>
      </c>
      <c r="H419" s="21" t="str">
        <f aca="false">IF(OR(A419="",COUNTIF('Injection Sales'!$B$2:$B$501,A419)=0),"",IFERROR(LOOKUP(2,1/(('Injection Sales'!$B$2:$B$501=A419)*('Injection Sales'!$A$2:$A$501=_xlfn.MAXIFS('Injection Sales'!$A$2:$A$501,'Injection Sales'!$B$2:$B$501,A419))),'Injection Sales'!$H$2:$H$501),""))</f>
        <v/>
      </c>
      <c r="I419" s="21" t="str">
        <f aca="true">IF(OR(A419="",D419=""),"",IF(TODAY()-D419&lt;=Settings!$B$7,"Active","Inactive"))</f>
        <v/>
      </c>
    </row>
    <row r="420" customFormat="false" ht="15" hidden="false" customHeight="false" outlineLevel="0" collapsed="false">
      <c r="A420" s="1"/>
      <c r="B420" s="22"/>
      <c r="C420" s="18" t="str">
        <f aca="false">IF(OR(A420="",COUNTIF('Injection Sales'!$B$2:$B$501,A420)+COUNTIF('Protein Sales'!$B$2:$B$501,A420)+COUNTIF('Diet Support'!$B$2:$B$501,A420)=0),"",MIN(IF(COUNTIF('Injection Sales'!$B$2:$B$501,A420),_xlfn.MINIFS('Injection Sales'!$A$2:$A$501,'Injection Sales'!$B$2:$B$501,A420),99999),IF(COUNTIF('Protein Sales'!$B$2:$B$501,A420),_xlfn.MINIFS('Protein Sales'!$A$2:$A$501,'Protein Sales'!$B$2:$B$501,A420),99999),IF(COUNTIF('Diet Support'!$B$2:$B$501,A420),_xlfn.MINIFS('Diet Support'!$A$2:$A$501,'Diet Support'!$B$2:$B$501,A420),99999)))</f>
        <v/>
      </c>
      <c r="D420" s="18" t="str">
        <f aca="false">IF(OR(A420="",COUNTIF('Injection Sales'!$B$2:$B$501,A420)+COUNTIF('Protein Sales'!$B$2:$B$501,A420)+COUNTIF('Diet Support'!$B$2:$B$501,A420)=0),"",MAX(_xlfn.MAXIFS('Injection Sales'!$A$2:$A$501,'Injection Sales'!$B$2:$B$501,A420),_xlfn.MAXIFS('Protein Sales'!$A$2:$A$501,'Protein Sales'!$B$2:$B$501,A420),_xlfn.MAXIFS('Diet Support'!$A$2:$A$501,'Diet Support'!$B$2:$B$501,A420)))</f>
        <v/>
      </c>
      <c r="E420" s="19" t="str">
        <f aca="false">IF(A420="","",COUNTIF('Injection Sales'!$B$2:$B$501,A420)+COUNTIF('Protein Sales'!$B$2:$B$501,A420)+COUNTIF('Diet Support'!$B$2:$B$501,A420))</f>
        <v/>
      </c>
      <c r="F420" s="20" t="str">
        <f aca="false">IF(A420="","",SUMIF('Injection Sales'!$B$2:$B$501,A420,'Injection Sales'!$G$2:$G$501)+SUMIF('Protein Sales'!$B$2:$B$501,A420,'Protein Sales'!$F$2:$F$501)+SUMIF('Diet Support'!$B$2:$B$501,A420,'Diet Support'!$E$2:$E$501))</f>
        <v/>
      </c>
      <c r="G420" s="21" t="str">
        <f aca="false">IF(OR(A420="",COUNTIF('Injection Sales'!$B$2:$B$501,A420)=0),"",IFERROR(LOOKUP(2,1/(('Injection Sales'!$B$2:$B$501=A420)*('Injection Sales'!$A$2:$A$501=_xlfn.MAXIFS('Injection Sales'!$A$2:$A$501,'Injection Sales'!$B$2:$B$501,A420))),'Injection Sales'!$E$2:$E$501),""))</f>
        <v/>
      </c>
      <c r="H420" s="21" t="str">
        <f aca="false">IF(OR(A420="",COUNTIF('Injection Sales'!$B$2:$B$501,A420)=0),"",IFERROR(LOOKUP(2,1/(('Injection Sales'!$B$2:$B$501=A420)*('Injection Sales'!$A$2:$A$501=_xlfn.MAXIFS('Injection Sales'!$A$2:$A$501,'Injection Sales'!$B$2:$B$501,A420))),'Injection Sales'!$H$2:$H$501),""))</f>
        <v/>
      </c>
      <c r="I420" s="21" t="str">
        <f aca="true">IF(OR(A420="",D420=""),"",IF(TODAY()-D420&lt;=Settings!$B$7,"Active","Inactive"))</f>
        <v/>
      </c>
    </row>
    <row r="421" customFormat="false" ht="15" hidden="false" customHeight="false" outlineLevel="0" collapsed="false">
      <c r="A421" s="1"/>
      <c r="B421" s="22"/>
      <c r="C421" s="18" t="str">
        <f aca="false">IF(OR(A421="",COUNTIF('Injection Sales'!$B$2:$B$501,A421)+COUNTIF('Protein Sales'!$B$2:$B$501,A421)+COUNTIF('Diet Support'!$B$2:$B$501,A421)=0),"",MIN(IF(COUNTIF('Injection Sales'!$B$2:$B$501,A421),_xlfn.MINIFS('Injection Sales'!$A$2:$A$501,'Injection Sales'!$B$2:$B$501,A421),99999),IF(COUNTIF('Protein Sales'!$B$2:$B$501,A421),_xlfn.MINIFS('Protein Sales'!$A$2:$A$501,'Protein Sales'!$B$2:$B$501,A421),99999),IF(COUNTIF('Diet Support'!$B$2:$B$501,A421),_xlfn.MINIFS('Diet Support'!$A$2:$A$501,'Diet Support'!$B$2:$B$501,A421),99999)))</f>
        <v/>
      </c>
      <c r="D421" s="18" t="str">
        <f aca="false">IF(OR(A421="",COUNTIF('Injection Sales'!$B$2:$B$501,A421)+COUNTIF('Protein Sales'!$B$2:$B$501,A421)+COUNTIF('Diet Support'!$B$2:$B$501,A421)=0),"",MAX(_xlfn.MAXIFS('Injection Sales'!$A$2:$A$501,'Injection Sales'!$B$2:$B$501,A421),_xlfn.MAXIFS('Protein Sales'!$A$2:$A$501,'Protein Sales'!$B$2:$B$501,A421),_xlfn.MAXIFS('Diet Support'!$A$2:$A$501,'Diet Support'!$B$2:$B$501,A421)))</f>
        <v/>
      </c>
      <c r="E421" s="19" t="str">
        <f aca="false">IF(A421="","",COUNTIF('Injection Sales'!$B$2:$B$501,A421)+COUNTIF('Protein Sales'!$B$2:$B$501,A421)+COUNTIF('Diet Support'!$B$2:$B$501,A421))</f>
        <v/>
      </c>
      <c r="F421" s="20" t="str">
        <f aca="false">IF(A421="","",SUMIF('Injection Sales'!$B$2:$B$501,A421,'Injection Sales'!$G$2:$G$501)+SUMIF('Protein Sales'!$B$2:$B$501,A421,'Protein Sales'!$F$2:$F$501)+SUMIF('Diet Support'!$B$2:$B$501,A421,'Diet Support'!$E$2:$E$501))</f>
        <v/>
      </c>
      <c r="G421" s="21" t="str">
        <f aca="false">IF(OR(A421="",COUNTIF('Injection Sales'!$B$2:$B$501,A421)=0),"",IFERROR(LOOKUP(2,1/(('Injection Sales'!$B$2:$B$501=A421)*('Injection Sales'!$A$2:$A$501=_xlfn.MAXIFS('Injection Sales'!$A$2:$A$501,'Injection Sales'!$B$2:$B$501,A421))),'Injection Sales'!$E$2:$E$501),""))</f>
        <v/>
      </c>
      <c r="H421" s="21" t="str">
        <f aca="false">IF(OR(A421="",COUNTIF('Injection Sales'!$B$2:$B$501,A421)=0),"",IFERROR(LOOKUP(2,1/(('Injection Sales'!$B$2:$B$501=A421)*('Injection Sales'!$A$2:$A$501=_xlfn.MAXIFS('Injection Sales'!$A$2:$A$501,'Injection Sales'!$B$2:$B$501,A421))),'Injection Sales'!$H$2:$H$501),""))</f>
        <v/>
      </c>
      <c r="I421" s="21" t="str">
        <f aca="true">IF(OR(A421="",D421=""),"",IF(TODAY()-D421&lt;=Settings!$B$7,"Active","Inactive"))</f>
        <v/>
      </c>
    </row>
    <row r="422" customFormat="false" ht="15" hidden="false" customHeight="false" outlineLevel="0" collapsed="false">
      <c r="A422" s="1"/>
      <c r="B422" s="22"/>
      <c r="C422" s="18" t="str">
        <f aca="false">IF(OR(A422="",COUNTIF('Injection Sales'!$B$2:$B$501,A422)+COUNTIF('Protein Sales'!$B$2:$B$501,A422)+COUNTIF('Diet Support'!$B$2:$B$501,A422)=0),"",MIN(IF(COUNTIF('Injection Sales'!$B$2:$B$501,A422),_xlfn.MINIFS('Injection Sales'!$A$2:$A$501,'Injection Sales'!$B$2:$B$501,A422),99999),IF(COUNTIF('Protein Sales'!$B$2:$B$501,A422),_xlfn.MINIFS('Protein Sales'!$A$2:$A$501,'Protein Sales'!$B$2:$B$501,A422),99999),IF(COUNTIF('Diet Support'!$B$2:$B$501,A422),_xlfn.MINIFS('Diet Support'!$A$2:$A$501,'Diet Support'!$B$2:$B$501,A422),99999)))</f>
        <v/>
      </c>
      <c r="D422" s="18" t="str">
        <f aca="false">IF(OR(A422="",COUNTIF('Injection Sales'!$B$2:$B$501,A422)+COUNTIF('Protein Sales'!$B$2:$B$501,A422)+COUNTIF('Diet Support'!$B$2:$B$501,A422)=0),"",MAX(_xlfn.MAXIFS('Injection Sales'!$A$2:$A$501,'Injection Sales'!$B$2:$B$501,A422),_xlfn.MAXIFS('Protein Sales'!$A$2:$A$501,'Protein Sales'!$B$2:$B$501,A422),_xlfn.MAXIFS('Diet Support'!$A$2:$A$501,'Diet Support'!$B$2:$B$501,A422)))</f>
        <v/>
      </c>
      <c r="E422" s="19" t="str">
        <f aca="false">IF(A422="","",COUNTIF('Injection Sales'!$B$2:$B$501,A422)+COUNTIF('Protein Sales'!$B$2:$B$501,A422)+COUNTIF('Diet Support'!$B$2:$B$501,A422))</f>
        <v/>
      </c>
      <c r="F422" s="20" t="str">
        <f aca="false">IF(A422="","",SUMIF('Injection Sales'!$B$2:$B$501,A422,'Injection Sales'!$G$2:$G$501)+SUMIF('Protein Sales'!$B$2:$B$501,A422,'Protein Sales'!$F$2:$F$501)+SUMIF('Diet Support'!$B$2:$B$501,A422,'Diet Support'!$E$2:$E$501))</f>
        <v/>
      </c>
      <c r="G422" s="21" t="str">
        <f aca="false">IF(OR(A422="",COUNTIF('Injection Sales'!$B$2:$B$501,A422)=0),"",IFERROR(LOOKUP(2,1/(('Injection Sales'!$B$2:$B$501=A422)*('Injection Sales'!$A$2:$A$501=_xlfn.MAXIFS('Injection Sales'!$A$2:$A$501,'Injection Sales'!$B$2:$B$501,A422))),'Injection Sales'!$E$2:$E$501),""))</f>
        <v/>
      </c>
      <c r="H422" s="21" t="str">
        <f aca="false">IF(OR(A422="",COUNTIF('Injection Sales'!$B$2:$B$501,A422)=0),"",IFERROR(LOOKUP(2,1/(('Injection Sales'!$B$2:$B$501=A422)*('Injection Sales'!$A$2:$A$501=_xlfn.MAXIFS('Injection Sales'!$A$2:$A$501,'Injection Sales'!$B$2:$B$501,A422))),'Injection Sales'!$H$2:$H$501),""))</f>
        <v/>
      </c>
      <c r="I422" s="21" t="str">
        <f aca="true">IF(OR(A422="",D422=""),"",IF(TODAY()-D422&lt;=Settings!$B$7,"Active","Inactive"))</f>
        <v/>
      </c>
    </row>
    <row r="423" customFormat="false" ht="15" hidden="false" customHeight="false" outlineLevel="0" collapsed="false">
      <c r="A423" s="1"/>
      <c r="B423" s="22"/>
      <c r="C423" s="18" t="str">
        <f aca="false">IF(OR(A423="",COUNTIF('Injection Sales'!$B$2:$B$501,A423)+COUNTIF('Protein Sales'!$B$2:$B$501,A423)+COUNTIF('Diet Support'!$B$2:$B$501,A423)=0),"",MIN(IF(COUNTIF('Injection Sales'!$B$2:$B$501,A423),_xlfn.MINIFS('Injection Sales'!$A$2:$A$501,'Injection Sales'!$B$2:$B$501,A423),99999),IF(COUNTIF('Protein Sales'!$B$2:$B$501,A423),_xlfn.MINIFS('Protein Sales'!$A$2:$A$501,'Protein Sales'!$B$2:$B$501,A423),99999),IF(COUNTIF('Diet Support'!$B$2:$B$501,A423),_xlfn.MINIFS('Diet Support'!$A$2:$A$501,'Diet Support'!$B$2:$B$501,A423),99999)))</f>
        <v/>
      </c>
      <c r="D423" s="18" t="str">
        <f aca="false">IF(OR(A423="",COUNTIF('Injection Sales'!$B$2:$B$501,A423)+COUNTIF('Protein Sales'!$B$2:$B$501,A423)+COUNTIF('Diet Support'!$B$2:$B$501,A423)=0),"",MAX(_xlfn.MAXIFS('Injection Sales'!$A$2:$A$501,'Injection Sales'!$B$2:$B$501,A423),_xlfn.MAXIFS('Protein Sales'!$A$2:$A$501,'Protein Sales'!$B$2:$B$501,A423),_xlfn.MAXIFS('Diet Support'!$A$2:$A$501,'Diet Support'!$B$2:$B$501,A423)))</f>
        <v/>
      </c>
      <c r="E423" s="19" t="str">
        <f aca="false">IF(A423="","",COUNTIF('Injection Sales'!$B$2:$B$501,A423)+COUNTIF('Protein Sales'!$B$2:$B$501,A423)+COUNTIF('Diet Support'!$B$2:$B$501,A423))</f>
        <v/>
      </c>
      <c r="F423" s="20" t="str">
        <f aca="false">IF(A423="","",SUMIF('Injection Sales'!$B$2:$B$501,A423,'Injection Sales'!$G$2:$G$501)+SUMIF('Protein Sales'!$B$2:$B$501,A423,'Protein Sales'!$F$2:$F$501)+SUMIF('Diet Support'!$B$2:$B$501,A423,'Diet Support'!$E$2:$E$501))</f>
        <v/>
      </c>
      <c r="G423" s="21" t="str">
        <f aca="false">IF(OR(A423="",COUNTIF('Injection Sales'!$B$2:$B$501,A423)=0),"",IFERROR(LOOKUP(2,1/(('Injection Sales'!$B$2:$B$501=A423)*('Injection Sales'!$A$2:$A$501=_xlfn.MAXIFS('Injection Sales'!$A$2:$A$501,'Injection Sales'!$B$2:$B$501,A423))),'Injection Sales'!$E$2:$E$501),""))</f>
        <v/>
      </c>
      <c r="H423" s="21" t="str">
        <f aca="false">IF(OR(A423="",COUNTIF('Injection Sales'!$B$2:$B$501,A423)=0),"",IFERROR(LOOKUP(2,1/(('Injection Sales'!$B$2:$B$501=A423)*('Injection Sales'!$A$2:$A$501=_xlfn.MAXIFS('Injection Sales'!$A$2:$A$501,'Injection Sales'!$B$2:$B$501,A423))),'Injection Sales'!$H$2:$H$501),""))</f>
        <v/>
      </c>
      <c r="I423" s="21" t="str">
        <f aca="true">IF(OR(A423="",D423=""),"",IF(TODAY()-D423&lt;=Settings!$B$7,"Active","Inactive"))</f>
        <v/>
      </c>
    </row>
    <row r="424" customFormat="false" ht="15" hidden="false" customHeight="false" outlineLevel="0" collapsed="false">
      <c r="A424" s="1"/>
      <c r="B424" s="22"/>
      <c r="C424" s="18" t="str">
        <f aca="false">IF(OR(A424="",COUNTIF('Injection Sales'!$B$2:$B$501,A424)+COUNTIF('Protein Sales'!$B$2:$B$501,A424)+COUNTIF('Diet Support'!$B$2:$B$501,A424)=0),"",MIN(IF(COUNTIF('Injection Sales'!$B$2:$B$501,A424),_xlfn.MINIFS('Injection Sales'!$A$2:$A$501,'Injection Sales'!$B$2:$B$501,A424),99999),IF(COUNTIF('Protein Sales'!$B$2:$B$501,A424),_xlfn.MINIFS('Protein Sales'!$A$2:$A$501,'Protein Sales'!$B$2:$B$501,A424),99999),IF(COUNTIF('Diet Support'!$B$2:$B$501,A424),_xlfn.MINIFS('Diet Support'!$A$2:$A$501,'Diet Support'!$B$2:$B$501,A424),99999)))</f>
        <v/>
      </c>
      <c r="D424" s="18" t="str">
        <f aca="false">IF(OR(A424="",COUNTIF('Injection Sales'!$B$2:$B$501,A424)+COUNTIF('Protein Sales'!$B$2:$B$501,A424)+COUNTIF('Diet Support'!$B$2:$B$501,A424)=0),"",MAX(_xlfn.MAXIFS('Injection Sales'!$A$2:$A$501,'Injection Sales'!$B$2:$B$501,A424),_xlfn.MAXIFS('Protein Sales'!$A$2:$A$501,'Protein Sales'!$B$2:$B$501,A424),_xlfn.MAXIFS('Diet Support'!$A$2:$A$501,'Diet Support'!$B$2:$B$501,A424)))</f>
        <v/>
      </c>
      <c r="E424" s="19" t="str">
        <f aca="false">IF(A424="","",COUNTIF('Injection Sales'!$B$2:$B$501,A424)+COUNTIF('Protein Sales'!$B$2:$B$501,A424)+COUNTIF('Diet Support'!$B$2:$B$501,A424))</f>
        <v/>
      </c>
      <c r="F424" s="20" t="str">
        <f aca="false">IF(A424="","",SUMIF('Injection Sales'!$B$2:$B$501,A424,'Injection Sales'!$G$2:$G$501)+SUMIF('Protein Sales'!$B$2:$B$501,A424,'Protein Sales'!$F$2:$F$501)+SUMIF('Diet Support'!$B$2:$B$501,A424,'Diet Support'!$E$2:$E$501))</f>
        <v/>
      </c>
      <c r="G424" s="21" t="str">
        <f aca="false">IF(OR(A424="",COUNTIF('Injection Sales'!$B$2:$B$501,A424)=0),"",IFERROR(LOOKUP(2,1/(('Injection Sales'!$B$2:$B$501=A424)*('Injection Sales'!$A$2:$A$501=_xlfn.MAXIFS('Injection Sales'!$A$2:$A$501,'Injection Sales'!$B$2:$B$501,A424))),'Injection Sales'!$E$2:$E$501),""))</f>
        <v/>
      </c>
      <c r="H424" s="21" t="str">
        <f aca="false">IF(OR(A424="",COUNTIF('Injection Sales'!$B$2:$B$501,A424)=0),"",IFERROR(LOOKUP(2,1/(('Injection Sales'!$B$2:$B$501=A424)*('Injection Sales'!$A$2:$A$501=_xlfn.MAXIFS('Injection Sales'!$A$2:$A$501,'Injection Sales'!$B$2:$B$501,A424))),'Injection Sales'!$H$2:$H$501),""))</f>
        <v/>
      </c>
      <c r="I424" s="21" t="str">
        <f aca="true">IF(OR(A424="",D424=""),"",IF(TODAY()-D424&lt;=Settings!$B$7,"Active","Inactive"))</f>
        <v/>
      </c>
    </row>
    <row r="425" customFormat="false" ht="15" hidden="false" customHeight="false" outlineLevel="0" collapsed="false">
      <c r="A425" s="1"/>
      <c r="B425" s="22"/>
      <c r="C425" s="18" t="str">
        <f aca="false">IF(OR(A425="",COUNTIF('Injection Sales'!$B$2:$B$501,A425)+COUNTIF('Protein Sales'!$B$2:$B$501,A425)+COUNTIF('Diet Support'!$B$2:$B$501,A425)=0),"",MIN(IF(COUNTIF('Injection Sales'!$B$2:$B$501,A425),_xlfn.MINIFS('Injection Sales'!$A$2:$A$501,'Injection Sales'!$B$2:$B$501,A425),99999),IF(COUNTIF('Protein Sales'!$B$2:$B$501,A425),_xlfn.MINIFS('Protein Sales'!$A$2:$A$501,'Protein Sales'!$B$2:$B$501,A425),99999),IF(COUNTIF('Diet Support'!$B$2:$B$501,A425),_xlfn.MINIFS('Diet Support'!$A$2:$A$501,'Diet Support'!$B$2:$B$501,A425),99999)))</f>
        <v/>
      </c>
      <c r="D425" s="18" t="str">
        <f aca="false">IF(OR(A425="",COUNTIF('Injection Sales'!$B$2:$B$501,A425)+COUNTIF('Protein Sales'!$B$2:$B$501,A425)+COUNTIF('Diet Support'!$B$2:$B$501,A425)=0),"",MAX(_xlfn.MAXIFS('Injection Sales'!$A$2:$A$501,'Injection Sales'!$B$2:$B$501,A425),_xlfn.MAXIFS('Protein Sales'!$A$2:$A$501,'Protein Sales'!$B$2:$B$501,A425),_xlfn.MAXIFS('Diet Support'!$A$2:$A$501,'Diet Support'!$B$2:$B$501,A425)))</f>
        <v/>
      </c>
      <c r="E425" s="19" t="str">
        <f aca="false">IF(A425="","",COUNTIF('Injection Sales'!$B$2:$B$501,A425)+COUNTIF('Protein Sales'!$B$2:$B$501,A425)+COUNTIF('Diet Support'!$B$2:$B$501,A425))</f>
        <v/>
      </c>
      <c r="F425" s="20" t="str">
        <f aca="false">IF(A425="","",SUMIF('Injection Sales'!$B$2:$B$501,A425,'Injection Sales'!$G$2:$G$501)+SUMIF('Protein Sales'!$B$2:$B$501,A425,'Protein Sales'!$F$2:$F$501)+SUMIF('Diet Support'!$B$2:$B$501,A425,'Diet Support'!$E$2:$E$501))</f>
        <v/>
      </c>
      <c r="G425" s="21" t="str">
        <f aca="false">IF(OR(A425="",COUNTIF('Injection Sales'!$B$2:$B$501,A425)=0),"",IFERROR(LOOKUP(2,1/(('Injection Sales'!$B$2:$B$501=A425)*('Injection Sales'!$A$2:$A$501=_xlfn.MAXIFS('Injection Sales'!$A$2:$A$501,'Injection Sales'!$B$2:$B$501,A425))),'Injection Sales'!$E$2:$E$501),""))</f>
        <v/>
      </c>
      <c r="H425" s="21" t="str">
        <f aca="false">IF(OR(A425="",COUNTIF('Injection Sales'!$B$2:$B$501,A425)=0),"",IFERROR(LOOKUP(2,1/(('Injection Sales'!$B$2:$B$501=A425)*('Injection Sales'!$A$2:$A$501=_xlfn.MAXIFS('Injection Sales'!$A$2:$A$501,'Injection Sales'!$B$2:$B$501,A425))),'Injection Sales'!$H$2:$H$501),""))</f>
        <v/>
      </c>
      <c r="I425" s="21" t="str">
        <f aca="true">IF(OR(A425="",D425=""),"",IF(TODAY()-D425&lt;=Settings!$B$7,"Active","Inactive"))</f>
        <v/>
      </c>
    </row>
    <row r="426" customFormat="false" ht="15" hidden="false" customHeight="false" outlineLevel="0" collapsed="false">
      <c r="A426" s="1"/>
      <c r="B426" s="22"/>
      <c r="C426" s="18" t="str">
        <f aca="false">IF(OR(A426="",COUNTIF('Injection Sales'!$B$2:$B$501,A426)+COUNTIF('Protein Sales'!$B$2:$B$501,A426)+COUNTIF('Diet Support'!$B$2:$B$501,A426)=0),"",MIN(IF(COUNTIF('Injection Sales'!$B$2:$B$501,A426),_xlfn.MINIFS('Injection Sales'!$A$2:$A$501,'Injection Sales'!$B$2:$B$501,A426),99999),IF(COUNTIF('Protein Sales'!$B$2:$B$501,A426),_xlfn.MINIFS('Protein Sales'!$A$2:$A$501,'Protein Sales'!$B$2:$B$501,A426),99999),IF(COUNTIF('Diet Support'!$B$2:$B$501,A426),_xlfn.MINIFS('Diet Support'!$A$2:$A$501,'Diet Support'!$B$2:$B$501,A426),99999)))</f>
        <v/>
      </c>
      <c r="D426" s="18" t="str">
        <f aca="false">IF(OR(A426="",COUNTIF('Injection Sales'!$B$2:$B$501,A426)+COUNTIF('Protein Sales'!$B$2:$B$501,A426)+COUNTIF('Diet Support'!$B$2:$B$501,A426)=0),"",MAX(_xlfn.MAXIFS('Injection Sales'!$A$2:$A$501,'Injection Sales'!$B$2:$B$501,A426),_xlfn.MAXIFS('Protein Sales'!$A$2:$A$501,'Protein Sales'!$B$2:$B$501,A426),_xlfn.MAXIFS('Diet Support'!$A$2:$A$501,'Diet Support'!$B$2:$B$501,A426)))</f>
        <v/>
      </c>
      <c r="E426" s="19" t="str">
        <f aca="false">IF(A426="","",COUNTIF('Injection Sales'!$B$2:$B$501,A426)+COUNTIF('Protein Sales'!$B$2:$B$501,A426)+COUNTIF('Diet Support'!$B$2:$B$501,A426))</f>
        <v/>
      </c>
      <c r="F426" s="20" t="str">
        <f aca="false">IF(A426="","",SUMIF('Injection Sales'!$B$2:$B$501,A426,'Injection Sales'!$G$2:$G$501)+SUMIF('Protein Sales'!$B$2:$B$501,A426,'Protein Sales'!$F$2:$F$501)+SUMIF('Diet Support'!$B$2:$B$501,A426,'Diet Support'!$E$2:$E$501))</f>
        <v/>
      </c>
      <c r="G426" s="21" t="str">
        <f aca="false">IF(OR(A426="",COUNTIF('Injection Sales'!$B$2:$B$501,A426)=0),"",IFERROR(LOOKUP(2,1/(('Injection Sales'!$B$2:$B$501=A426)*('Injection Sales'!$A$2:$A$501=_xlfn.MAXIFS('Injection Sales'!$A$2:$A$501,'Injection Sales'!$B$2:$B$501,A426))),'Injection Sales'!$E$2:$E$501),""))</f>
        <v/>
      </c>
      <c r="H426" s="21" t="str">
        <f aca="false">IF(OR(A426="",COUNTIF('Injection Sales'!$B$2:$B$501,A426)=0),"",IFERROR(LOOKUP(2,1/(('Injection Sales'!$B$2:$B$501=A426)*('Injection Sales'!$A$2:$A$501=_xlfn.MAXIFS('Injection Sales'!$A$2:$A$501,'Injection Sales'!$B$2:$B$501,A426))),'Injection Sales'!$H$2:$H$501),""))</f>
        <v/>
      </c>
      <c r="I426" s="21" t="str">
        <f aca="true">IF(OR(A426="",D426=""),"",IF(TODAY()-D426&lt;=Settings!$B$7,"Active","Inactive"))</f>
        <v/>
      </c>
    </row>
    <row r="427" customFormat="false" ht="15" hidden="false" customHeight="false" outlineLevel="0" collapsed="false">
      <c r="A427" s="1"/>
      <c r="B427" s="22"/>
      <c r="C427" s="18" t="str">
        <f aca="false">IF(OR(A427="",COUNTIF('Injection Sales'!$B$2:$B$501,A427)+COUNTIF('Protein Sales'!$B$2:$B$501,A427)+COUNTIF('Diet Support'!$B$2:$B$501,A427)=0),"",MIN(IF(COUNTIF('Injection Sales'!$B$2:$B$501,A427),_xlfn.MINIFS('Injection Sales'!$A$2:$A$501,'Injection Sales'!$B$2:$B$501,A427),99999),IF(COUNTIF('Protein Sales'!$B$2:$B$501,A427),_xlfn.MINIFS('Protein Sales'!$A$2:$A$501,'Protein Sales'!$B$2:$B$501,A427),99999),IF(COUNTIF('Diet Support'!$B$2:$B$501,A427),_xlfn.MINIFS('Diet Support'!$A$2:$A$501,'Diet Support'!$B$2:$B$501,A427),99999)))</f>
        <v/>
      </c>
      <c r="D427" s="18" t="str">
        <f aca="false">IF(OR(A427="",COUNTIF('Injection Sales'!$B$2:$B$501,A427)+COUNTIF('Protein Sales'!$B$2:$B$501,A427)+COUNTIF('Diet Support'!$B$2:$B$501,A427)=0),"",MAX(_xlfn.MAXIFS('Injection Sales'!$A$2:$A$501,'Injection Sales'!$B$2:$B$501,A427),_xlfn.MAXIFS('Protein Sales'!$A$2:$A$501,'Protein Sales'!$B$2:$B$501,A427),_xlfn.MAXIFS('Diet Support'!$A$2:$A$501,'Diet Support'!$B$2:$B$501,A427)))</f>
        <v/>
      </c>
      <c r="E427" s="19" t="str">
        <f aca="false">IF(A427="","",COUNTIF('Injection Sales'!$B$2:$B$501,A427)+COUNTIF('Protein Sales'!$B$2:$B$501,A427)+COUNTIF('Diet Support'!$B$2:$B$501,A427))</f>
        <v/>
      </c>
      <c r="F427" s="20" t="str">
        <f aca="false">IF(A427="","",SUMIF('Injection Sales'!$B$2:$B$501,A427,'Injection Sales'!$G$2:$G$501)+SUMIF('Protein Sales'!$B$2:$B$501,A427,'Protein Sales'!$F$2:$F$501)+SUMIF('Diet Support'!$B$2:$B$501,A427,'Diet Support'!$E$2:$E$501))</f>
        <v/>
      </c>
      <c r="G427" s="21" t="str">
        <f aca="false">IF(OR(A427="",COUNTIF('Injection Sales'!$B$2:$B$501,A427)=0),"",IFERROR(LOOKUP(2,1/(('Injection Sales'!$B$2:$B$501=A427)*('Injection Sales'!$A$2:$A$501=_xlfn.MAXIFS('Injection Sales'!$A$2:$A$501,'Injection Sales'!$B$2:$B$501,A427))),'Injection Sales'!$E$2:$E$501),""))</f>
        <v/>
      </c>
      <c r="H427" s="21" t="str">
        <f aca="false">IF(OR(A427="",COUNTIF('Injection Sales'!$B$2:$B$501,A427)=0),"",IFERROR(LOOKUP(2,1/(('Injection Sales'!$B$2:$B$501=A427)*('Injection Sales'!$A$2:$A$501=_xlfn.MAXIFS('Injection Sales'!$A$2:$A$501,'Injection Sales'!$B$2:$B$501,A427))),'Injection Sales'!$H$2:$H$501),""))</f>
        <v/>
      </c>
      <c r="I427" s="21" t="str">
        <f aca="true">IF(OR(A427="",D427=""),"",IF(TODAY()-D427&lt;=Settings!$B$7,"Active","Inactive"))</f>
        <v/>
      </c>
    </row>
    <row r="428" customFormat="false" ht="15" hidden="false" customHeight="false" outlineLevel="0" collapsed="false">
      <c r="A428" s="1"/>
      <c r="B428" s="22"/>
      <c r="C428" s="18" t="str">
        <f aca="false">IF(OR(A428="",COUNTIF('Injection Sales'!$B$2:$B$501,A428)+COUNTIF('Protein Sales'!$B$2:$B$501,A428)+COUNTIF('Diet Support'!$B$2:$B$501,A428)=0),"",MIN(IF(COUNTIF('Injection Sales'!$B$2:$B$501,A428),_xlfn.MINIFS('Injection Sales'!$A$2:$A$501,'Injection Sales'!$B$2:$B$501,A428),99999),IF(COUNTIF('Protein Sales'!$B$2:$B$501,A428),_xlfn.MINIFS('Protein Sales'!$A$2:$A$501,'Protein Sales'!$B$2:$B$501,A428),99999),IF(COUNTIF('Diet Support'!$B$2:$B$501,A428),_xlfn.MINIFS('Diet Support'!$A$2:$A$501,'Diet Support'!$B$2:$B$501,A428),99999)))</f>
        <v/>
      </c>
      <c r="D428" s="18" t="str">
        <f aca="false">IF(OR(A428="",COUNTIF('Injection Sales'!$B$2:$B$501,A428)+COUNTIF('Protein Sales'!$B$2:$B$501,A428)+COUNTIF('Diet Support'!$B$2:$B$501,A428)=0),"",MAX(_xlfn.MAXIFS('Injection Sales'!$A$2:$A$501,'Injection Sales'!$B$2:$B$501,A428),_xlfn.MAXIFS('Protein Sales'!$A$2:$A$501,'Protein Sales'!$B$2:$B$501,A428),_xlfn.MAXIFS('Diet Support'!$A$2:$A$501,'Diet Support'!$B$2:$B$501,A428)))</f>
        <v/>
      </c>
      <c r="E428" s="19" t="str">
        <f aca="false">IF(A428="","",COUNTIF('Injection Sales'!$B$2:$B$501,A428)+COUNTIF('Protein Sales'!$B$2:$B$501,A428)+COUNTIF('Diet Support'!$B$2:$B$501,A428))</f>
        <v/>
      </c>
      <c r="F428" s="20" t="str">
        <f aca="false">IF(A428="","",SUMIF('Injection Sales'!$B$2:$B$501,A428,'Injection Sales'!$G$2:$G$501)+SUMIF('Protein Sales'!$B$2:$B$501,A428,'Protein Sales'!$F$2:$F$501)+SUMIF('Diet Support'!$B$2:$B$501,A428,'Diet Support'!$E$2:$E$501))</f>
        <v/>
      </c>
      <c r="G428" s="21" t="str">
        <f aca="false">IF(OR(A428="",COUNTIF('Injection Sales'!$B$2:$B$501,A428)=0),"",IFERROR(LOOKUP(2,1/(('Injection Sales'!$B$2:$B$501=A428)*('Injection Sales'!$A$2:$A$501=_xlfn.MAXIFS('Injection Sales'!$A$2:$A$501,'Injection Sales'!$B$2:$B$501,A428))),'Injection Sales'!$E$2:$E$501),""))</f>
        <v/>
      </c>
      <c r="H428" s="21" t="str">
        <f aca="false">IF(OR(A428="",COUNTIF('Injection Sales'!$B$2:$B$501,A428)=0),"",IFERROR(LOOKUP(2,1/(('Injection Sales'!$B$2:$B$501=A428)*('Injection Sales'!$A$2:$A$501=_xlfn.MAXIFS('Injection Sales'!$A$2:$A$501,'Injection Sales'!$B$2:$B$501,A428))),'Injection Sales'!$H$2:$H$501),""))</f>
        <v/>
      </c>
      <c r="I428" s="21" t="str">
        <f aca="true">IF(OR(A428="",D428=""),"",IF(TODAY()-D428&lt;=Settings!$B$7,"Active","Inactive"))</f>
        <v/>
      </c>
    </row>
    <row r="429" customFormat="false" ht="15" hidden="false" customHeight="false" outlineLevel="0" collapsed="false">
      <c r="A429" s="1"/>
      <c r="B429" s="22"/>
      <c r="C429" s="18" t="str">
        <f aca="false">IF(OR(A429="",COUNTIF('Injection Sales'!$B$2:$B$501,A429)+COUNTIF('Protein Sales'!$B$2:$B$501,A429)+COUNTIF('Diet Support'!$B$2:$B$501,A429)=0),"",MIN(IF(COUNTIF('Injection Sales'!$B$2:$B$501,A429),_xlfn.MINIFS('Injection Sales'!$A$2:$A$501,'Injection Sales'!$B$2:$B$501,A429),99999),IF(COUNTIF('Protein Sales'!$B$2:$B$501,A429),_xlfn.MINIFS('Protein Sales'!$A$2:$A$501,'Protein Sales'!$B$2:$B$501,A429),99999),IF(COUNTIF('Diet Support'!$B$2:$B$501,A429),_xlfn.MINIFS('Diet Support'!$A$2:$A$501,'Diet Support'!$B$2:$B$501,A429),99999)))</f>
        <v/>
      </c>
      <c r="D429" s="18" t="str">
        <f aca="false">IF(OR(A429="",COUNTIF('Injection Sales'!$B$2:$B$501,A429)+COUNTIF('Protein Sales'!$B$2:$B$501,A429)+COUNTIF('Diet Support'!$B$2:$B$501,A429)=0),"",MAX(_xlfn.MAXIFS('Injection Sales'!$A$2:$A$501,'Injection Sales'!$B$2:$B$501,A429),_xlfn.MAXIFS('Protein Sales'!$A$2:$A$501,'Protein Sales'!$B$2:$B$501,A429),_xlfn.MAXIFS('Diet Support'!$A$2:$A$501,'Diet Support'!$B$2:$B$501,A429)))</f>
        <v/>
      </c>
      <c r="E429" s="19" t="str">
        <f aca="false">IF(A429="","",COUNTIF('Injection Sales'!$B$2:$B$501,A429)+COUNTIF('Protein Sales'!$B$2:$B$501,A429)+COUNTIF('Diet Support'!$B$2:$B$501,A429))</f>
        <v/>
      </c>
      <c r="F429" s="20" t="str">
        <f aca="false">IF(A429="","",SUMIF('Injection Sales'!$B$2:$B$501,A429,'Injection Sales'!$G$2:$G$501)+SUMIF('Protein Sales'!$B$2:$B$501,A429,'Protein Sales'!$F$2:$F$501)+SUMIF('Diet Support'!$B$2:$B$501,A429,'Diet Support'!$E$2:$E$501))</f>
        <v/>
      </c>
      <c r="G429" s="21" t="str">
        <f aca="false">IF(OR(A429="",COUNTIF('Injection Sales'!$B$2:$B$501,A429)=0),"",IFERROR(LOOKUP(2,1/(('Injection Sales'!$B$2:$B$501=A429)*('Injection Sales'!$A$2:$A$501=_xlfn.MAXIFS('Injection Sales'!$A$2:$A$501,'Injection Sales'!$B$2:$B$501,A429))),'Injection Sales'!$E$2:$E$501),""))</f>
        <v/>
      </c>
      <c r="H429" s="21" t="str">
        <f aca="false">IF(OR(A429="",COUNTIF('Injection Sales'!$B$2:$B$501,A429)=0),"",IFERROR(LOOKUP(2,1/(('Injection Sales'!$B$2:$B$501=A429)*('Injection Sales'!$A$2:$A$501=_xlfn.MAXIFS('Injection Sales'!$A$2:$A$501,'Injection Sales'!$B$2:$B$501,A429))),'Injection Sales'!$H$2:$H$501),""))</f>
        <v/>
      </c>
      <c r="I429" s="21" t="str">
        <f aca="true">IF(OR(A429="",D429=""),"",IF(TODAY()-D429&lt;=Settings!$B$7,"Active","Inactive"))</f>
        <v/>
      </c>
    </row>
    <row r="430" customFormat="false" ht="15" hidden="false" customHeight="false" outlineLevel="0" collapsed="false">
      <c r="A430" s="1"/>
      <c r="B430" s="22"/>
      <c r="C430" s="18" t="str">
        <f aca="false">IF(OR(A430="",COUNTIF('Injection Sales'!$B$2:$B$501,A430)+COUNTIF('Protein Sales'!$B$2:$B$501,A430)+COUNTIF('Diet Support'!$B$2:$B$501,A430)=0),"",MIN(IF(COUNTIF('Injection Sales'!$B$2:$B$501,A430),_xlfn.MINIFS('Injection Sales'!$A$2:$A$501,'Injection Sales'!$B$2:$B$501,A430),99999),IF(COUNTIF('Protein Sales'!$B$2:$B$501,A430),_xlfn.MINIFS('Protein Sales'!$A$2:$A$501,'Protein Sales'!$B$2:$B$501,A430),99999),IF(COUNTIF('Diet Support'!$B$2:$B$501,A430),_xlfn.MINIFS('Diet Support'!$A$2:$A$501,'Diet Support'!$B$2:$B$501,A430),99999)))</f>
        <v/>
      </c>
      <c r="D430" s="18" t="str">
        <f aca="false">IF(OR(A430="",COUNTIF('Injection Sales'!$B$2:$B$501,A430)+COUNTIF('Protein Sales'!$B$2:$B$501,A430)+COUNTIF('Diet Support'!$B$2:$B$501,A430)=0),"",MAX(_xlfn.MAXIFS('Injection Sales'!$A$2:$A$501,'Injection Sales'!$B$2:$B$501,A430),_xlfn.MAXIFS('Protein Sales'!$A$2:$A$501,'Protein Sales'!$B$2:$B$501,A430),_xlfn.MAXIFS('Diet Support'!$A$2:$A$501,'Diet Support'!$B$2:$B$501,A430)))</f>
        <v/>
      </c>
      <c r="E430" s="19" t="str">
        <f aca="false">IF(A430="","",COUNTIF('Injection Sales'!$B$2:$B$501,A430)+COUNTIF('Protein Sales'!$B$2:$B$501,A430)+COUNTIF('Diet Support'!$B$2:$B$501,A430))</f>
        <v/>
      </c>
      <c r="F430" s="20" t="str">
        <f aca="false">IF(A430="","",SUMIF('Injection Sales'!$B$2:$B$501,A430,'Injection Sales'!$G$2:$G$501)+SUMIF('Protein Sales'!$B$2:$B$501,A430,'Protein Sales'!$F$2:$F$501)+SUMIF('Diet Support'!$B$2:$B$501,A430,'Diet Support'!$E$2:$E$501))</f>
        <v/>
      </c>
      <c r="G430" s="21" t="str">
        <f aca="false">IF(OR(A430="",COUNTIF('Injection Sales'!$B$2:$B$501,A430)=0),"",IFERROR(LOOKUP(2,1/(('Injection Sales'!$B$2:$B$501=A430)*('Injection Sales'!$A$2:$A$501=_xlfn.MAXIFS('Injection Sales'!$A$2:$A$501,'Injection Sales'!$B$2:$B$501,A430))),'Injection Sales'!$E$2:$E$501),""))</f>
        <v/>
      </c>
      <c r="H430" s="21" t="str">
        <f aca="false">IF(OR(A430="",COUNTIF('Injection Sales'!$B$2:$B$501,A430)=0),"",IFERROR(LOOKUP(2,1/(('Injection Sales'!$B$2:$B$501=A430)*('Injection Sales'!$A$2:$A$501=_xlfn.MAXIFS('Injection Sales'!$A$2:$A$501,'Injection Sales'!$B$2:$B$501,A430))),'Injection Sales'!$H$2:$H$501),""))</f>
        <v/>
      </c>
      <c r="I430" s="21" t="str">
        <f aca="true">IF(OR(A430="",D430=""),"",IF(TODAY()-D430&lt;=Settings!$B$7,"Active","Inactive"))</f>
        <v/>
      </c>
    </row>
    <row r="431" customFormat="false" ht="15" hidden="false" customHeight="false" outlineLevel="0" collapsed="false">
      <c r="A431" s="1"/>
      <c r="B431" s="22"/>
      <c r="C431" s="18" t="str">
        <f aca="false">IF(OR(A431="",COUNTIF('Injection Sales'!$B$2:$B$501,A431)+COUNTIF('Protein Sales'!$B$2:$B$501,A431)+COUNTIF('Diet Support'!$B$2:$B$501,A431)=0),"",MIN(IF(COUNTIF('Injection Sales'!$B$2:$B$501,A431),_xlfn.MINIFS('Injection Sales'!$A$2:$A$501,'Injection Sales'!$B$2:$B$501,A431),99999),IF(COUNTIF('Protein Sales'!$B$2:$B$501,A431),_xlfn.MINIFS('Protein Sales'!$A$2:$A$501,'Protein Sales'!$B$2:$B$501,A431),99999),IF(COUNTIF('Diet Support'!$B$2:$B$501,A431),_xlfn.MINIFS('Diet Support'!$A$2:$A$501,'Diet Support'!$B$2:$B$501,A431),99999)))</f>
        <v/>
      </c>
      <c r="D431" s="18" t="str">
        <f aca="false">IF(OR(A431="",COUNTIF('Injection Sales'!$B$2:$B$501,A431)+COUNTIF('Protein Sales'!$B$2:$B$501,A431)+COUNTIF('Diet Support'!$B$2:$B$501,A431)=0),"",MAX(_xlfn.MAXIFS('Injection Sales'!$A$2:$A$501,'Injection Sales'!$B$2:$B$501,A431),_xlfn.MAXIFS('Protein Sales'!$A$2:$A$501,'Protein Sales'!$B$2:$B$501,A431),_xlfn.MAXIFS('Diet Support'!$A$2:$A$501,'Diet Support'!$B$2:$B$501,A431)))</f>
        <v/>
      </c>
      <c r="E431" s="19" t="str">
        <f aca="false">IF(A431="","",COUNTIF('Injection Sales'!$B$2:$B$501,A431)+COUNTIF('Protein Sales'!$B$2:$B$501,A431)+COUNTIF('Diet Support'!$B$2:$B$501,A431))</f>
        <v/>
      </c>
      <c r="F431" s="20" t="str">
        <f aca="false">IF(A431="","",SUMIF('Injection Sales'!$B$2:$B$501,A431,'Injection Sales'!$G$2:$G$501)+SUMIF('Protein Sales'!$B$2:$B$501,A431,'Protein Sales'!$F$2:$F$501)+SUMIF('Diet Support'!$B$2:$B$501,A431,'Diet Support'!$E$2:$E$501))</f>
        <v/>
      </c>
      <c r="G431" s="21" t="str">
        <f aca="false">IF(OR(A431="",COUNTIF('Injection Sales'!$B$2:$B$501,A431)=0),"",IFERROR(LOOKUP(2,1/(('Injection Sales'!$B$2:$B$501=A431)*('Injection Sales'!$A$2:$A$501=_xlfn.MAXIFS('Injection Sales'!$A$2:$A$501,'Injection Sales'!$B$2:$B$501,A431))),'Injection Sales'!$E$2:$E$501),""))</f>
        <v/>
      </c>
      <c r="H431" s="21" t="str">
        <f aca="false">IF(OR(A431="",COUNTIF('Injection Sales'!$B$2:$B$501,A431)=0),"",IFERROR(LOOKUP(2,1/(('Injection Sales'!$B$2:$B$501=A431)*('Injection Sales'!$A$2:$A$501=_xlfn.MAXIFS('Injection Sales'!$A$2:$A$501,'Injection Sales'!$B$2:$B$501,A431))),'Injection Sales'!$H$2:$H$501),""))</f>
        <v/>
      </c>
      <c r="I431" s="21" t="str">
        <f aca="true">IF(OR(A431="",D431=""),"",IF(TODAY()-D431&lt;=Settings!$B$7,"Active","Inactive"))</f>
        <v/>
      </c>
    </row>
    <row r="432" customFormat="false" ht="15" hidden="false" customHeight="false" outlineLevel="0" collapsed="false">
      <c r="A432" s="1"/>
      <c r="B432" s="22"/>
      <c r="C432" s="18" t="str">
        <f aca="false">IF(OR(A432="",COUNTIF('Injection Sales'!$B$2:$B$501,A432)+COUNTIF('Protein Sales'!$B$2:$B$501,A432)+COUNTIF('Diet Support'!$B$2:$B$501,A432)=0),"",MIN(IF(COUNTIF('Injection Sales'!$B$2:$B$501,A432),_xlfn.MINIFS('Injection Sales'!$A$2:$A$501,'Injection Sales'!$B$2:$B$501,A432),99999),IF(COUNTIF('Protein Sales'!$B$2:$B$501,A432),_xlfn.MINIFS('Protein Sales'!$A$2:$A$501,'Protein Sales'!$B$2:$B$501,A432),99999),IF(COUNTIF('Diet Support'!$B$2:$B$501,A432),_xlfn.MINIFS('Diet Support'!$A$2:$A$501,'Diet Support'!$B$2:$B$501,A432),99999)))</f>
        <v/>
      </c>
      <c r="D432" s="18" t="str">
        <f aca="false">IF(OR(A432="",COUNTIF('Injection Sales'!$B$2:$B$501,A432)+COUNTIF('Protein Sales'!$B$2:$B$501,A432)+COUNTIF('Diet Support'!$B$2:$B$501,A432)=0),"",MAX(_xlfn.MAXIFS('Injection Sales'!$A$2:$A$501,'Injection Sales'!$B$2:$B$501,A432),_xlfn.MAXIFS('Protein Sales'!$A$2:$A$501,'Protein Sales'!$B$2:$B$501,A432),_xlfn.MAXIFS('Diet Support'!$A$2:$A$501,'Diet Support'!$B$2:$B$501,A432)))</f>
        <v/>
      </c>
      <c r="E432" s="19" t="str">
        <f aca="false">IF(A432="","",COUNTIF('Injection Sales'!$B$2:$B$501,A432)+COUNTIF('Protein Sales'!$B$2:$B$501,A432)+COUNTIF('Diet Support'!$B$2:$B$501,A432))</f>
        <v/>
      </c>
      <c r="F432" s="20" t="str">
        <f aca="false">IF(A432="","",SUMIF('Injection Sales'!$B$2:$B$501,A432,'Injection Sales'!$G$2:$G$501)+SUMIF('Protein Sales'!$B$2:$B$501,A432,'Protein Sales'!$F$2:$F$501)+SUMIF('Diet Support'!$B$2:$B$501,A432,'Diet Support'!$E$2:$E$501))</f>
        <v/>
      </c>
      <c r="G432" s="21" t="str">
        <f aca="false">IF(OR(A432="",COUNTIF('Injection Sales'!$B$2:$B$501,A432)=0),"",IFERROR(LOOKUP(2,1/(('Injection Sales'!$B$2:$B$501=A432)*('Injection Sales'!$A$2:$A$501=_xlfn.MAXIFS('Injection Sales'!$A$2:$A$501,'Injection Sales'!$B$2:$B$501,A432))),'Injection Sales'!$E$2:$E$501),""))</f>
        <v/>
      </c>
      <c r="H432" s="21" t="str">
        <f aca="false">IF(OR(A432="",COUNTIF('Injection Sales'!$B$2:$B$501,A432)=0),"",IFERROR(LOOKUP(2,1/(('Injection Sales'!$B$2:$B$501=A432)*('Injection Sales'!$A$2:$A$501=_xlfn.MAXIFS('Injection Sales'!$A$2:$A$501,'Injection Sales'!$B$2:$B$501,A432))),'Injection Sales'!$H$2:$H$501),""))</f>
        <v/>
      </c>
      <c r="I432" s="21" t="str">
        <f aca="true">IF(OR(A432="",D432=""),"",IF(TODAY()-D432&lt;=Settings!$B$7,"Active","Inactive"))</f>
        <v/>
      </c>
    </row>
    <row r="433" customFormat="false" ht="15" hidden="false" customHeight="false" outlineLevel="0" collapsed="false">
      <c r="A433" s="1"/>
      <c r="B433" s="22"/>
      <c r="C433" s="18" t="str">
        <f aca="false">IF(OR(A433="",COUNTIF('Injection Sales'!$B$2:$B$501,A433)+COUNTIF('Protein Sales'!$B$2:$B$501,A433)+COUNTIF('Diet Support'!$B$2:$B$501,A433)=0),"",MIN(IF(COUNTIF('Injection Sales'!$B$2:$B$501,A433),_xlfn.MINIFS('Injection Sales'!$A$2:$A$501,'Injection Sales'!$B$2:$B$501,A433),99999),IF(COUNTIF('Protein Sales'!$B$2:$B$501,A433),_xlfn.MINIFS('Protein Sales'!$A$2:$A$501,'Protein Sales'!$B$2:$B$501,A433),99999),IF(COUNTIF('Diet Support'!$B$2:$B$501,A433),_xlfn.MINIFS('Diet Support'!$A$2:$A$501,'Diet Support'!$B$2:$B$501,A433),99999)))</f>
        <v/>
      </c>
      <c r="D433" s="18" t="str">
        <f aca="false">IF(OR(A433="",COUNTIF('Injection Sales'!$B$2:$B$501,A433)+COUNTIF('Protein Sales'!$B$2:$B$501,A433)+COUNTIF('Diet Support'!$B$2:$B$501,A433)=0),"",MAX(_xlfn.MAXIFS('Injection Sales'!$A$2:$A$501,'Injection Sales'!$B$2:$B$501,A433),_xlfn.MAXIFS('Protein Sales'!$A$2:$A$501,'Protein Sales'!$B$2:$B$501,A433),_xlfn.MAXIFS('Diet Support'!$A$2:$A$501,'Diet Support'!$B$2:$B$501,A433)))</f>
        <v/>
      </c>
      <c r="E433" s="19" t="str">
        <f aca="false">IF(A433="","",COUNTIF('Injection Sales'!$B$2:$B$501,A433)+COUNTIF('Protein Sales'!$B$2:$B$501,A433)+COUNTIF('Diet Support'!$B$2:$B$501,A433))</f>
        <v/>
      </c>
      <c r="F433" s="20" t="str">
        <f aca="false">IF(A433="","",SUMIF('Injection Sales'!$B$2:$B$501,A433,'Injection Sales'!$G$2:$G$501)+SUMIF('Protein Sales'!$B$2:$B$501,A433,'Protein Sales'!$F$2:$F$501)+SUMIF('Diet Support'!$B$2:$B$501,A433,'Diet Support'!$E$2:$E$501))</f>
        <v/>
      </c>
      <c r="G433" s="21" t="str">
        <f aca="false">IF(OR(A433="",COUNTIF('Injection Sales'!$B$2:$B$501,A433)=0),"",IFERROR(LOOKUP(2,1/(('Injection Sales'!$B$2:$B$501=A433)*('Injection Sales'!$A$2:$A$501=_xlfn.MAXIFS('Injection Sales'!$A$2:$A$501,'Injection Sales'!$B$2:$B$501,A433))),'Injection Sales'!$E$2:$E$501),""))</f>
        <v/>
      </c>
      <c r="H433" s="21" t="str">
        <f aca="false">IF(OR(A433="",COUNTIF('Injection Sales'!$B$2:$B$501,A433)=0),"",IFERROR(LOOKUP(2,1/(('Injection Sales'!$B$2:$B$501=A433)*('Injection Sales'!$A$2:$A$501=_xlfn.MAXIFS('Injection Sales'!$A$2:$A$501,'Injection Sales'!$B$2:$B$501,A433))),'Injection Sales'!$H$2:$H$501),""))</f>
        <v/>
      </c>
      <c r="I433" s="21" t="str">
        <f aca="true">IF(OR(A433="",D433=""),"",IF(TODAY()-D433&lt;=Settings!$B$7,"Active","Inactive"))</f>
        <v/>
      </c>
    </row>
    <row r="434" customFormat="false" ht="15" hidden="false" customHeight="false" outlineLevel="0" collapsed="false">
      <c r="A434" s="1"/>
      <c r="B434" s="22"/>
      <c r="C434" s="18" t="str">
        <f aca="false">IF(OR(A434="",COUNTIF('Injection Sales'!$B$2:$B$501,A434)+COUNTIF('Protein Sales'!$B$2:$B$501,A434)+COUNTIF('Diet Support'!$B$2:$B$501,A434)=0),"",MIN(IF(COUNTIF('Injection Sales'!$B$2:$B$501,A434),_xlfn.MINIFS('Injection Sales'!$A$2:$A$501,'Injection Sales'!$B$2:$B$501,A434),99999),IF(COUNTIF('Protein Sales'!$B$2:$B$501,A434),_xlfn.MINIFS('Protein Sales'!$A$2:$A$501,'Protein Sales'!$B$2:$B$501,A434),99999),IF(COUNTIF('Diet Support'!$B$2:$B$501,A434),_xlfn.MINIFS('Diet Support'!$A$2:$A$501,'Diet Support'!$B$2:$B$501,A434),99999)))</f>
        <v/>
      </c>
      <c r="D434" s="18" t="str">
        <f aca="false">IF(OR(A434="",COUNTIF('Injection Sales'!$B$2:$B$501,A434)+COUNTIF('Protein Sales'!$B$2:$B$501,A434)+COUNTIF('Diet Support'!$B$2:$B$501,A434)=0),"",MAX(_xlfn.MAXIFS('Injection Sales'!$A$2:$A$501,'Injection Sales'!$B$2:$B$501,A434),_xlfn.MAXIFS('Protein Sales'!$A$2:$A$501,'Protein Sales'!$B$2:$B$501,A434),_xlfn.MAXIFS('Diet Support'!$A$2:$A$501,'Diet Support'!$B$2:$B$501,A434)))</f>
        <v/>
      </c>
      <c r="E434" s="19" t="str">
        <f aca="false">IF(A434="","",COUNTIF('Injection Sales'!$B$2:$B$501,A434)+COUNTIF('Protein Sales'!$B$2:$B$501,A434)+COUNTIF('Diet Support'!$B$2:$B$501,A434))</f>
        <v/>
      </c>
      <c r="F434" s="20" t="str">
        <f aca="false">IF(A434="","",SUMIF('Injection Sales'!$B$2:$B$501,A434,'Injection Sales'!$G$2:$G$501)+SUMIF('Protein Sales'!$B$2:$B$501,A434,'Protein Sales'!$F$2:$F$501)+SUMIF('Diet Support'!$B$2:$B$501,A434,'Diet Support'!$E$2:$E$501))</f>
        <v/>
      </c>
      <c r="G434" s="21" t="str">
        <f aca="false">IF(OR(A434="",COUNTIF('Injection Sales'!$B$2:$B$501,A434)=0),"",IFERROR(LOOKUP(2,1/(('Injection Sales'!$B$2:$B$501=A434)*('Injection Sales'!$A$2:$A$501=_xlfn.MAXIFS('Injection Sales'!$A$2:$A$501,'Injection Sales'!$B$2:$B$501,A434))),'Injection Sales'!$E$2:$E$501),""))</f>
        <v/>
      </c>
      <c r="H434" s="21" t="str">
        <f aca="false">IF(OR(A434="",COUNTIF('Injection Sales'!$B$2:$B$501,A434)=0),"",IFERROR(LOOKUP(2,1/(('Injection Sales'!$B$2:$B$501=A434)*('Injection Sales'!$A$2:$A$501=_xlfn.MAXIFS('Injection Sales'!$A$2:$A$501,'Injection Sales'!$B$2:$B$501,A434))),'Injection Sales'!$H$2:$H$501),""))</f>
        <v/>
      </c>
      <c r="I434" s="21" t="str">
        <f aca="true">IF(OR(A434="",D434=""),"",IF(TODAY()-D434&lt;=Settings!$B$7,"Active","Inactive"))</f>
        <v/>
      </c>
    </row>
    <row r="435" customFormat="false" ht="15" hidden="false" customHeight="false" outlineLevel="0" collapsed="false">
      <c r="A435" s="1"/>
      <c r="B435" s="22"/>
      <c r="C435" s="18" t="str">
        <f aca="false">IF(OR(A435="",COUNTIF('Injection Sales'!$B$2:$B$501,A435)+COUNTIF('Protein Sales'!$B$2:$B$501,A435)+COUNTIF('Diet Support'!$B$2:$B$501,A435)=0),"",MIN(IF(COUNTIF('Injection Sales'!$B$2:$B$501,A435),_xlfn.MINIFS('Injection Sales'!$A$2:$A$501,'Injection Sales'!$B$2:$B$501,A435),99999),IF(COUNTIF('Protein Sales'!$B$2:$B$501,A435),_xlfn.MINIFS('Protein Sales'!$A$2:$A$501,'Protein Sales'!$B$2:$B$501,A435),99999),IF(COUNTIF('Diet Support'!$B$2:$B$501,A435),_xlfn.MINIFS('Diet Support'!$A$2:$A$501,'Diet Support'!$B$2:$B$501,A435),99999)))</f>
        <v/>
      </c>
      <c r="D435" s="18" t="str">
        <f aca="false">IF(OR(A435="",COUNTIF('Injection Sales'!$B$2:$B$501,A435)+COUNTIF('Protein Sales'!$B$2:$B$501,A435)+COUNTIF('Diet Support'!$B$2:$B$501,A435)=0),"",MAX(_xlfn.MAXIFS('Injection Sales'!$A$2:$A$501,'Injection Sales'!$B$2:$B$501,A435),_xlfn.MAXIFS('Protein Sales'!$A$2:$A$501,'Protein Sales'!$B$2:$B$501,A435),_xlfn.MAXIFS('Diet Support'!$A$2:$A$501,'Diet Support'!$B$2:$B$501,A435)))</f>
        <v/>
      </c>
      <c r="E435" s="19" t="str">
        <f aca="false">IF(A435="","",COUNTIF('Injection Sales'!$B$2:$B$501,A435)+COUNTIF('Protein Sales'!$B$2:$B$501,A435)+COUNTIF('Diet Support'!$B$2:$B$501,A435))</f>
        <v/>
      </c>
      <c r="F435" s="20" t="str">
        <f aca="false">IF(A435="","",SUMIF('Injection Sales'!$B$2:$B$501,A435,'Injection Sales'!$G$2:$G$501)+SUMIF('Protein Sales'!$B$2:$B$501,A435,'Protein Sales'!$F$2:$F$501)+SUMIF('Diet Support'!$B$2:$B$501,A435,'Diet Support'!$E$2:$E$501))</f>
        <v/>
      </c>
      <c r="G435" s="21" t="str">
        <f aca="false">IF(OR(A435="",COUNTIF('Injection Sales'!$B$2:$B$501,A435)=0),"",IFERROR(LOOKUP(2,1/(('Injection Sales'!$B$2:$B$501=A435)*('Injection Sales'!$A$2:$A$501=_xlfn.MAXIFS('Injection Sales'!$A$2:$A$501,'Injection Sales'!$B$2:$B$501,A435))),'Injection Sales'!$E$2:$E$501),""))</f>
        <v/>
      </c>
      <c r="H435" s="21" t="str">
        <f aca="false">IF(OR(A435="",COUNTIF('Injection Sales'!$B$2:$B$501,A435)=0),"",IFERROR(LOOKUP(2,1/(('Injection Sales'!$B$2:$B$501=A435)*('Injection Sales'!$A$2:$A$501=_xlfn.MAXIFS('Injection Sales'!$A$2:$A$501,'Injection Sales'!$B$2:$B$501,A435))),'Injection Sales'!$H$2:$H$501),""))</f>
        <v/>
      </c>
      <c r="I435" s="21" t="str">
        <f aca="true">IF(OR(A435="",D435=""),"",IF(TODAY()-D435&lt;=Settings!$B$7,"Active","Inactive"))</f>
        <v/>
      </c>
    </row>
    <row r="436" customFormat="false" ht="15" hidden="false" customHeight="false" outlineLevel="0" collapsed="false">
      <c r="A436" s="1"/>
      <c r="B436" s="22"/>
      <c r="C436" s="18" t="str">
        <f aca="false">IF(OR(A436="",COUNTIF('Injection Sales'!$B$2:$B$501,A436)+COUNTIF('Protein Sales'!$B$2:$B$501,A436)+COUNTIF('Diet Support'!$B$2:$B$501,A436)=0),"",MIN(IF(COUNTIF('Injection Sales'!$B$2:$B$501,A436),_xlfn.MINIFS('Injection Sales'!$A$2:$A$501,'Injection Sales'!$B$2:$B$501,A436),99999),IF(COUNTIF('Protein Sales'!$B$2:$B$501,A436),_xlfn.MINIFS('Protein Sales'!$A$2:$A$501,'Protein Sales'!$B$2:$B$501,A436),99999),IF(COUNTIF('Diet Support'!$B$2:$B$501,A436),_xlfn.MINIFS('Diet Support'!$A$2:$A$501,'Diet Support'!$B$2:$B$501,A436),99999)))</f>
        <v/>
      </c>
      <c r="D436" s="18" t="str">
        <f aca="false">IF(OR(A436="",COUNTIF('Injection Sales'!$B$2:$B$501,A436)+COUNTIF('Protein Sales'!$B$2:$B$501,A436)+COUNTIF('Diet Support'!$B$2:$B$501,A436)=0),"",MAX(_xlfn.MAXIFS('Injection Sales'!$A$2:$A$501,'Injection Sales'!$B$2:$B$501,A436),_xlfn.MAXIFS('Protein Sales'!$A$2:$A$501,'Protein Sales'!$B$2:$B$501,A436),_xlfn.MAXIFS('Diet Support'!$A$2:$A$501,'Diet Support'!$B$2:$B$501,A436)))</f>
        <v/>
      </c>
      <c r="E436" s="19" t="str">
        <f aca="false">IF(A436="","",COUNTIF('Injection Sales'!$B$2:$B$501,A436)+COUNTIF('Protein Sales'!$B$2:$B$501,A436)+COUNTIF('Diet Support'!$B$2:$B$501,A436))</f>
        <v/>
      </c>
      <c r="F436" s="20" t="str">
        <f aca="false">IF(A436="","",SUMIF('Injection Sales'!$B$2:$B$501,A436,'Injection Sales'!$G$2:$G$501)+SUMIF('Protein Sales'!$B$2:$B$501,A436,'Protein Sales'!$F$2:$F$501)+SUMIF('Diet Support'!$B$2:$B$501,A436,'Diet Support'!$E$2:$E$501))</f>
        <v/>
      </c>
      <c r="G436" s="21" t="str">
        <f aca="false">IF(OR(A436="",COUNTIF('Injection Sales'!$B$2:$B$501,A436)=0),"",IFERROR(LOOKUP(2,1/(('Injection Sales'!$B$2:$B$501=A436)*('Injection Sales'!$A$2:$A$501=_xlfn.MAXIFS('Injection Sales'!$A$2:$A$501,'Injection Sales'!$B$2:$B$501,A436))),'Injection Sales'!$E$2:$E$501),""))</f>
        <v/>
      </c>
      <c r="H436" s="21" t="str">
        <f aca="false">IF(OR(A436="",COUNTIF('Injection Sales'!$B$2:$B$501,A436)=0),"",IFERROR(LOOKUP(2,1/(('Injection Sales'!$B$2:$B$501=A436)*('Injection Sales'!$A$2:$A$501=_xlfn.MAXIFS('Injection Sales'!$A$2:$A$501,'Injection Sales'!$B$2:$B$501,A436))),'Injection Sales'!$H$2:$H$501),""))</f>
        <v/>
      </c>
      <c r="I436" s="21" t="str">
        <f aca="true">IF(OR(A436="",D436=""),"",IF(TODAY()-D436&lt;=Settings!$B$7,"Active","Inactive"))</f>
        <v/>
      </c>
    </row>
    <row r="437" customFormat="false" ht="15" hidden="false" customHeight="false" outlineLevel="0" collapsed="false">
      <c r="A437" s="1"/>
      <c r="B437" s="22"/>
      <c r="C437" s="18" t="str">
        <f aca="false">IF(OR(A437="",COUNTIF('Injection Sales'!$B$2:$B$501,A437)+COUNTIF('Protein Sales'!$B$2:$B$501,A437)+COUNTIF('Diet Support'!$B$2:$B$501,A437)=0),"",MIN(IF(COUNTIF('Injection Sales'!$B$2:$B$501,A437),_xlfn.MINIFS('Injection Sales'!$A$2:$A$501,'Injection Sales'!$B$2:$B$501,A437),99999),IF(COUNTIF('Protein Sales'!$B$2:$B$501,A437),_xlfn.MINIFS('Protein Sales'!$A$2:$A$501,'Protein Sales'!$B$2:$B$501,A437),99999),IF(COUNTIF('Diet Support'!$B$2:$B$501,A437),_xlfn.MINIFS('Diet Support'!$A$2:$A$501,'Diet Support'!$B$2:$B$501,A437),99999)))</f>
        <v/>
      </c>
      <c r="D437" s="18" t="str">
        <f aca="false">IF(OR(A437="",COUNTIF('Injection Sales'!$B$2:$B$501,A437)+COUNTIF('Protein Sales'!$B$2:$B$501,A437)+COUNTIF('Diet Support'!$B$2:$B$501,A437)=0),"",MAX(_xlfn.MAXIFS('Injection Sales'!$A$2:$A$501,'Injection Sales'!$B$2:$B$501,A437),_xlfn.MAXIFS('Protein Sales'!$A$2:$A$501,'Protein Sales'!$B$2:$B$501,A437),_xlfn.MAXIFS('Diet Support'!$A$2:$A$501,'Diet Support'!$B$2:$B$501,A437)))</f>
        <v/>
      </c>
      <c r="E437" s="19" t="str">
        <f aca="false">IF(A437="","",COUNTIF('Injection Sales'!$B$2:$B$501,A437)+COUNTIF('Protein Sales'!$B$2:$B$501,A437)+COUNTIF('Diet Support'!$B$2:$B$501,A437))</f>
        <v/>
      </c>
      <c r="F437" s="20" t="str">
        <f aca="false">IF(A437="","",SUMIF('Injection Sales'!$B$2:$B$501,A437,'Injection Sales'!$G$2:$G$501)+SUMIF('Protein Sales'!$B$2:$B$501,A437,'Protein Sales'!$F$2:$F$501)+SUMIF('Diet Support'!$B$2:$B$501,A437,'Diet Support'!$E$2:$E$501))</f>
        <v/>
      </c>
      <c r="G437" s="21" t="str">
        <f aca="false">IF(OR(A437="",COUNTIF('Injection Sales'!$B$2:$B$501,A437)=0),"",IFERROR(LOOKUP(2,1/(('Injection Sales'!$B$2:$B$501=A437)*('Injection Sales'!$A$2:$A$501=_xlfn.MAXIFS('Injection Sales'!$A$2:$A$501,'Injection Sales'!$B$2:$B$501,A437))),'Injection Sales'!$E$2:$E$501),""))</f>
        <v/>
      </c>
      <c r="H437" s="21" t="str">
        <f aca="false">IF(OR(A437="",COUNTIF('Injection Sales'!$B$2:$B$501,A437)=0),"",IFERROR(LOOKUP(2,1/(('Injection Sales'!$B$2:$B$501=A437)*('Injection Sales'!$A$2:$A$501=_xlfn.MAXIFS('Injection Sales'!$A$2:$A$501,'Injection Sales'!$B$2:$B$501,A437))),'Injection Sales'!$H$2:$H$501),""))</f>
        <v/>
      </c>
      <c r="I437" s="21" t="str">
        <f aca="true">IF(OR(A437="",D437=""),"",IF(TODAY()-D437&lt;=Settings!$B$7,"Active","Inactive"))</f>
        <v/>
      </c>
    </row>
    <row r="438" customFormat="false" ht="15" hidden="false" customHeight="false" outlineLevel="0" collapsed="false">
      <c r="A438" s="1"/>
      <c r="B438" s="22"/>
      <c r="C438" s="18" t="str">
        <f aca="false">IF(OR(A438="",COUNTIF('Injection Sales'!$B$2:$B$501,A438)+COUNTIF('Protein Sales'!$B$2:$B$501,A438)+COUNTIF('Diet Support'!$B$2:$B$501,A438)=0),"",MIN(IF(COUNTIF('Injection Sales'!$B$2:$B$501,A438),_xlfn.MINIFS('Injection Sales'!$A$2:$A$501,'Injection Sales'!$B$2:$B$501,A438),99999),IF(COUNTIF('Protein Sales'!$B$2:$B$501,A438),_xlfn.MINIFS('Protein Sales'!$A$2:$A$501,'Protein Sales'!$B$2:$B$501,A438),99999),IF(COUNTIF('Diet Support'!$B$2:$B$501,A438),_xlfn.MINIFS('Diet Support'!$A$2:$A$501,'Diet Support'!$B$2:$B$501,A438),99999)))</f>
        <v/>
      </c>
      <c r="D438" s="18" t="str">
        <f aca="false">IF(OR(A438="",COUNTIF('Injection Sales'!$B$2:$B$501,A438)+COUNTIF('Protein Sales'!$B$2:$B$501,A438)+COUNTIF('Diet Support'!$B$2:$B$501,A438)=0),"",MAX(_xlfn.MAXIFS('Injection Sales'!$A$2:$A$501,'Injection Sales'!$B$2:$B$501,A438),_xlfn.MAXIFS('Protein Sales'!$A$2:$A$501,'Protein Sales'!$B$2:$B$501,A438),_xlfn.MAXIFS('Diet Support'!$A$2:$A$501,'Diet Support'!$B$2:$B$501,A438)))</f>
        <v/>
      </c>
      <c r="E438" s="19" t="str">
        <f aca="false">IF(A438="","",COUNTIF('Injection Sales'!$B$2:$B$501,A438)+COUNTIF('Protein Sales'!$B$2:$B$501,A438)+COUNTIF('Diet Support'!$B$2:$B$501,A438))</f>
        <v/>
      </c>
      <c r="F438" s="20" t="str">
        <f aca="false">IF(A438="","",SUMIF('Injection Sales'!$B$2:$B$501,A438,'Injection Sales'!$G$2:$G$501)+SUMIF('Protein Sales'!$B$2:$B$501,A438,'Protein Sales'!$F$2:$F$501)+SUMIF('Diet Support'!$B$2:$B$501,A438,'Diet Support'!$E$2:$E$501))</f>
        <v/>
      </c>
      <c r="G438" s="21" t="str">
        <f aca="false">IF(OR(A438="",COUNTIF('Injection Sales'!$B$2:$B$501,A438)=0),"",IFERROR(LOOKUP(2,1/(('Injection Sales'!$B$2:$B$501=A438)*('Injection Sales'!$A$2:$A$501=_xlfn.MAXIFS('Injection Sales'!$A$2:$A$501,'Injection Sales'!$B$2:$B$501,A438))),'Injection Sales'!$E$2:$E$501),""))</f>
        <v/>
      </c>
      <c r="H438" s="21" t="str">
        <f aca="false">IF(OR(A438="",COUNTIF('Injection Sales'!$B$2:$B$501,A438)=0),"",IFERROR(LOOKUP(2,1/(('Injection Sales'!$B$2:$B$501=A438)*('Injection Sales'!$A$2:$A$501=_xlfn.MAXIFS('Injection Sales'!$A$2:$A$501,'Injection Sales'!$B$2:$B$501,A438))),'Injection Sales'!$H$2:$H$501),""))</f>
        <v/>
      </c>
      <c r="I438" s="21" t="str">
        <f aca="true">IF(OR(A438="",D438=""),"",IF(TODAY()-D438&lt;=Settings!$B$7,"Active","Inactive"))</f>
        <v/>
      </c>
    </row>
    <row r="439" customFormat="false" ht="15" hidden="false" customHeight="false" outlineLevel="0" collapsed="false">
      <c r="A439" s="1"/>
      <c r="B439" s="22"/>
      <c r="C439" s="18" t="str">
        <f aca="false">IF(OR(A439="",COUNTIF('Injection Sales'!$B$2:$B$501,A439)+COUNTIF('Protein Sales'!$B$2:$B$501,A439)+COUNTIF('Diet Support'!$B$2:$B$501,A439)=0),"",MIN(IF(COUNTIF('Injection Sales'!$B$2:$B$501,A439),_xlfn.MINIFS('Injection Sales'!$A$2:$A$501,'Injection Sales'!$B$2:$B$501,A439),99999),IF(COUNTIF('Protein Sales'!$B$2:$B$501,A439),_xlfn.MINIFS('Protein Sales'!$A$2:$A$501,'Protein Sales'!$B$2:$B$501,A439),99999),IF(COUNTIF('Diet Support'!$B$2:$B$501,A439),_xlfn.MINIFS('Diet Support'!$A$2:$A$501,'Diet Support'!$B$2:$B$501,A439),99999)))</f>
        <v/>
      </c>
      <c r="D439" s="18" t="str">
        <f aca="false">IF(OR(A439="",COUNTIF('Injection Sales'!$B$2:$B$501,A439)+COUNTIF('Protein Sales'!$B$2:$B$501,A439)+COUNTIF('Diet Support'!$B$2:$B$501,A439)=0),"",MAX(_xlfn.MAXIFS('Injection Sales'!$A$2:$A$501,'Injection Sales'!$B$2:$B$501,A439),_xlfn.MAXIFS('Protein Sales'!$A$2:$A$501,'Protein Sales'!$B$2:$B$501,A439),_xlfn.MAXIFS('Diet Support'!$A$2:$A$501,'Diet Support'!$B$2:$B$501,A439)))</f>
        <v/>
      </c>
      <c r="E439" s="19" t="str">
        <f aca="false">IF(A439="","",COUNTIF('Injection Sales'!$B$2:$B$501,A439)+COUNTIF('Protein Sales'!$B$2:$B$501,A439)+COUNTIF('Diet Support'!$B$2:$B$501,A439))</f>
        <v/>
      </c>
      <c r="F439" s="20" t="str">
        <f aca="false">IF(A439="","",SUMIF('Injection Sales'!$B$2:$B$501,A439,'Injection Sales'!$G$2:$G$501)+SUMIF('Protein Sales'!$B$2:$B$501,A439,'Protein Sales'!$F$2:$F$501)+SUMIF('Diet Support'!$B$2:$B$501,A439,'Diet Support'!$E$2:$E$501))</f>
        <v/>
      </c>
      <c r="G439" s="21" t="str">
        <f aca="false">IF(OR(A439="",COUNTIF('Injection Sales'!$B$2:$B$501,A439)=0),"",IFERROR(LOOKUP(2,1/(('Injection Sales'!$B$2:$B$501=A439)*('Injection Sales'!$A$2:$A$501=_xlfn.MAXIFS('Injection Sales'!$A$2:$A$501,'Injection Sales'!$B$2:$B$501,A439))),'Injection Sales'!$E$2:$E$501),""))</f>
        <v/>
      </c>
      <c r="H439" s="21" t="str">
        <f aca="false">IF(OR(A439="",COUNTIF('Injection Sales'!$B$2:$B$501,A439)=0),"",IFERROR(LOOKUP(2,1/(('Injection Sales'!$B$2:$B$501=A439)*('Injection Sales'!$A$2:$A$501=_xlfn.MAXIFS('Injection Sales'!$A$2:$A$501,'Injection Sales'!$B$2:$B$501,A439))),'Injection Sales'!$H$2:$H$501),""))</f>
        <v/>
      </c>
      <c r="I439" s="21" t="str">
        <f aca="true">IF(OR(A439="",D439=""),"",IF(TODAY()-D439&lt;=Settings!$B$7,"Active","Inactive"))</f>
        <v/>
      </c>
    </row>
    <row r="440" customFormat="false" ht="15" hidden="false" customHeight="false" outlineLevel="0" collapsed="false">
      <c r="A440" s="1"/>
      <c r="B440" s="22"/>
      <c r="C440" s="18" t="str">
        <f aca="false">IF(OR(A440="",COUNTIF('Injection Sales'!$B$2:$B$501,A440)+COUNTIF('Protein Sales'!$B$2:$B$501,A440)+COUNTIF('Diet Support'!$B$2:$B$501,A440)=0),"",MIN(IF(COUNTIF('Injection Sales'!$B$2:$B$501,A440),_xlfn.MINIFS('Injection Sales'!$A$2:$A$501,'Injection Sales'!$B$2:$B$501,A440),99999),IF(COUNTIF('Protein Sales'!$B$2:$B$501,A440),_xlfn.MINIFS('Protein Sales'!$A$2:$A$501,'Protein Sales'!$B$2:$B$501,A440),99999),IF(COUNTIF('Diet Support'!$B$2:$B$501,A440),_xlfn.MINIFS('Diet Support'!$A$2:$A$501,'Diet Support'!$B$2:$B$501,A440),99999)))</f>
        <v/>
      </c>
      <c r="D440" s="18" t="str">
        <f aca="false">IF(OR(A440="",COUNTIF('Injection Sales'!$B$2:$B$501,A440)+COUNTIF('Protein Sales'!$B$2:$B$501,A440)+COUNTIF('Diet Support'!$B$2:$B$501,A440)=0),"",MAX(_xlfn.MAXIFS('Injection Sales'!$A$2:$A$501,'Injection Sales'!$B$2:$B$501,A440),_xlfn.MAXIFS('Protein Sales'!$A$2:$A$501,'Protein Sales'!$B$2:$B$501,A440),_xlfn.MAXIFS('Diet Support'!$A$2:$A$501,'Diet Support'!$B$2:$B$501,A440)))</f>
        <v/>
      </c>
      <c r="E440" s="19" t="str">
        <f aca="false">IF(A440="","",COUNTIF('Injection Sales'!$B$2:$B$501,A440)+COUNTIF('Protein Sales'!$B$2:$B$501,A440)+COUNTIF('Diet Support'!$B$2:$B$501,A440))</f>
        <v/>
      </c>
      <c r="F440" s="20" t="str">
        <f aca="false">IF(A440="","",SUMIF('Injection Sales'!$B$2:$B$501,A440,'Injection Sales'!$G$2:$G$501)+SUMIF('Protein Sales'!$B$2:$B$501,A440,'Protein Sales'!$F$2:$F$501)+SUMIF('Diet Support'!$B$2:$B$501,A440,'Diet Support'!$E$2:$E$501))</f>
        <v/>
      </c>
      <c r="G440" s="21" t="str">
        <f aca="false">IF(OR(A440="",COUNTIF('Injection Sales'!$B$2:$B$501,A440)=0),"",IFERROR(LOOKUP(2,1/(('Injection Sales'!$B$2:$B$501=A440)*('Injection Sales'!$A$2:$A$501=_xlfn.MAXIFS('Injection Sales'!$A$2:$A$501,'Injection Sales'!$B$2:$B$501,A440))),'Injection Sales'!$E$2:$E$501),""))</f>
        <v/>
      </c>
      <c r="H440" s="21" t="str">
        <f aca="false">IF(OR(A440="",COUNTIF('Injection Sales'!$B$2:$B$501,A440)=0),"",IFERROR(LOOKUP(2,1/(('Injection Sales'!$B$2:$B$501=A440)*('Injection Sales'!$A$2:$A$501=_xlfn.MAXIFS('Injection Sales'!$A$2:$A$501,'Injection Sales'!$B$2:$B$501,A440))),'Injection Sales'!$H$2:$H$501),""))</f>
        <v/>
      </c>
      <c r="I440" s="21" t="str">
        <f aca="true">IF(OR(A440="",D440=""),"",IF(TODAY()-D440&lt;=Settings!$B$7,"Active","Inactive"))</f>
        <v/>
      </c>
    </row>
    <row r="441" customFormat="false" ht="15" hidden="false" customHeight="false" outlineLevel="0" collapsed="false">
      <c r="A441" s="1"/>
      <c r="B441" s="22"/>
      <c r="C441" s="18" t="str">
        <f aca="false">IF(OR(A441="",COUNTIF('Injection Sales'!$B$2:$B$501,A441)+COUNTIF('Protein Sales'!$B$2:$B$501,A441)+COUNTIF('Diet Support'!$B$2:$B$501,A441)=0),"",MIN(IF(COUNTIF('Injection Sales'!$B$2:$B$501,A441),_xlfn.MINIFS('Injection Sales'!$A$2:$A$501,'Injection Sales'!$B$2:$B$501,A441),99999),IF(COUNTIF('Protein Sales'!$B$2:$B$501,A441),_xlfn.MINIFS('Protein Sales'!$A$2:$A$501,'Protein Sales'!$B$2:$B$501,A441),99999),IF(COUNTIF('Diet Support'!$B$2:$B$501,A441),_xlfn.MINIFS('Diet Support'!$A$2:$A$501,'Diet Support'!$B$2:$B$501,A441),99999)))</f>
        <v/>
      </c>
      <c r="D441" s="18" t="str">
        <f aca="false">IF(OR(A441="",COUNTIF('Injection Sales'!$B$2:$B$501,A441)+COUNTIF('Protein Sales'!$B$2:$B$501,A441)+COUNTIF('Diet Support'!$B$2:$B$501,A441)=0),"",MAX(_xlfn.MAXIFS('Injection Sales'!$A$2:$A$501,'Injection Sales'!$B$2:$B$501,A441),_xlfn.MAXIFS('Protein Sales'!$A$2:$A$501,'Protein Sales'!$B$2:$B$501,A441),_xlfn.MAXIFS('Diet Support'!$A$2:$A$501,'Diet Support'!$B$2:$B$501,A441)))</f>
        <v/>
      </c>
      <c r="E441" s="19" t="str">
        <f aca="false">IF(A441="","",COUNTIF('Injection Sales'!$B$2:$B$501,A441)+COUNTIF('Protein Sales'!$B$2:$B$501,A441)+COUNTIF('Diet Support'!$B$2:$B$501,A441))</f>
        <v/>
      </c>
      <c r="F441" s="20" t="str">
        <f aca="false">IF(A441="","",SUMIF('Injection Sales'!$B$2:$B$501,A441,'Injection Sales'!$G$2:$G$501)+SUMIF('Protein Sales'!$B$2:$B$501,A441,'Protein Sales'!$F$2:$F$501)+SUMIF('Diet Support'!$B$2:$B$501,A441,'Diet Support'!$E$2:$E$501))</f>
        <v/>
      </c>
      <c r="G441" s="21" t="str">
        <f aca="false">IF(OR(A441="",COUNTIF('Injection Sales'!$B$2:$B$501,A441)=0),"",IFERROR(LOOKUP(2,1/(('Injection Sales'!$B$2:$B$501=A441)*('Injection Sales'!$A$2:$A$501=_xlfn.MAXIFS('Injection Sales'!$A$2:$A$501,'Injection Sales'!$B$2:$B$501,A441))),'Injection Sales'!$E$2:$E$501),""))</f>
        <v/>
      </c>
      <c r="H441" s="21" t="str">
        <f aca="false">IF(OR(A441="",COUNTIF('Injection Sales'!$B$2:$B$501,A441)=0),"",IFERROR(LOOKUP(2,1/(('Injection Sales'!$B$2:$B$501=A441)*('Injection Sales'!$A$2:$A$501=_xlfn.MAXIFS('Injection Sales'!$A$2:$A$501,'Injection Sales'!$B$2:$B$501,A441))),'Injection Sales'!$H$2:$H$501),""))</f>
        <v/>
      </c>
      <c r="I441" s="21" t="str">
        <f aca="true">IF(OR(A441="",D441=""),"",IF(TODAY()-D441&lt;=Settings!$B$7,"Active","Inactive"))</f>
        <v/>
      </c>
    </row>
    <row r="442" customFormat="false" ht="15" hidden="false" customHeight="false" outlineLevel="0" collapsed="false">
      <c r="A442" s="1"/>
      <c r="B442" s="22"/>
      <c r="C442" s="18" t="str">
        <f aca="false">IF(OR(A442="",COUNTIF('Injection Sales'!$B$2:$B$501,A442)+COUNTIF('Protein Sales'!$B$2:$B$501,A442)+COUNTIF('Diet Support'!$B$2:$B$501,A442)=0),"",MIN(IF(COUNTIF('Injection Sales'!$B$2:$B$501,A442),_xlfn.MINIFS('Injection Sales'!$A$2:$A$501,'Injection Sales'!$B$2:$B$501,A442),99999),IF(COUNTIF('Protein Sales'!$B$2:$B$501,A442),_xlfn.MINIFS('Protein Sales'!$A$2:$A$501,'Protein Sales'!$B$2:$B$501,A442),99999),IF(COUNTIF('Diet Support'!$B$2:$B$501,A442),_xlfn.MINIFS('Diet Support'!$A$2:$A$501,'Diet Support'!$B$2:$B$501,A442),99999)))</f>
        <v/>
      </c>
      <c r="D442" s="18" t="str">
        <f aca="false">IF(OR(A442="",COUNTIF('Injection Sales'!$B$2:$B$501,A442)+COUNTIF('Protein Sales'!$B$2:$B$501,A442)+COUNTIF('Diet Support'!$B$2:$B$501,A442)=0),"",MAX(_xlfn.MAXIFS('Injection Sales'!$A$2:$A$501,'Injection Sales'!$B$2:$B$501,A442),_xlfn.MAXIFS('Protein Sales'!$A$2:$A$501,'Protein Sales'!$B$2:$B$501,A442),_xlfn.MAXIFS('Diet Support'!$A$2:$A$501,'Diet Support'!$B$2:$B$501,A442)))</f>
        <v/>
      </c>
      <c r="E442" s="19" t="str">
        <f aca="false">IF(A442="","",COUNTIF('Injection Sales'!$B$2:$B$501,A442)+COUNTIF('Protein Sales'!$B$2:$B$501,A442)+COUNTIF('Diet Support'!$B$2:$B$501,A442))</f>
        <v/>
      </c>
      <c r="F442" s="20" t="str">
        <f aca="false">IF(A442="","",SUMIF('Injection Sales'!$B$2:$B$501,A442,'Injection Sales'!$G$2:$G$501)+SUMIF('Protein Sales'!$B$2:$B$501,A442,'Protein Sales'!$F$2:$F$501)+SUMIF('Diet Support'!$B$2:$B$501,A442,'Diet Support'!$E$2:$E$501))</f>
        <v/>
      </c>
      <c r="G442" s="21" t="str">
        <f aca="false">IF(OR(A442="",COUNTIF('Injection Sales'!$B$2:$B$501,A442)=0),"",IFERROR(LOOKUP(2,1/(('Injection Sales'!$B$2:$B$501=A442)*('Injection Sales'!$A$2:$A$501=_xlfn.MAXIFS('Injection Sales'!$A$2:$A$501,'Injection Sales'!$B$2:$B$501,A442))),'Injection Sales'!$E$2:$E$501),""))</f>
        <v/>
      </c>
      <c r="H442" s="21" t="str">
        <f aca="false">IF(OR(A442="",COUNTIF('Injection Sales'!$B$2:$B$501,A442)=0),"",IFERROR(LOOKUP(2,1/(('Injection Sales'!$B$2:$B$501=A442)*('Injection Sales'!$A$2:$A$501=_xlfn.MAXIFS('Injection Sales'!$A$2:$A$501,'Injection Sales'!$B$2:$B$501,A442))),'Injection Sales'!$H$2:$H$501),""))</f>
        <v/>
      </c>
      <c r="I442" s="21" t="str">
        <f aca="true">IF(OR(A442="",D442=""),"",IF(TODAY()-D442&lt;=Settings!$B$7,"Active","Inactive"))</f>
        <v/>
      </c>
    </row>
    <row r="443" customFormat="false" ht="15" hidden="false" customHeight="false" outlineLevel="0" collapsed="false">
      <c r="A443" s="1"/>
      <c r="B443" s="22"/>
      <c r="C443" s="18" t="str">
        <f aca="false">IF(OR(A443="",COUNTIF('Injection Sales'!$B$2:$B$501,A443)+COUNTIF('Protein Sales'!$B$2:$B$501,A443)+COUNTIF('Diet Support'!$B$2:$B$501,A443)=0),"",MIN(IF(COUNTIF('Injection Sales'!$B$2:$B$501,A443),_xlfn.MINIFS('Injection Sales'!$A$2:$A$501,'Injection Sales'!$B$2:$B$501,A443),99999),IF(COUNTIF('Protein Sales'!$B$2:$B$501,A443),_xlfn.MINIFS('Protein Sales'!$A$2:$A$501,'Protein Sales'!$B$2:$B$501,A443),99999),IF(COUNTIF('Diet Support'!$B$2:$B$501,A443),_xlfn.MINIFS('Diet Support'!$A$2:$A$501,'Diet Support'!$B$2:$B$501,A443),99999)))</f>
        <v/>
      </c>
      <c r="D443" s="18" t="str">
        <f aca="false">IF(OR(A443="",COUNTIF('Injection Sales'!$B$2:$B$501,A443)+COUNTIF('Protein Sales'!$B$2:$B$501,A443)+COUNTIF('Diet Support'!$B$2:$B$501,A443)=0),"",MAX(_xlfn.MAXIFS('Injection Sales'!$A$2:$A$501,'Injection Sales'!$B$2:$B$501,A443),_xlfn.MAXIFS('Protein Sales'!$A$2:$A$501,'Protein Sales'!$B$2:$B$501,A443),_xlfn.MAXIFS('Diet Support'!$A$2:$A$501,'Diet Support'!$B$2:$B$501,A443)))</f>
        <v/>
      </c>
      <c r="E443" s="19" t="str">
        <f aca="false">IF(A443="","",COUNTIF('Injection Sales'!$B$2:$B$501,A443)+COUNTIF('Protein Sales'!$B$2:$B$501,A443)+COUNTIF('Diet Support'!$B$2:$B$501,A443))</f>
        <v/>
      </c>
      <c r="F443" s="20" t="str">
        <f aca="false">IF(A443="","",SUMIF('Injection Sales'!$B$2:$B$501,A443,'Injection Sales'!$G$2:$G$501)+SUMIF('Protein Sales'!$B$2:$B$501,A443,'Protein Sales'!$F$2:$F$501)+SUMIF('Diet Support'!$B$2:$B$501,A443,'Diet Support'!$E$2:$E$501))</f>
        <v/>
      </c>
      <c r="G443" s="21" t="str">
        <f aca="false">IF(OR(A443="",COUNTIF('Injection Sales'!$B$2:$B$501,A443)=0),"",IFERROR(LOOKUP(2,1/(('Injection Sales'!$B$2:$B$501=A443)*('Injection Sales'!$A$2:$A$501=_xlfn.MAXIFS('Injection Sales'!$A$2:$A$501,'Injection Sales'!$B$2:$B$501,A443))),'Injection Sales'!$E$2:$E$501),""))</f>
        <v/>
      </c>
      <c r="H443" s="21" t="str">
        <f aca="false">IF(OR(A443="",COUNTIF('Injection Sales'!$B$2:$B$501,A443)=0),"",IFERROR(LOOKUP(2,1/(('Injection Sales'!$B$2:$B$501=A443)*('Injection Sales'!$A$2:$A$501=_xlfn.MAXIFS('Injection Sales'!$A$2:$A$501,'Injection Sales'!$B$2:$B$501,A443))),'Injection Sales'!$H$2:$H$501),""))</f>
        <v/>
      </c>
      <c r="I443" s="21" t="str">
        <f aca="true">IF(OR(A443="",D443=""),"",IF(TODAY()-D443&lt;=Settings!$B$7,"Active","Inactive"))</f>
        <v/>
      </c>
    </row>
    <row r="444" customFormat="false" ht="15" hidden="false" customHeight="false" outlineLevel="0" collapsed="false">
      <c r="A444" s="1"/>
      <c r="B444" s="22"/>
      <c r="C444" s="18" t="str">
        <f aca="false">IF(OR(A444="",COUNTIF('Injection Sales'!$B$2:$B$501,A444)+COUNTIF('Protein Sales'!$B$2:$B$501,A444)+COUNTIF('Diet Support'!$B$2:$B$501,A444)=0),"",MIN(IF(COUNTIF('Injection Sales'!$B$2:$B$501,A444),_xlfn.MINIFS('Injection Sales'!$A$2:$A$501,'Injection Sales'!$B$2:$B$501,A444),99999),IF(COUNTIF('Protein Sales'!$B$2:$B$501,A444),_xlfn.MINIFS('Protein Sales'!$A$2:$A$501,'Protein Sales'!$B$2:$B$501,A444),99999),IF(COUNTIF('Diet Support'!$B$2:$B$501,A444),_xlfn.MINIFS('Diet Support'!$A$2:$A$501,'Diet Support'!$B$2:$B$501,A444),99999)))</f>
        <v/>
      </c>
      <c r="D444" s="18" t="str">
        <f aca="false">IF(OR(A444="",COUNTIF('Injection Sales'!$B$2:$B$501,A444)+COUNTIF('Protein Sales'!$B$2:$B$501,A444)+COUNTIF('Diet Support'!$B$2:$B$501,A444)=0),"",MAX(_xlfn.MAXIFS('Injection Sales'!$A$2:$A$501,'Injection Sales'!$B$2:$B$501,A444),_xlfn.MAXIFS('Protein Sales'!$A$2:$A$501,'Protein Sales'!$B$2:$B$501,A444),_xlfn.MAXIFS('Diet Support'!$A$2:$A$501,'Diet Support'!$B$2:$B$501,A444)))</f>
        <v/>
      </c>
      <c r="E444" s="19" t="str">
        <f aca="false">IF(A444="","",COUNTIF('Injection Sales'!$B$2:$B$501,A444)+COUNTIF('Protein Sales'!$B$2:$B$501,A444)+COUNTIF('Diet Support'!$B$2:$B$501,A444))</f>
        <v/>
      </c>
      <c r="F444" s="20" t="str">
        <f aca="false">IF(A444="","",SUMIF('Injection Sales'!$B$2:$B$501,A444,'Injection Sales'!$G$2:$G$501)+SUMIF('Protein Sales'!$B$2:$B$501,A444,'Protein Sales'!$F$2:$F$501)+SUMIF('Diet Support'!$B$2:$B$501,A444,'Diet Support'!$E$2:$E$501))</f>
        <v/>
      </c>
      <c r="G444" s="21" t="str">
        <f aca="false">IF(OR(A444="",COUNTIF('Injection Sales'!$B$2:$B$501,A444)=0),"",IFERROR(LOOKUP(2,1/(('Injection Sales'!$B$2:$B$501=A444)*('Injection Sales'!$A$2:$A$501=_xlfn.MAXIFS('Injection Sales'!$A$2:$A$501,'Injection Sales'!$B$2:$B$501,A444))),'Injection Sales'!$E$2:$E$501),""))</f>
        <v/>
      </c>
      <c r="H444" s="21" t="str">
        <f aca="false">IF(OR(A444="",COUNTIF('Injection Sales'!$B$2:$B$501,A444)=0),"",IFERROR(LOOKUP(2,1/(('Injection Sales'!$B$2:$B$501=A444)*('Injection Sales'!$A$2:$A$501=_xlfn.MAXIFS('Injection Sales'!$A$2:$A$501,'Injection Sales'!$B$2:$B$501,A444))),'Injection Sales'!$H$2:$H$501),""))</f>
        <v/>
      </c>
      <c r="I444" s="21" t="str">
        <f aca="true">IF(OR(A444="",D444=""),"",IF(TODAY()-D444&lt;=Settings!$B$7,"Active","Inactive"))</f>
        <v/>
      </c>
    </row>
    <row r="445" customFormat="false" ht="15" hidden="false" customHeight="false" outlineLevel="0" collapsed="false">
      <c r="A445" s="1"/>
      <c r="B445" s="22"/>
      <c r="C445" s="18" t="str">
        <f aca="false">IF(OR(A445="",COUNTIF('Injection Sales'!$B$2:$B$501,A445)+COUNTIF('Protein Sales'!$B$2:$B$501,A445)+COUNTIF('Diet Support'!$B$2:$B$501,A445)=0),"",MIN(IF(COUNTIF('Injection Sales'!$B$2:$B$501,A445),_xlfn.MINIFS('Injection Sales'!$A$2:$A$501,'Injection Sales'!$B$2:$B$501,A445),99999),IF(COUNTIF('Protein Sales'!$B$2:$B$501,A445),_xlfn.MINIFS('Protein Sales'!$A$2:$A$501,'Protein Sales'!$B$2:$B$501,A445),99999),IF(COUNTIF('Diet Support'!$B$2:$B$501,A445),_xlfn.MINIFS('Diet Support'!$A$2:$A$501,'Diet Support'!$B$2:$B$501,A445),99999)))</f>
        <v/>
      </c>
      <c r="D445" s="18" t="str">
        <f aca="false">IF(OR(A445="",COUNTIF('Injection Sales'!$B$2:$B$501,A445)+COUNTIF('Protein Sales'!$B$2:$B$501,A445)+COUNTIF('Diet Support'!$B$2:$B$501,A445)=0),"",MAX(_xlfn.MAXIFS('Injection Sales'!$A$2:$A$501,'Injection Sales'!$B$2:$B$501,A445),_xlfn.MAXIFS('Protein Sales'!$A$2:$A$501,'Protein Sales'!$B$2:$B$501,A445),_xlfn.MAXIFS('Diet Support'!$A$2:$A$501,'Diet Support'!$B$2:$B$501,A445)))</f>
        <v/>
      </c>
      <c r="E445" s="19" t="str">
        <f aca="false">IF(A445="","",COUNTIF('Injection Sales'!$B$2:$B$501,A445)+COUNTIF('Protein Sales'!$B$2:$B$501,A445)+COUNTIF('Diet Support'!$B$2:$B$501,A445))</f>
        <v/>
      </c>
      <c r="F445" s="20" t="str">
        <f aca="false">IF(A445="","",SUMIF('Injection Sales'!$B$2:$B$501,A445,'Injection Sales'!$G$2:$G$501)+SUMIF('Protein Sales'!$B$2:$B$501,A445,'Protein Sales'!$F$2:$F$501)+SUMIF('Diet Support'!$B$2:$B$501,A445,'Diet Support'!$E$2:$E$501))</f>
        <v/>
      </c>
      <c r="G445" s="21" t="str">
        <f aca="false">IF(OR(A445="",COUNTIF('Injection Sales'!$B$2:$B$501,A445)=0),"",IFERROR(LOOKUP(2,1/(('Injection Sales'!$B$2:$B$501=A445)*('Injection Sales'!$A$2:$A$501=_xlfn.MAXIFS('Injection Sales'!$A$2:$A$501,'Injection Sales'!$B$2:$B$501,A445))),'Injection Sales'!$E$2:$E$501),""))</f>
        <v/>
      </c>
      <c r="H445" s="21" t="str">
        <f aca="false">IF(OR(A445="",COUNTIF('Injection Sales'!$B$2:$B$501,A445)=0),"",IFERROR(LOOKUP(2,1/(('Injection Sales'!$B$2:$B$501=A445)*('Injection Sales'!$A$2:$A$501=_xlfn.MAXIFS('Injection Sales'!$A$2:$A$501,'Injection Sales'!$B$2:$B$501,A445))),'Injection Sales'!$H$2:$H$501),""))</f>
        <v/>
      </c>
      <c r="I445" s="21" t="str">
        <f aca="true">IF(OR(A445="",D445=""),"",IF(TODAY()-D445&lt;=Settings!$B$7,"Active","Inactive"))</f>
        <v/>
      </c>
    </row>
    <row r="446" customFormat="false" ht="15" hidden="false" customHeight="false" outlineLevel="0" collapsed="false">
      <c r="A446" s="1"/>
      <c r="B446" s="22"/>
      <c r="C446" s="18" t="str">
        <f aca="false">IF(OR(A446="",COUNTIF('Injection Sales'!$B$2:$B$501,A446)+COUNTIF('Protein Sales'!$B$2:$B$501,A446)+COUNTIF('Diet Support'!$B$2:$B$501,A446)=0),"",MIN(IF(COUNTIF('Injection Sales'!$B$2:$B$501,A446),_xlfn.MINIFS('Injection Sales'!$A$2:$A$501,'Injection Sales'!$B$2:$B$501,A446),99999),IF(COUNTIF('Protein Sales'!$B$2:$B$501,A446),_xlfn.MINIFS('Protein Sales'!$A$2:$A$501,'Protein Sales'!$B$2:$B$501,A446),99999),IF(COUNTIF('Diet Support'!$B$2:$B$501,A446),_xlfn.MINIFS('Diet Support'!$A$2:$A$501,'Diet Support'!$B$2:$B$501,A446),99999)))</f>
        <v/>
      </c>
      <c r="D446" s="18" t="str">
        <f aca="false">IF(OR(A446="",COUNTIF('Injection Sales'!$B$2:$B$501,A446)+COUNTIF('Protein Sales'!$B$2:$B$501,A446)+COUNTIF('Diet Support'!$B$2:$B$501,A446)=0),"",MAX(_xlfn.MAXIFS('Injection Sales'!$A$2:$A$501,'Injection Sales'!$B$2:$B$501,A446),_xlfn.MAXIFS('Protein Sales'!$A$2:$A$501,'Protein Sales'!$B$2:$B$501,A446),_xlfn.MAXIFS('Diet Support'!$A$2:$A$501,'Diet Support'!$B$2:$B$501,A446)))</f>
        <v/>
      </c>
      <c r="E446" s="19" t="str">
        <f aca="false">IF(A446="","",COUNTIF('Injection Sales'!$B$2:$B$501,A446)+COUNTIF('Protein Sales'!$B$2:$B$501,A446)+COUNTIF('Diet Support'!$B$2:$B$501,A446))</f>
        <v/>
      </c>
      <c r="F446" s="20" t="str">
        <f aca="false">IF(A446="","",SUMIF('Injection Sales'!$B$2:$B$501,A446,'Injection Sales'!$G$2:$G$501)+SUMIF('Protein Sales'!$B$2:$B$501,A446,'Protein Sales'!$F$2:$F$501)+SUMIF('Diet Support'!$B$2:$B$501,A446,'Diet Support'!$E$2:$E$501))</f>
        <v/>
      </c>
      <c r="G446" s="21" t="str">
        <f aca="false">IF(OR(A446="",COUNTIF('Injection Sales'!$B$2:$B$501,A446)=0),"",IFERROR(LOOKUP(2,1/(('Injection Sales'!$B$2:$B$501=A446)*('Injection Sales'!$A$2:$A$501=_xlfn.MAXIFS('Injection Sales'!$A$2:$A$501,'Injection Sales'!$B$2:$B$501,A446))),'Injection Sales'!$E$2:$E$501),""))</f>
        <v/>
      </c>
      <c r="H446" s="21" t="str">
        <f aca="false">IF(OR(A446="",COUNTIF('Injection Sales'!$B$2:$B$501,A446)=0),"",IFERROR(LOOKUP(2,1/(('Injection Sales'!$B$2:$B$501=A446)*('Injection Sales'!$A$2:$A$501=_xlfn.MAXIFS('Injection Sales'!$A$2:$A$501,'Injection Sales'!$B$2:$B$501,A446))),'Injection Sales'!$H$2:$H$501),""))</f>
        <v/>
      </c>
      <c r="I446" s="21" t="str">
        <f aca="true">IF(OR(A446="",D446=""),"",IF(TODAY()-D446&lt;=Settings!$B$7,"Active","Inactive"))</f>
        <v/>
      </c>
    </row>
    <row r="447" customFormat="false" ht="15" hidden="false" customHeight="false" outlineLevel="0" collapsed="false">
      <c r="A447" s="1"/>
      <c r="B447" s="22"/>
      <c r="C447" s="18" t="str">
        <f aca="false">IF(OR(A447="",COUNTIF('Injection Sales'!$B$2:$B$501,A447)+COUNTIF('Protein Sales'!$B$2:$B$501,A447)+COUNTIF('Diet Support'!$B$2:$B$501,A447)=0),"",MIN(IF(COUNTIF('Injection Sales'!$B$2:$B$501,A447),_xlfn.MINIFS('Injection Sales'!$A$2:$A$501,'Injection Sales'!$B$2:$B$501,A447),99999),IF(COUNTIF('Protein Sales'!$B$2:$B$501,A447),_xlfn.MINIFS('Protein Sales'!$A$2:$A$501,'Protein Sales'!$B$2:$B$501,A447),99999),IF(COUNTIF('Diet Support'!$B$2:$B$501,A447),_xlfn.MINIFS('Diet Support'!$A$2:$A$501,'Diet Support'!$B$2:$B$501,A447),99999)))</f>
        <v/>
      </c>
      <c r="D447" s="18" t="str">
        <f aca="false">IF(OR(A447="",COUNTIF('Injection Sales'!$B$2:$B$501,A447)+COUNTIF('Protein Sales'!$B$2:$B$501,A447)+COUNTIF('Diet Support'!$B$2:$B$501,A447)=0),"",MAX(_xlfn.MAXIFS('Injection Sales'!$A$2:$A$501,'Injection Sales'!$B$2:$B$501,A447),_xlfn.MAXIFS('Protein Sales'!$A$2:$A$501,'Protein Sales'!$B$2:$B$501,A447),_xlfn.MAXIFS('Diet Support'!$A$2:$A$501,'Diet Support'!$B$2:$B$501,A447)))</f>
        <v/>
      </c>
      <c r="E447" s="19" t="str">
        <f aca="false">IF(A447="","",COUNTIF('Injection Sales'!$B$2:$B$501,A447)+COUNTIF('Protein Sales'!$B$2:$B$501,A447)+COUNTIF('Diet Support'!$B$2:$B$501,A447))</f>
        <v/>
      </c>
      <c r="F447" s="20" t="str">
        <f aca="false">IF(A447="","",SUMIF('Injection Sales'!$B$2:$B$501,A447,'Injection Sales'!$G$2:$G$501)+SUMIF('Protein Sales'!$B$2:$B$501,A447,'Protein Sales'!$F$2:$F$501)+SUMIF('Diet Support'!$B$2:$B$501,A447,'Diet Support'!$E$2:$E$501))</f>
        <v/>
      </c>
      <c r="G447" s="21" t="str">
        <f aca="false">IF(OR(A447="",COUNTIF('Injection Sales'!$B$2:$B$501,A447)=0),"",IFERROR(LOOKUP(2,1/(('Injection Sales'!$B$2:$B$501=A447)*('Injection Sales'!$A$2:$A$501=_xlfn.MAXIFS('Injection Sales'!$A$2:$A$501,'Injection Sales'!$B$2:$B$501,A447))),'Injection Sales'!$E$2:$E$501),""))</f>
        <v/>
      </c>
      <c r="H447" s="21" t="str">
        <f aca="false">IF(OR(A447="",COUNTIF('Injection Sales'!$B$2:$B$501,A447)=0),"",IFERROR(LOOKUP(2,1/(('Injection Sales'!$B$2:$B$501=A447)*('Injection Sales'!$A$2:$A$501=_xlfn.MAXIFS('Injection Sales'!$A$2:$A$501,'Injection Sales'!$B$2:$B$501,A447))),'Injection Sales'!$H$2:$H$501),""))</f>
        <v/>
      </c>
      <c r="I447" s="21" t="str">
        <f aca="true">IF(OR(A447="",D447=""),"",IF(TODAY()-D447&lt;=Settings!$B$7,"Active","Inactive"))</f>
        <v/>
      </c>
    </row>
    <row r="448" customFormat="false" ht="15" hidden="false" customHeight="false" outlineLevel="0" collapsed="false">
      <c r="A448" s="1"/>
      <c r="B448" s="22"/>
      <c r="C448" s="18" t="str">
        <f aca="false">IF(OR(A448="",COUNTIF('Injection Sales'!$B$2:$B$501,A448)+COUNTIF('Protein Sales'!$B$2:$B$501,A448)+COUNTIF('Diet Support'!$B$2:$B$501,A448)=0),"",MIN(IF(COUNTIF('Injection Sales'!$B$2:$B$501,A448),_xlfn.MINIFS('Injection Sales'!$A$2:$A$501,'Injection Sales'!$B$2:$B$501,A448),99999),IF(COUNTIF('Protein Sales'!$B$2:$B$501,A448),_xlfn.MINIFS('Protein Sales'!$A$2:$A$501,'Protein Sales'!$B$2:$B$501,A448),99999),IF(COUNTIF('Diet Support'!$B$2:$B$501,A448),_xlfn.MINIFS('Diet Support'!$A$2:$A$501,'Diet Support'!$B$2:$B$501,A448),99999)))</f>
        <v/>
      </c>
      <c r="D448" s="18" t="str">
        <f aca="false">IF(OR(A448="",COUNTIF('Injection Sales'!$B$2:$B$501,A448)+COUNTIF('Protein Sales'!$B$2:$B$501,A448)+COUNTIF('Diet Support'!$B$2:$B$501,A448)=0),"",MAX(_xlfn.MAXIFS('Injection Sales'!$A$2:$A$501,'Injection Sales'!$B$2:$B$501,A448),_xlfn.MAXIFS('Protein Sales'!$A$2:$A$501,'Protein Sales'!$B$2:$B$501,A448),_xlfn.MAXIFS('Diet Support'!$A$2:$A$501,'Diet Support'!$B$2:$B$501,A448)))</f>
        <v/>
      </c>
      <c r="E448" s="19" t="str">
        <f aca="false">IF(A448="","",COUNTIF('Injection Sales'!$B$2:$B$501,A448)+COUNTIF('Protein Sales'!$B$2:$B$501,A448)+COUNTIF('Diet Support'!$B$2:$B$501,A448))</f>
        <v/>
      </c>
      <c r="F448" s="20" t="str">
        <f aca="false">IF(A448="","",SUMIF('Injection Sales'!$B$2:$B$501,A448,'Injection Sales'!$G$2:$G$501)+SUMIF('Protein Sales'!$B$2:$B$501,A448,'Protein Sales'!$F$2:$F$501)+SUMIF('Diet Support'!$B$2:$B$501,A448,'Diet Support'!$E$2:$E$501))</f>
        <v/>
      </c>
      <c r="G448" s="21" t="str">
        <f aca="false">IF(OR(A448="",COUNTIF('Injection Sales'!$B$2:$B$501,A448)=0),"",IFERROR(LOOKUP(2,1/(('Injection Sales'!$B$2:$B$501=A448)*('Injection Sales'!$A$2:$A$501=_xlfn.MAXIFS('Injection Sales'!$A$2:$A$501,'Injection Sales'!$B$2:$B$501,A448))),'Injection Sales'!$E$2:$E$501),""))</f>
        <v/>
      </c>
      <c r="H448" s="21" t="str">
        <f aca="false">IF(OR(A448="",COUNTIF('Injection Sales'!$B$2:$B$501,A448)=0),"",IFERROR(LOOKUP(2,1/(('Injection Sales'!$B$2:$B$501=A448)*('Injection Sales'!$A$2:$A$501=_xlfn.MAXIFS('Injection Sales'!$A$2:$A$501,'Injection Sales'!$B$2:$B$501,A448))),'Injection Sales'!$H$2:$H$501),""))</f>
        <v/>
      </c>
      <c r="I448" s="21" t="str">
        <f aca="true">IF(OR(A448="",D448=""),"",IF(TODAY()-D448&lt;=Settings!$B$7,"Active","Inactive"))</f>
        <v/>
      </c>
    </row>
    <row r="449" customFormat="false" ht="15" hidden="false" customHeight="false" outlineLevel="0" collapsed="false">
      <c r="A449" s="1"/>
      <c r="B449" s="22"/>
      <c r="C449" s="18" t="str">
        <f aca="false">IF(OR(A449="",COUNTIF('Injection Sales'!$B$2:$B$501,A449)+COUNTIF('Protein Sales'!$B$2:$B$501,A449)+COUNTIF('Diet Support'!$B$2:$B$501,A449)=0),"",MIN(IF(COUNTIF('Injection Sales'!$B$2:$B$501,A449),_xlfn.MINIFS('Injection Sales'!$A$2:$A$501,'Injection Sales'!$B$2:$B$501,A449),99999),IF(COUNTIF('Protein Sales'!$B$2:$B$501,A449),_xlfn.MINIFS('Protein Sales'!$A$2:$A$501,'Protein Sales'!$B$2:$B$501,A449),99999),IF(COUNTIF('Diet Support'!$B$2:$B$501,A449),_xlfn.MINIFS('Diet Support'!$A$2:$A$501,'Diet Support'!$B$2:$B$501,A449),99999)))</f>
        <v/>
      </c>
      <c r="D449" s="18" t="str">
        <f aca="false">IF(OR(A449="",COUNTIF('Injection Sales'!$B$2:$B$501,A449)+COUNTIF('Protein Sales'!$B$2:$B$501,A449)+COUNTIF('Diet Support'!$B$2:$B$501,A449)=0),"",MAX(_xlfn.MAXIFS('Injection Sales'!$A$2:$A$501,'Injection Sales'!$B$2:$B$501,A449),_xlfn.MAXIFS('Protein Sales'!$A$2:$A$501,'Protein Sales'!$B$2:$B$501,A449),_xlfn.MAXIFS('Diet Support'!$A$2:$A$501,'Diet Support'!$B$2:$B$501,A449)))</f>
        <v/>
      </c>
      <c r="E449" s="19" t="str">
        <f aca="false">IF(A449="","",COUNTIF('Injection Sales'!$B$2:$B$501,A449)+COUNTIF('Protein Sales'!$B$2:$B$501,A449)+COUNTIF('Diet Support'!$B$2:$B$501,A449))</f>
        <v/>
      </c>
      <c r="F449" s="20" t="str">
        <f aca="false">IF(A449="","",SUMIF('Injection Sales'!$B$2:$B$501,A449,'Injection Sales'!$G$2:$G$501)+SUMIF('Protein Sales'!$B$2:$B$501,A449,'Protein Sales'!$F$2:$F$501)+SUMIF('Diet Support'!$B$2:$B$501,A449,'Diet Support'!$E$2:$E$501))</f>
        <v/>
      </c>
      <c r="G449" s="21" t="str">
        <f aca="false">IF(OR(A449="",COUNTIF('Injection Sales'!$B$2:$B$501,A449)=0),"",IFERROR(LOOKUP(2,1/(('Injection Sales'!$B$2:$B$501=A449)*('Injection Sales'!$A$2:$A$501=_xlfn.MAXIFS('Injection Sales'!$A$2:$A$501,'Injection Sales'!$B$2:$B$501,A449))),'Injection Sales'!$E$2:$E$501),""))</f>
        <v/>
      </c>
      <c r="H449" s="21" t="str">
        <f aca="false">IF(OR(A449="",COUNTIF('Injection Sales'!$B$2:$B$501,A449)=0),"",IFERROR(LOOKUP(2,1/(('Injection Sales'!$B$2:$B$501=A449)*('Injection Sales'!$A$2:$A$501=_xlfn.MAXIFS('Injection Sales'!$A$2:$A$501,'Injection Sales'!$B$2:$B$501,A449))),'Injection Sales'!$H$2:$H$501),""))</f>
        <v/>
      </c>
      <c r="I449" s="21" t="str">
        <f aca="true">IF(OR(A449="",D449=""),"",IF(TODAY()-D449&lt;=Settings!$B$7,"Active","Inactive"))</f>
        <v/>
      </c>
    </row>
    <row r="450" customFormat="false" ht="15" hidden="false" customHeight="false" outlineLevel="0" collapsed="false">
      <c r="A450" s="1"/>
      <c r="B450" s="22"/>
      <c r="C450" s="18" t="str">
        <f aca="false">IF(OR(A450="",COUNTIF('Injection Sales'!$B$2:$B$501,A450)+COUNTIF('Protein Sales'!$B$2:$B$501,A450)+COUNTIF('Diet Support'!$B$2:$B$501,A450)=0),"",MIN(IF(COUNTIF('Injection Sales'!$B$2:$B$501,A450),_xlfn.MINIFS('Injection Sales'!$A$2:$A$501,'Injection Sales'!$B$2:$B$501,A450),99999),IF(COUNTIF('Protein Sales'!$B$2:$B$501,A450),_xlfn.MINIFS('Protein Sales'!$A$2:$A$501,'Protein Sales'!$B$2:$B$501,A450),99999),IF(COUNTIF('Diet Support'!$B$2:$B$501,A450),_xlfn.MINIFS('Diet Support'!$A$2:$A$501,'Diet Support'!$B$2:$B$501,A450),99999)))</f>
        <v/>
      </c>
      <c r="D450" s="18" t="str">
        <f aca="false">IF(OR(A450="",COUNTIF('Injection Sales'!$B$2:$B$501,A450)+COUNTIF('Protein Sales'!$B$2:$B$501,A450)+COUNTIF('Diet Support'!$B$2:$B$501,A450)=0),"",MAX(_xlfn.MAXIFS('Injection Sales'!$A$2:$A$501,'Injection Sales'!$B$2:$B$501,A450),_xlfn.MAXIFS('Protein Sales'!$A$2:$A$501,'Protein Sales'!$B$2:$B$501,A450),_xlfn.MAXIFS('Diet Support'!$A$2:$A$501,'Diet Support'!$B$2:$B$501,A450)))</f>
        <v/>
      </c>
      <c r="E450" s="19" t="str">
        <f aca="false">IF(A450="","",COUNTIF('Injection Sales'!$B$2:$B$501,A450)+COUNTIF('Protein Sales'!$B$2:$B$501,A450)+COUNTIF('Diet Support'!$B$2:$B$501,A450))</f>
        <v/>
      </c>
      <c r="F450" s="20" t="str">
        <f aca="false">IF(A450="","",SUMIF('Injection Sales'!$B$2:$B$501,A450,'Injection Sales'!$G$2:$G$501)+SUMIF('Protein Sales'!$B$2:$B$501,A450,'Protein Sales'!$F$2:$F$501)+SUMIF('Diet Support'!$B$2:$B$501,A450,'Diet Support'!$E$2:$E$501))</f>
        <v/>
      </c>
      <c r="G450" s="21" t="str">
        <f aca="false">IF(OR(A450="",COUNTIF('Injection Sales'!$B$2:$B$501,A450)=0),"",IFERROR(LOOKUP(2,1/(('Injection Sales'!$B$2:$B$501=A450)*('Injection Sales'!$A$2:$A$501=_xlfn.MAXIFS('Injection Sales'!$A$2:$A$501,'Injection Sales'!$B$2:$B$501,A450))),'Injection Sales'!$E$2:$E$501),""))</f>
        <v/>
      </c>
      <c r="H450" s="21" t="str">
        <f aca="false">IF(OR(A450="",COUNTIF('Injection Sales'!$B$2:$B$501,A450)=0),"",IFERROR(LOOKUP(2,1/(('Injection Sales'!$B$2:$B$501=A450)*('Injection Sales'!$A$2:$A$501=_xlfn.MAXIFS('Injection Sales'!$A$2:$A$501,'Injection Sales'!$B$2:$B$501,A450))),'Injection Sales'!$H$2:$H$501),""))</f>
        <v/>
      </c>
      <c r="I450" s="21" t="str">
        <f aca="true">IF(OR(A450="",D450=""),"",IF(TODAY()-D450&lt;=Settings!$B$7,"Active","Inactive"))</f>
        <v/>
      </c>
    </row>
    <row r="451" customFormat="false" ht="15" hidden="false" customHeight="false" outlineLevel="0" collapsed="false">
      <c r="A451" s="1"/>
      <c r="B451" s="22"/>
      <c r="C451" s="18" t="str">
        <f aca="false">IF(OR(A451="",COUNTIF('Injection Sales'!$B$2:$B$501,A451)+COUNTIF('Protein Sales'!$B$2:$B$501,A451)+COUNTIF('Diet Support'!$B$2:$B$501,A451)=0),"",MIN(IF(COUNTIF('Injection Sales'!$B$2:$B$501,A451),_xlfn.MINIFS('Injection Sales'!$A$2:$A$501,'Injection Sales'!$B$2:$B$501,A451),99999),IF(COUNTIF('Protein Sales'!$B$2:$B$501,A451),_xlfn.MINIFS('Protein Sales'!$A$2:$A$501,'Protein Sales'!$B$2:$B$501,A451),99999),IF(COUNTIF('Diet Support'!$B$2:$B$501,A451),_xlfn.MINIFS('Diet Support'!$A$2:$A$501,'Diet Support'!$B$2:$B$501,A451),99999)))</f>
        <v/>
      </c>
      <c r="D451" s="18" t="str">
        <f aca="false">IF(OR(A451="",COUNTIF('Injection Sales'!$B$2:$B$501,A451)+COUNTIF('Protein Sales'!$B$2:$B$501,A451)+COUNTIF('Diet Support'!$B$2:$B$501,A451)=0),"",MAX(_xlfn.MAXIFS('Injection Sales'!$A$2:$A$501,'Injection Sales'!$B$2:$B$501,A451),_xlfn.MAXIFS('Protein Sales'!$A$2:$A$501,'Protein Sales'!$B$2:$B$501,A451),_xlfn.MAXIFS('Diet Support'!$A$2:$A$501,'Diet Support'!$B$2:$B$501,A451)))</f>
        <v/>
      </c>
      <c r="E451" s="19" t="str">
        <f aca="false">IF(A451="","",COUNTIF('Injection Sales'!$B$2:$B$501,A451)+COUNTIF('Protein Sales'!$B$2:$B$501,A451)+COUNTIF('Diet Support'!$B$2:$B$501,A451))</f>
        <v/>
      </c>
      <c r="F451" s="20" t="str">
        <f aca="false">IF(A451="","",SUMIF('Injection Sales'!$B$2:$B$501,A451,'Injection Sales'!$G$2:$G$501)+SUMIF('Protein Sales'!$B$2:$B$501,A451,'Protein Sales'!$F$2:$F$501)+SUMIF('Diet Support'!$B$2:$B$501,A451,'Diet Support'!$E$2:$E$501))</f>
        <v/>
      </c>
      <c r="G451" s="21" t="str">
        <f aca="false">IF(OR(A451="",COUNTIF('Injection Sales'!$B$2:$B$501,A451)=0),"",IFERROR(LOOKUP(2,1/(('Injection Sales'!$B$2:$B$501=A451)*('Injection Sales'!$A$2:$A$501=_xlfn.MAXIFS('Injection Sales'!$A$2:$A$501,'Injection Sales'!$B$2:$B$501,A451))),'Injection Sales'!$E$2:$E$501),""))</f>
        <v/>
      </c>
      <c r="H451" s="21" t="str">
        <f aca="false">IF(OR(A451="",COUNTIF('Injection Sales'!$B$2:$B$501,A451)=0),"",IFERROR(LOOKUP(2,1/(('Injection Sales'!$B$2:$B$501=A451)*('Injection Sales'!$A$2:$A$501=_xlfn.MAXIFS('Injection Sales'!$A$2:$A$501,'Injection Sales'!$B$2:$B$501,A451))),'Injection Sales'!$H$2:$H$501),""))</f>
        <v/>
      </c>
      <c r="I451" s="21" t="str">
        <f aca="true">IF(OR(A451="",D451=""),"",IF(TODAY()-D451&lt;=Settings!$B$7,"Active","Inactive"))</f>
        <v/>
      </c>
    </row>
    <row r="452" customFormat="false" ht="15" hidden="false" customHeight="false" outlineLevel="0" collapsed="false">
      <c r="A452" s="1"/>
      <c r="B452" s="22"/>
      <c r="C452" s="18" t="str">
        <f aca="false">IF(OR(A452="",COUNTIF('Injection Sales'!$B$2:$B$501,A452)+COUNTIF('Protein Sales'!$B$2:$B$501,A452)+COUNTIF('Diet Support'!$B$2:$B$501,A452)=0),"",MIN(IF(COUNTIF('Injection Sales'!$B$2:$B$501,A452),_xlfn.MINIFS('Injection Sales'!$A$2:$A$501,'Injection Sales'!$B$2:$B$501,A452),99999),IF(COUNTIF('Protein Sales'!$B$2:$B$501,A452),_xlfn.MINIFS('Protein Sales'!$A$2:$A$501,'Protein Sales'!$B$2:$B$501,A452),99999),IF(COUNTIF('Diet Support'!$B$2:$B$501,A452),_xlfn.MINIFS('Diet Support'!$A$2:$A$501,'Diet Support'!$B$2:$B$501,A452),99999)))</f>
        <v/>
      </c>
      <c r="D452" s="18" t="str">
        <f aca="false">IF(OR(A452="",COUNTIF('Injection Sales'!$B$2:$B$501,A452)+COUNTIF('Protein Sales'!$B$2:$B$501,A452)+COUNTIF('Diet Support'!$B$2:$B$501,A452)=0),"",MAX(_xlfn.MAXIFS('Injection Sales'!$A$2:$A$501,'Injection Sales'!$B$2:$B$501,A452),_xlfn.MAXIFS('Protein Sales'!$A$2:$A$501,'Protein Sales'!$B$2:$B$501,A452),_xlfn.MAXIFS('Diet Support'!$A$2:$A$501,'Diet Support'!$B$2:$B$501,A452)))</f>
        <v/>
      </c>
      <c r="E452" s="19" t="str">
        <f aca="false">IF(A452="","",COUNTIF('Injection Sales'!$B$2:$B$501,A452)+COUNTIF('Protein Sales'!$B$2:$B$501,A452)+COUNTIF('Diet Support'!$B$2:$B$501,A452))</f>
        <v/>
      </c>
      <c r="F452" s="20" t="str">
        <f aca="false">IF(A452="","",SUMIF('Injection Sales'!$B$2:$B$501,A452,'Injection Sales'!$G$2:$G$501)+SUMIF('Protein Sales'!$B$2:$B$501,A452,'Protein Sales'!$F$2:$F$501)+SUMIF('Diet Support'!$B$2:$B$501,A452,'Diet Support'!$E$2:$E$501))</f>
        <v/>
      </c>
      <c r="G452" s="21" t="str">
        <f aca="false">IF(OR(A452="",COUNTIF('Injection Sales'!$B$2:$B$501,A452)=0),"",IFERROR(LOOKUP(2,1/(('Injection Sales'!$B$2:$B$501=A452)*('Injection Sales'!$A$2:$A$501=_xlfn.MAXIFS('Injection Sales'!$A$2:$A$501,'Injection Sales'!$B$2:$B$501,A452))),'Injection Sales'!$E$2:$E$501),""))</f>
        <v/>
      </c>
      <c r="H452" s="21" t="str">
        <f aca="false">IF(OR(A452="",COUNTIF('Injection Sales'!$B$2:$B$501,A452)=0),"",IFERROR(LOOKUP(2,1/(('Injection Sales'!$B$2:$B$501=A452)*('Injection Sales'!$A$2:$A$501=_xlfn.MAXIFS('Injection Sales'!$A$2:$A$501,'Injection Sales'!$B$2:$B$501,A452))),'Injection Sales'!$H$2:$H$501),""))</f>
        <v/>
      </c>
      <c r="I452" s="21" t="str">
        <f aca="true">IF(OR(A452="",D452=""),"",IF(TODAY()-D452&lt;=Settings!$B$7,"Active","Inactive"))</f>
        <v/>
      </c>
    </row>
    <row r="453" customFormat="false" ht="15" hidden="false" customHeight="false" outlineLevel="0" collapsed="false">
      <c r="A453" s="1"/>
      <c r="B453" s="22"/>
      <c r="C453" s="18" t="str">
        <f aca="false">IF(OR(A453="",COUNTIF('Injection Sales'!$B$2:$B$501,A453)+COUNTIF('Protein Sales'!$B$2:$B$501,A453)+COUNTIF('Diet Support'!$B$2:$B$501,A453)=0),"",MIN(IF(COUNTIF('Injection Sales'!$B$2:$B$501,A453),_xlfn.MINIFS('Injection Sales'!$A$2:$A$501,'Injection Sales'!$B$2:$B$501,A453),99999),IF(COUNTIF('Protein Sales'!$B$2:$B$501,A453),_xlfn.MINIFS('Protein Sales'!$A$2:$A$501,'Protein Sales'!$B$2:$B$501,A453),99999),IF(COUNTIF('Diet Support'!$B$2:$B$501,A453),_xlfn.MINIFS('Diet Support'!$A$2:$A$501,'Diet Support'!$B$2:$B$501,A453),99999)))</f>
        <v/>
      </c>
      <c r="D453" s="18" t="str">
        <f aca="false">IF(OR(A453="",COUNTIF('Injection Sales'!$B$2:$B$501,A453)+COUNTIF('Protein Sales'!$B$2:$B$501,A453)+COUNTIF('Diet Support'!$B$2:$B$501,A453)=0),"",MAX(_xlfn.MAXIFS('Injection Sales'!$A$2:$A$501,'Injection Sales'!$B$2:$B$501,A453),_xlfn.MAXIFS('Protein Sales'!$A$2:$A$501,'Protein Sales'!$B$2:$B$501,A453),_xlfn.MAXIFS('Diet Support'!$A$2:$A$501,'Diet Support'!$B$2:$B$501,A453)))</f>
        <v/>
      </c>
      <c r="E453" s="19" t="str">
        <f aca="false">IF(A453="","",COUNTIF('Injection Sales'!$B$2:$B$501,A453)+COUNTIF('Protein Sales'!$B$2:$B$501,A453)+COUNTIF('Diet Support'!$B$2:$B$501,A453))</f>
        <v/>
      </c>
      <c r="F453" s="20" t="str">
        <f aca="false">IF(A453="","",SUMIF('Injection Sales'!$B$2:$B$501,A453,'Injection Sales'!$G$2:$G$501)+SUMIF('Protein Sales'!$B$2:$B$501,A453,'Protein Sales'!$F$2:$F$501)+SUMIF('Diet Support'!$B$2:$B$501,A453,'Diet Support'!$E$2:$E$501))</f>
        <v/>
      </c>
      <c r="G453" s="21" t="str">
        <f aca="false">IF(OR(A453="",COUNTIF('Injection Sales'!$B$2:$B$501,A453)=0),"",IFERROR(LOOKUP(2,1/(('Injection Sales'!$B$2:$B$501=A453)*('Injection Sales'!$A$2:$A$501=_xlfn.MAXIFS('Injection Sales'!$A$2:$A$501,'Injection Sales'!$B$2:$B$501,A453))),'Injection Sales'!$E$2:$E$501),""))</f>
        <v/>
      </c>
      <c r="H453" s="21" t="str">
        <f aca="false">IF(OR(A453="",COUNTIF('Injection Sales'!$B$2:$B$501,A453)=0),"",IFERROR(LOOKUP(2,1/(('Injection Sales'!$B$2:$B$501=A453)*('Injection Sales'!$A$2:$A$501=_xlfn.MAXIFS('Injection Sales'!$A$2:$A$501,'Injection Sales'!$B$2:$B$501,A453))),'Injection Sales'!$H$2:$H$501),""))</f>
        <v/>
      </c>
      <c r="I453" s="21" t="str">
        <f aca="true">IF(OR(A453="",D453=""),"",IF(TODAY()-D453&lt;=Settings!$B$7,"Active","Inactive"))</f>
        <v/>
      </c>
    </row>
    <row r="454" customFormat="false" ht="15" hidden="false" customHeight="false" outlineLevel="0" collapsed="false">
      <c r="A454" s="1"/>
      <c r="B454" s="22"/>
      <c r="C454" s="18" t="str">
        <f aca="false">IF(OR(A454="",COUNTIF('Injection Sales'!$B$2:$B$501,A454)+COUNTIF('Protein Sales'!$B$2:$B$501,A454)+COUNTIF('Diet Support'!$B$2:$B$501,A454)=0),"",MIN(IF(COUNTIF('Injection Sales'!$B$2:$B$501,A454),_xlfn.MINIFS('Injection Sales'!$A$2:$A$501,'Injection Sales'!$B$2:$B$501,A454),99999),IF(COUNTIF('Protein Sales'!$B$2:$B$501,A454),_xlfn.MINIFS('Protein Sales'!$A$2:$A$501,'Protein Sales'!$B$2:$B$501,A454),99999),IF(COUNTIF('Diet Support'!$B$2:$B$501,A454),_xlfn.MINIFS('Diet Support'!$A$2:$A$501,'Diet Support'!$B$2:$B$501,A454),99999)))</f>
        <v/>
      </c>
      <c r="D454" s="18" t="str">
        <f aca="false">IF(OR(A454="",COUNTIF('Injection Sales'!$B$2:$B$501,A454)+COUNTIF('Protein Sales'!$B$2:$B$501,A454)+COUNTIF('Diet Support'!$B$2:$B$501,A454)=0),"",MAX(_xlfn.MAXIFS('Injection Sales'!$A$2:$A$501,'Injection Sales'!$B$2:$B$501,A454),_xlfn.MAXIFS('Protein Sales'!$A$2:$A$501,'Protein Sales'!$B$2:$B$501,A454),_xlfn.MAXIFS('Diet Support'!$A$2:$A$501,'Diet Support'!$B$2:$B$501,A454)))</f>
        <v/>
      </c>
      <c r="E454" s="19" t="str">
        <f aca="false">IF(A454="","",COUNTIF('Injection Sales'!$B$2:$B$501,A454)+COUNTIF('Protein Sales'!$B$2:$B$501,A454)+COUNTIF('Diet Support'!$B$2:$B$501,A454))</f>
        <v/>
      </c>
      <c r="F454" s="20" t="str">
        <f aca="false">IF(A454="","",SUMIF('Injection Sales'!$B$2:$B$501,A454,'Injection Sales'!$G$2:$G$501)+SUMIF('Protein Sales'!$B$2:$B$501,A454,'Protein Sales'!$F$2:$F$501)+SUMIF('Diet Support'!$B$2:$B$501,A454,'Diet Support'!$E$2:$E$501))</f>
        <v/>
      </c>
      <c r="G454" s="21" t="str">
        <f aca="false">IF(OR(A454="",COUNTIF('Injection Sales'!$B$2:$B$501,A454)=0),"",IFERROR(LOOKUP(2,1/(('Injection Sales'!$B$2:$B$501=A454)*('Injection Sales'!$A$2:$A$501=_xlfn.MAXIFS('Injection Sales'!$A$2:$A$501,'Injection Sales'!$B$2:$B$501,A454))),'Injection Sales'!$E$2:$E$501),""))</f>
        <v/>
      </c>
      <c r="H454" s="21" t="str">
        <f aca="false">IF(OR(A454="",COUNTIF('Injection Sales'!$B$2:$B$501,A454)=0),"",IFERROR(LOOKUP(2,1/(('Injection Sales'!$B$2:$B$501=A454)*('Injection Sales'!$A$2:$A$501=_xlfn.MAXIFS('Injection Sales'!$A$2:$A$501,'Injection Sales'!$B$2:$B$501,A454))),'Injection Sales'!$H$2:$H$501),""))</f>
        <v/>
      </c>
      <c r="I454" s="21" t="str">
        <f aca="true">IF(OR(A454="",D454=""),"",IF(TODAY()-D454&lt;=Settings!$B$7,"Active","Inactive"))</f>
        <v/>
      </c>
    </row>
    <row r="455" customFormat="false" ht="15" hidden="false" customHeight="false" outlineLevel="0" collapsed="false">
      <c r="A455" s="1"/>
      <c r="B455" s="22"/>
      <c r="C455" s="18" t="str">
        <f aca="false">IF(OR(A455="",COUNTIF('Injection Sales'!$B$2:$B$501,A455)+COUNTIF('Protein Sales'!$B$2:$B$501,A455)+COUNTIF('Diet Support'!$B$2:$B$501,A455)=0),"",MIN(IF(COUNTIF('Injection Sales'!$B$2:$B$501,A455),_xlfn.MINIFS('Injection Sales'!$A$2:$A$501,'Injection Sales'!$B$2:$B$501,A455),99999),IF(COUNTIF('Protein Sales'!$B$2:$B$501,A455),_xlfn.MINIFS('Protein Sales'!$A$2:$A$501,'Protein Sales'!$B$2:$B$501,A455),99999),IF(COUNTIF('Diet Support'!$B$2:$B$501,A455),_xlfn.MINIFS('Diet Support'!$A$2:$A$501,'Diet Support'!$B$2:$B$501,A455),99999)))</f>
        <v/>
      </c>
      <c r="D455" s="18" t="str">
        <f aca="false">IF(OR(A455="",COUNTIF('Injection Sales'!$B$2:$B$501,A455)+COUNTIF('Protein Sales'!$B$2:$B$501,A455)+COUNTIF('Diet Support'!$B$2:$B$501,A455)=0),"",MAX(_xlfn.MAXIFS('Injection Sales'!$A$2:$A$501,'Injection Sales'!$B$2:$B$501,A455),_xlfn.MAXIFS('Protein Sales'!$A$2:$A$501,'Protein Sales'!$B$2:$B$501,A455),_xlfn.MAXIFS('Diet Support'!$A$2:$A$501,'Diet Support'!$B$2:$B$501,A455)))</f>
        <v/>
      </c>
      <c r="E455" s="19" t="str">
        <f aca="false">IF(A455="","",COUNTIF('Injection Sales'!$B$2:$B$501,A455)+COUNTIF('Protein Sales'!$B$2:$B$501,A455)+COUNTIF('Diet Support'!$B$2:$B$501,A455))</f>
        <v/>
      </c>
      <c r="F455" s="20" t="str">
        <f aca="false">IF(A455="","",SUMIF('Injection Sales'!$B$2:$B$501,A455,'Injection Sales'!$G$2:$G$501)+SUMIF('Protein Sales'!$B$2:$B$501,A455,'Protein Sales'!$F$2:$F$501)+SUMIF('Diet Support'!$B$2:$B$501,A455,'Diet Support'!$E$2:$E$501))</f>
        <v/>
      </c>
      <c r="G455" s="21" t="str">
        <f aca="false">IF(OR(A455="",COUNTIF('Injection Sales'!$B$2:$B$501,A455)=0),"",IFERROR(LOOKUP(2,1/(('Injection Sales'!$B$2:$B$501=A455)*('Injection Sales'!$A$2:$A$501=_xlfn.MAXIFS('Injection Sales'!$A$2:$A$501,'Injection Sales'!$B$2:$B$501,A455))),'Injection Sales'!$E$2:$E$501),""))</f>
        <v/>
      </c>
      <c r="H455" s="21" t="str">
        <f aca="false">IF(OR(A455="",COUNTIF('Injection Sales'!$B$2:$B$501,A455)=0),"",IFERROR(LOOKUP(2,1/(('Injection Sales'!$B$2:$B$501=A455)*('Injection Sales'!$A$2:$A$501=_xlfn.MAXIFS('Injection Sales'!$A$2:$A$501,'Injection Sales'!$B$2:$B$501,A455))),'Injection Sales'!$H$2:$H$501),""))</f>
        <v/>
      </c>
      <c r="I455" s="21" t="str">
        <f aca="true">IF(OR(A455="",D455=""),"",IF(TODAY()-D455&lt;=Settings!$B$7,"Active","Inactive"))</f>
        <v/>
      </c>
    </row>
    <row r="456" customFormat="false" ht="15" hidden="false" customHeight="false" outlineLevel="0" collapsed="false">
      <c r="A456" s="1"/>
      <c r="B456" s="22"/>
      <c r="C456" s="18" t="str">
        <f aca="false">IF(OR(A456="",COUNTIF('Injection Sales'!$B$2:$B$501,A456)+COUNTIF('Protein Sales'!$B$2:$B$501,A456)+COUNTIF('Diet Support'!$B$2:$B$501,A456)=0),"",MIN(IF(COUNTIF('Injection Sales'!$B$2:$B$501,A456),_xlfn.MINIFS('Injection Sales'!$A$2:$A$501,'Injection Sales'!$B$2:$B$501,A456),99999),IF(COUNTIF('Protein Sales'!$B$2:$B$501,A456),_xlfn.MINIFS('Protein Sales'!$A$2:$A$501,'Protein Sales'!$B$2:$B$501,A456),99999),IF(COUNTIF('Diet Support'!$B$2:$B$501,A456),_xlfn.MINIFS('Diet Support'!$A$2:$A$501,'Diet Support'!$B$2:$B$501,A456),99999)))</f>
        <v/>
      </c>
      <c r="D456" s="18" t="str">
        <f aca="false">IF(OR(A456="",COUNTIF('Injection Sales'!$B$2:$B$501,A456)+COUNTIF('Protein Sales'!$B$2:$B$501,A456)+COUNTIF('Diet Support'!$B$2:$B$501,A456)=0),"",MAX(_xlfn.MAXIFS('Injection Sales'!$A$2:$A$501,'Injection Sales'!$B$2:$B$501,A456),_xlfn.MAXIFS('Protein Sales'!$A$2:$A$501,'Protein Sales'!$B$2:$B$501,A456),_xlfn.MAXIFS('Diet Support'!$A$2:$A$501,'Diet Support'!$B$2:$B$501,A456)))</f>
        <v/>
      </c>
      <c r="E456" s="19" t="str">
        <f aca="false">IF(A456="","",COUNTIF('Injection Sales'!$B$2:$B$501,A456)+COUNTIF('Protein Sales'!$B$2:$B$501,A456)+COUNTIF('Diet Support'!$B$2:$B$501,A456))</f>
        <v/>
      </c>
      <c r="F456" s="20" t="str">
        <f aca="false">IF(A456="","",SUMIF('Injection Sales'!$B$2:$B$501,A456,'Injection Sales'!$G$2:$G$501)+SUMIF('Protein Sales'!$B$2:$B$501,A456,'Protein Sales'!$F$2:$F$501)+SUMIF('Diet Support'!$B$2:$B$501,A456,'Diet Support'!$E$2:$E$501))</f>
        <v/>
      </c>
      <c r="G456" s="21" t="str">
        <f aca="false">IF(OR(A456="",COUNTIF('Injection Sales'!$B$2:$B$501,A456)=0),"",IFERROR(LOOKUP(2,1/(('Injection Sales'!$B$2:$B$501=A456)*('Injection Sales'!$A$2:$A$501=_xlfn.MAXIFS('Injection Sales'!$A$2:$A$501,'Injection Sales'!$B$2:$B$501,A456))),'Injection Sales'!$E$2:$E$501),""))</f>
        <v/>
      </c>
      <c r="H456" s="21" t="str">
        <f aca="false">IF(OR(A456="",COUNTIF('Injection Sales'!$B$2:$B$501,A456)=0),"",IFERROR(LOOKUP(2,1/(('Injection Sales'!$B$2:$B$501=A456)*('Injection Sales'!$A$2:$A$501=_xlfn.MAXIFS('Injection Sales'!$A$2:$A$501,'Injection Sales'!$B$2:$B$501,A456))),'Injection Sales'!$H$2:$H$501),""))</f>
        <v/>
      </c>
      <c r="I456" s="21" t="str">
        <f aca="true">IF(OR(A456="",D456=""),"",IF(TODAY()-D456&lt;=Settings!$B$7,"Active","Inactive"))</f>
        <v/>
      </c>
    </row>
    <row r="457" customFormat="false" ht="15" hidden="false" customHeight="false" outlineLevel="0" collapsed="false">
      <c r="A457" s="1"/>
      <c r="B457" s="22"/>
      <c r="C457" s="18" t="str">
        <f aca="false">IF(OR(A457="",COUNTIF('Injection Sales'!$B$2:$B$501,A457)+COUNTIF('Protein Sales'!$B$2:$B$501,A457)+COUNTIF('Diet Support'!$B$2:$B$501,A457)=0),"",MIN(IF(COUNTIF('Injection Sales'!$B$2:$B$501,A457),_xlfn.MINIFS('Injection Sales'!$A$2:$A$501,'Injection Sales'!$B$2:$B$501,A457),99999),IF(COUNTIF('Protein Sales'!$B$2:$B$501,A457),_xlfn.MINIFS('Protein Sales'!$A$2:$A$501,'Protein Sales'!$B$2:$B$501,A457),99999),IF(COUNTIF('Diet Support'!$B$2:$B$501,A457),_xlfn.MINIFS('Diet Support'!$A$2:$A$501,'Diet Support'!$B$2:$B$501,A457),99999)))</f>
        <v/>
      </c>
      <c r="D457" s="18" t="str">
        <f aca="false">IF(OR(A457="",COUNTIF('Injection Sales'!$B$2:$B$501,A457)+COUNTIF('Protein Sales'!$B$2:$B$501,A457)+COUNTIF('Diet Support'!$B$2:$B$501,A457)=0),"",MAX(_xlfn.MAXIFS('Injection Sales'!$A$2:$A$501,'Injection Sales'!$B$2:$B$501,A457),_xlfn.MAXIFS('Protein Sales'!$A$2:$A$501,'Protein Sales'!$B$2:$B$501,A457),_xlfn.MAXIFS('Diet Support'!$A$2:$A$501,'Diet Support'!$B$2:$B$501,A457)))</f>
        <v/>
      </c>
      <c r="E457" s="19" t="str">
        <f aca="false">IF(A457="","",COUNTIF('Injection Sales'!$B$2:$B$501,A457)+COUNTIF('Protein Sales'!$B$2:$B$501,A457)+COUNTIF('Diet Support'!$B$2:$B$501,A457))</f>
        <v/>
      </c>
      <c r="F457" s="20" t="str">
        <f aca="false">IF(A457="","",SUMIF('Injection Sales'!$B$2:$B$501,A457,'Injection Sales'!$G$2:$G$501)+SUMIF('Protein Sales'!$B$2:$B$501,A457,'Protein Sales'!$F$2:$F$501)+SUMIF('Diet Support'!$B$2:$B$501,A457,'Diet Support'!$E$2:$E$501))</f>
        <v/>
      </c>
      <c r="G457" s="21" t="str">
        <f aca="false">IF(OR(A457="",COUNTIF('Injection Sales'!$B$2:$B$501,A457)=0),"",IFERROR(LOOKUP(2,1/(('Injection Sales'!$B$2:$B$501=A457)*('Injection Sales'!$A$2:$A$501=_xlfn.MAXIFS('Injection Sales'!$A$2:$A$501,'Injection Sales'!$B$2:$B$501,A457))),'Injection Sales'!$E$2:$E$501),""))</f>
        <v/>
      </c>
      <c r="H457" s="21" t="str">
        <f aca="false">IF(OR(A457="",COUNTIF('Injection Sales'!$B$2:$B$501,A457)=0),"",IFERROR(LOOKUP(2,1/(('Injection Sales'!$B$2:$B$501=A457)*('Injection Sales'!$A$2:$A$501=_xlfn.MAXIFS('Injection Sales'!$A$2:$A$501,'Injection Sales'!$B$2:$B$501,A457))),'Injection Sales'!$H$2:$H$501),""))</f>
        <v/>
      </c>
      <c r="I457" s="21" t="str">
        <f aca="true">IF(OR(A457="",D457=""),"",IF(TODAY()-D457&lt;=Settings!$B$7,"Active","Inactive"))</f>
        <v/>
      </c>
    </row>
    <row r="458" customFormat="false" ht="15" hidden="false" customHeight="false" outlineLevel="0" collapsed="false">
      <c r="A458" s="1"/>
      <c r="B458" s="22"/>
      <c r="C458" s="18" t="str">
        <f aca="false">IF(OR(A458="",COUNTIF('Injection Sales'!$B$2:$B$501,A458)+COUNTIF('Protein Sales'!$B$2:$B$501,A458)+COUNTIF('Diet Support'!$B$2:$B$501,A458)=0),"",MIN(IF(COUNTIF('Injection Sales'!$B$2:$B$501,A458),_xlfn.MINIFS('Injection Sales'!$A$2:$A$501,'Injection Sales'!$B$2:$B$501,A458),99999),IF(COUNTIF('Protein Sales'!$B$2:$B$501,A458),_xlfn.MINIFS('Protein Sales'!$A$2:$A$501,'Protein Sales'!$B$2:$B$501,A458),99999),IF(COUNTIF('Diet Support'!$B$2:$B$501,A458),_xlfn.MINIFS('Diet Support'!$A$2:$A$501,'Diet Support'!$B$2:$B$501,A458),99999)))</f>
        <v/>
      </c>
      <c r="D458" s="18" t="str">
        <f aca="false">IF(OR(A458="",COUNTIF('Injection Sales'!$B$2:$B$501,A458)+COUNTIF('Protein Sales'!$B$2:$B$501,A458)+COUNTIF('Diet Support'!$B$2:$B$501,A458)=0),"",MAX(_xlfn.MAXIFS('Injection Sales'!$A$2:$A$501,'Injection Sales'!$B$2:$B$501,A458),_xlfn.MAXIFS('Protein Sales'!$A$2:$A$501,'Protein Sales'!$B$2:$B$501,A458),_xlfn.MAXIFS('Diet Support'!$A$2:$A$501,'Diet Support'!$B$2:$B$501,A458)))</f>
        <v/>
      </c>
      <c r="E458" s="19" t="str">
        <f aca="false">IF(A458="","",COUNTIF('Injection Sales'!$B$2:$B$501,A458)+COUNTIF('Protein Sales'!$B$2:$B$501,A458)+COUNTIF('Diet Support'!$B$2:$B$501,A458))</f>
        <v/>
      </c>
      <c r="F458" s="20" t="str">
        <f aca="false">IF(A458="","",SUMIF('Injection Sales'!$B$2:$B$501,A458,'Injection Sales'!$G$2:$G$501)+SUMIF('Protein Sales'!$B$2:$B$501,A458,'Protein Sales'!$F$2:$F$501)+SUMIF('Diet Support'!$B$2:$B$501,A458,'Diet Support'!$E$2:$E$501))</f>
        <v/>
      </c>
      <c r="G458" s="21" t="str">
        <f aca="false">IF(OR(A458="",COUNTIF('Injection Sales'!$B$2:$B$501,A458)=0),"",IFERROR(LOOKUP(2,1/(('Injection Sales'!$B$2:$B$501=A458)*('Injection Sales'!$A$2:$A$501=_xlfn.MAXIFS('Injection Sales'!$A$2:$A$501,'Injection Sales'!$B$2:$B$501,A458))),'Injection Sales'!$E$2:$E$501),""))</f>
        <v/>
      </c>
      <c r="H458" s="21" t="str">
        <f aca="false">IF(OR(A458="",COUNTIF('Injection Sales'!$B$2:$B$501,A458)=0),"",IFERROR(LOOKUP(2,1/(('Injection Sales'!$B$2:$B$501=A458)*('Injection Sales'!$A$2:$A$501=_xlfn.MAXIFS('Injection Sales'!$A$2:$A$501,'Injection Sales'!$B$2:$B$501,A458))),'Injection Sales'!$H$2:$H$501),""))</f>
        <v/>
      </c>
      <c r="I458" s="21" t="str">
        <f aca="true">IF(OR(A458="",D458=""),"",IF(TODAY()-D458&lt;=Settings!$B$7,"Active","Inactive"))</f>
        <v/>
      </c>
    </row>
    <row r="459" customFormat="false" ht="15" hidden="false" customHeight="false" outlineLevel="0" collapsed="false">
      <c r="A459" s="1"/>
      <c r="B459" s="22"/>
      <c r="C459" s="18" t="str">
        <f aca="false">IF(OR(A459="",COUNTIF('Injection Sales'!$B$2:$B$501,A459)+COUNTIF('Protein Sales'!$B$2:$B$501,A459)+COUNTIF('Diet Support'!$B$2:$B$501,A459)=0),"",MIN(IF(COUNTIF('Injection Sales'!$B$2:$B$501,A459),_xlfn.MINIFS('Injection Sales'!$A$2:$A$501,'Injection Sales'!$B$2:$B$501,A459),99999),IF(COUNTIF('Protein Sales'!$B$2:$B$501,A459),_xlfn.MINIFS('Protein Sales'!$A$2:$A$501,'Protein Sales'!$B$2:$B$501,A459),99999),IF(COUNTIF('Diet Support'!$B$2:$B$501,A459),_xlfn.MINIFS('Diet Support'!$A$2:$A$501,'Diet Support'!$B$2:$B$501,A459),99999)))</f>
        <v/>
      </c>
      <c r="D459" s="18" t="str">
        <f aca="false">IF(OR(A459="",COUNTIF('Injection Sales'!$B$2:$B$501,A459)+COUNTIF('Protein Sales'!$B$2:$B$501,A459)+COUNTIF('Diet Support'!$B$2:$B$501,A459)=0),"",MAX(_xlfn.MAXIFS('Injection Sales'!$A$2:$A$501,'Injection Sales'!$B$2:$B$501,A459),_xlfn.MAXIFS('Protein Sales'!$A$2:$A$501,'Protein Sales'!$B$2:$B$501,A459),_xlfn.MAXIFS('Diet Support'!$A$2:$A$501,'Diet Support'!$B$2:$B$501,A459)))</f>
        <v/>
      </c>
      <c r="E459" s="19" t="str">
        <f aca="false">IF(A459="","",COUNTIF('Injection Sales'!$B$2:$B$501,A459)+COUNTIF('Protein Sales'!$B$2:$B$501,A459)+COUNTIF('Diet Support'!$B$2:$B$501,A459))</f>
        <v/>
      </c>
      <c r="F459" s="20" t="str">
        <f aca="false">IF(A459="","",SUMIF('Injection Sales'!$B$2:$B$501,A459,'Injection Sales'!$G$2:$G$501)+SUMIF('Protein Sales'!$B$2:$B$501,A459,'Protein Sales'!$F$2:$F$501)+SUMIF('Diet Support'!$B$2:$B$501,A459,'Diet Support'!$E$2:$E$501))</f>
        <v/>
      </c>
      <c r="G459" s="21" t="str">
        <f aca="false">IF(OR(A459="",COUNTIF('Injection Sales'!$B$2:$B$501,A459)=0),"",IFERROR(LOOKUP(2,1/(('Injection Sales'!$B$2:$B$501=A459)*('Injection Sales'!$A$2:$A$501=_xlfn.MAXIFS('Injection Sales'!$A$2:$A$501,'Injection Sales'!$B$2:$B$501,A459))),'Injection Sales'!$E$2:$E$501),""))</f>
        <v/>
      </c>
      <c r="H459" s="21" t="str">
        <f aca="false">IF(OR(A459="",COUNTIF('Injection Sales'!$B$2:$B$501,A459)=0),"",IFERROR(LOOKUP(2,1/(('Injection Sales'!$B$2:$B$501=A459)*('Injection Sales'!$A$2:$A$501=_xlfn.MAXIFS('Injection Sales'!$A$2:$A$501,'Injection Sales'!$B$2:$B$501,A459))),'Injection Sales'!$H$2:$H$501),""))</f>
        <v/>
      </c>
      <c r="I459" s="21" t="str">
        <f aca="true">IF(OR(A459="",D459=""),"",IF(TODAY()-D459&lt;=Settings!$B$7,"Active","Inactive"))</f>
        <v/>
      </c>
    </row>
    <row r="460" customFormat="false" ht="15" hidden="false" customHeight="false" outlineLevel="0" collapsed="false">
      <c r="A460" s="1"/>
      <c r="B460" s="22"/>
      <c r="C460" s="18" t="str">
        <f aca="false">IF(OR(A460="",COUNTIF('Injection Sales'!$B$2:$B$501,A460)+COUNTIF('Protein Sales'!$B$2:$B$501,A460)+COUNTIF('Diet Support'!$B$2:$B$501,A460)=0),"",MIN(IF(COUNTIF('Injection Sales'!$B$2:$B$501,A460),_xlfn.MINIFS('Injection Sales'!$A$2:$A$501,'Injection Sales'!$B$2:$B$501,A460),99999),IF(COUNTIF('Protein Sales'!$B$2:$B$501,A460),_xlfn.MINIFS('Protein Sales'!$A$2:$A$501,'Protein Sales'!$B$2:$B$501,A460),99999),IF(COUNTIF('Diet Support'!$B$2:$B$501,A460),_xlfn.MINIFS('Diet Support'!$A$2:$A$501,'Diet Support'!$B$2:$B$501,A460),99999)))</f>
        <v/>
      </c>
      <c r="D460" s="18" t="str">
        <f aca="false">IF(OR(A460="",COUNTIF('Injection Sales'!$B$2:$B$501,A460)+COUNTIF('Protein Sales'!$B$2:$B$501,A460)+COUNTIF('Diet Support'!$B$2:$B$501,A460)=0),"",MAX(_xlfn.MAXIFS('Injection Sales'!$A$2:$A$501,'Injection Sales'!$B$2:$B$501,A460),_xlfn.MAXIFS('Protein Sales'!$A$2:$A$501,'Protein Sales'!$B$2:$B$501,A460),_xlfn.MAXIFS('Diet Support'!$A$2:$A$501,'Diet Support'!$B$2:$B$501,A460)))</f>
        <v/>
      </c>
      <c r="E460" s="19" t="str">
        <f aca="false">IF(A460="","",COUNTIF('Injection Sales'!$B$2:$B$501,A460)+COUNTIF('Protein Sales'!$B$2:$B$501,A460)+COUNTIF('Diet Support'!$B$2:$B$501,A460))</f>
        <v/>
      </c>
      <c r="F460" s="20" t="str">
        <f aca="false">IF(A460="","",SUMIF('Injection Sales'!$B$2:$B$501,A460,'Injection Sales'!$G$2:$G$501)+SUMIF('Protein Sales'!$B$2:$B$501,A460,'Protein Sales'!$F$2:$F$501)+SUMIF('Diet Support'!$B$2:$B$501,A460,'Diet Support'!$E$2:$E$501))</f>
        <v/>
      </c>
      <c r="G460" s="21" t="str">
        <f aca="false">IF(OR(A460="",COUNTIF('Injection Sales'!$B$2:$B$501,A460)=0),"",IFERROR(LOOKUP(2,1/(('Injection Sales'!$B$2:$B$501=A460)*('Injection Sales'!$A$2:$A$501=_xlfn.MAXIFS('Injection Sales'!$A$2:$A$501,'Injection Sales'!$B$2:$B$501,A460))),'Injection Sales'!$E$2:$E$501),""))</f>
        <v/>
      </c>
      <c r="H460" s="21" t="str">
        <f aca="false">IF(OR(A460="",COUNTIF('Injection Sales'!$B$2:$B$501,A460)=0),"",IFERROR(LOOKUP(2,1/(('Injection Sales'!$B$2:$B$501=A460)*('Injection Sales'!$A$2:$A$501=_xlfn.MAXIFS('Injection Sales'!$A$2:$A$501,'Injection Sales'!$B$2:$B$501,A460))),'Injection Sales'!$H$2:$H$501),""))</f>
        <v/>
      </c>
      <c r="I460" s="21" t="str">
        <f aca="true">IF(OR(A460="",D460=""),"",IF(TODAY()-D460&lt;=Settings!$B$7,"Active","Inactive"))</f>
        <v/>
      </c>
    </row>
    <row r="461" customFormat="false" ht="15" hidden="false" customHeight="false" outlineLevel="0" collapsed="false">
      <c r="A461" s="1"/>
      <c r="B461" s="22"/>
      <c r="C461" s="18" t="str">
        <f aca="false">IF(OR(A461="",COUNTIF('Injection Sales'!$B$2:$B$501,A461)+COUNTIF('Protein Sales'!$B$2:$B$501,A461)+COUNTIF('Diet Support'!$B$2:$B$501,A461)=0),"",MIN(IF(COUNTIF('Injection Sales'!$B$2:$B$501,A461),_xlfn.MINIFS('Injection Sales'!$A$2:$A$501,'Injection Sales'!$B$2:$B$501,A461),99999),IF(COUNTIF('Protein Sales'!$B$2:$B$501,A461),_xlfn.MINIFS('Protein Sales'!$A$2:$A$501,'Protein Sales'!$B$2:$B$501,A461),99999),IF(COUNTIF('Diet Support'!$B$2:$B$501,A461),_xlfn.MINIFS('Diet Support'!$A$2:$A$501,'Diet Support'!$B$2:$B$501,A461),99999)))</f>
        <v/>
      </c>
      <c r="D461" s="18" t="str">
        <f aca="false">IF(OR(A461="",COUNTIF('Injection Sales'!$B$2:$B$501,A461)+COUNTIF('Protein Sales'!$B$2:$B$501,A461)+COUNTIF('Diet Support'!$B$2:$B$501,A461)=0),"",MAX(_xlfn.MAXIFS('Injection Sales'!$A$2:$A$501,'Injection Sales'!$B$2:$B$501,A461),_xlfn.MAXIFS('Protein Sales'!$A$2:$A$501,'Protein Sales'!$B$2:$B$501,A461),_xlfn.MAXIFS('Diet Support'!$A$2:$A$501,'Diet Support'!$B$2:$B$501,A461)))</f>
        <v/>
      </c>
      <c r="E461" s="19" t="str">
        <f aca="false">IF(A461="","",COUNTIF('Injection Sales'!$B$2:$B$501,A461)+COUNTIF('Protein Sales'!$B$2:$B$501,A461)+COUNTIF('Diet Support'!$B$2:$B$501,A461))</f>
        <v/>
      </c>
      <c r="F461" s="20" t="str">
        <f aca="false">IF(A461="","",SUMIF('Injection Sales'!$B$2:$B$501,A461,'Injection Sales'!$G$2:$G$501)+SUMIF('Protein Sales'!$B$2:$B$501,A461,'Protein Sales'!$F$2:$F$501)+SUMIF('Diet Support'!$B$2:$B$501,A461,'Diet Support'!$E$2:$E$501))</f>
        <v/>
      </c>
      <c r="G461" s="21" t="str">
        <f aca="false">IF(OR(A461="",COUNTIF('Injection Sales'!$B$2:$B$501,A461)=0),"",IFERROR(LOOKUP(2,1/(('Injection Sales'!$B$2:$B$501=A461)*('Injection Sales'!$A$2:$A$501=_xlfn.MAXIFS('Injection Sales'!$A$2:$A$501,'Injection Sales'!$B$2:$B$501,A461))),'Injection Sales'!$E$2:$E$501),""))</f>
        <v/>
      </c>
      <c r="H461" s="21" t="str">
        <f aca="false">IF(OR(A461="",COUNTIF('Injection Sales'!$B$2:$B$501,A461)=0),"",IFERROR(LOOKUP(2,1/(('Injection Sales'!$B$2:$B$501=A461)*('Injection Sales'!$A$2:$A$501=_xlfn.MAXIFS('Injection Sales'!$A$2:$A$501,'Injection Sales'!$B$2:$B$501,A461))),'Injection Sales'!$H$2:$H$501),""))</f>
        <v/>
      </c>
      <c r="I461" s="21" t="str">
        <f aca="true">IF(OR(A461="",D461=""),"",IF(TODAY()-D461&lt;=Settings!$B$7,"Active","Inactive"))</f>
        <v/>
      </c>
    </row>
    <row r="462" customFormat="false" ht="15" hidden="false" customHeight="false" outlineLevel="0" collapsed="false">
      <c r="A462" s="1"/>
      <c r="B462" s="22"/>
      <c r="C462" s="18" t="str">
        <f aca="false">IF(OR(A462="",COUNTIF('Injection Sales'!$B$2:$B$501,A462)+COUNTIF('Protein Sales'!$B$2:$B$501,A462)+COUNTIF('Diet Support'!$B$2:$B$501,A462)=0),"",MIN(IF(COUNTIF('Injection Sales'!$B$2:$B$501,A462),_xlfn.MINIFS('Injection Sales'!$A$2:$A$501,'Injection Sales'!$B$2:$B$501,A462),99999),IF(COUNTIF('Protein Sales'!$B$2:$B$501,A462),_xlfn.MINIFS('Protein Sales'!$A$2:$A$501,'Protein Sales'!$B$2:$B$501,A462),99999),IF(COUNTIF('Diet Support'!$B$2:$B$501,A462),_xlfn.MINIFS('Diet Support'!$A$2:$A$501,'Diet Support'!$B$2:$B$501,A462),99999)))</f>
        <v/>
      </c>
      <c r="D462" s="18" t="str">
        <f aca="false">IF(OR(A462="",COUNTIF('Injection Sales'!$B$2:$B$501,A462)+COUNTIF('Protein Sales'!$B$2:$B$501,A462)+COUNTIF('Diet Support'!$B$2:$B$501,A462)=0),"",MAX(_xlfn.MAXIFS('Injection Sales'!$A$2:$A$501,'Injection Sales'!$B$2:$B$501,A462),_xlfn.MAXIFS('Protein Sales'!$A$2:$A$501,'Protein Sales'!$B$2:$B$501,A462),_xlfn.MAXIFS('Diet Support'!$A$2:$A$501,'Diet Support'!$B$2:$B$501,A462)))</f>
        <v/>
      </c>
      <c r="E462" s="19" t="str">
        <f aca="false">IF(A462="","",COUNTIF('Injection Sales'!$B$2:$B$501,A462)+COUNTIF('Protein Sales'!$B$2:$B$501,A462)+COUNTIF('Diet Support'!$B$2:$B$501,A462))</f>
        <v/>
      </c>
      <c r="F462" s="20" t="str">
        <f aca="false">IF(A462="","",SUMIF('Injection Sales'!$B$2:$B$501,A462,'Injection Sales'!$G$2:$G$501)+SUMIF('Protein Sales'!$B$2:$B$501,A462,'Protein Sales'!$F$2:$F$501)+SUMIF('Diet Support'!$B$2:$B$501,A462,'Diet Support'!$E$2:$E$501))</f>
        <v/>
      </c>
      <c r="G462" s="21" t="str">
        <f aca="false">IF(OR(A462="",COUNTIF('Injection Sales'!$B$2:$B$501,A462)=0),"",IFERROR(LOOKUP(2,1/(('Injection Sales'!$B$2:$B$501=A462)*('Injection Sales'!$A$2:$A$501=_xlfn.MAXIFS('Injection Sales'!$A$2:$A$501,'Injection Sales'!$B$2:$B$501,A462))),'Injection Sales'!$E$2:$E$501),""))</f>
        <v/>
      </c>
      <c r="H462" s="21" t="str">
        <f aca="false">IF(OR(A462="",COUNTIF('Injection Sales'!$B$2:$B$501,A462)=0),"",IFERROR(LOOKUP(2,1/(('Injection Sales'!$B$2:$B$501=A462)*('Injection Sales'!$A$2:$A$501=_xlfn.MAXIFS('Injection Sales'!$A$2:$A$501,'Injection Sales'!$B$2:$B$501,A462))),'Injection Sales'!$H$2:$H$501),""))</f>
        <v/>
      </c>
      <c r="I462" s="21" t="str">
        <f aca="true">IF(OR(A462="",D462=""),"",IF(TODAY()-D462&lt;=Settings!$B$7,"Active","Inactive"))</f>
        <v/>
      </c>
    </row>
    <row r="463" customFormat="false" ht="15" hidden="false" customHeight="false" outlineLevel="0" collapsed="false">
      <c r="A463" s="1"/>
      <c r="B463" s="22"/>
      <c r="C463" s="18" t="str">
        <f aca="false">IF(OR(A463="",COUNTIF('Injection Sales'!$B$2:$B$501,A463)+COUNTIF('Protein Sales'!$B$2:$B$501,A463)+COUNTIF('Diet Support'!$B$2:$B$501,A463)=0),"",MIN(IF(COUNTIF('Injection Sales'!$B$2:$B$501,A463),_xlfn.MINIFS('Injection Sales'!$A$2:$A$501,'Injection Sales'!$B$2:$B$501,A463),99999),IF(COUNTIF('Protein Sales'!$B$2:$B$501,A463),_xlfn.MINIFS('Protein Sales'!$A$2:$A$501,'Protein Sales'!$B$2:$B$501,A463),99999),IF(COUNTIF('Diet Support'!$B$2:$B$501,A463),_xlfn.MINIFS('Diet Support'!$A$2:$A$501,'Diet Support'!$B$2:$B$501,A463),99999)))</f>
        <v/>
      </c>
      <c r="D463" s="18" t="str">
        <f aca="false">IF(OR(A463="",COUNTIF('Injection Sales'!$B$2:$B$501,A463)+COUNTIF('Protein Sales'!$B$2:$B$501,A463)+COUNTIF('Diet Support'!$B$2:$B$501,A463)=0),"",MAX(_xlfn.MAXIFS('Injection Sales'!$A$2:$A$501,'Injection Sales'!$B$2:$B$501,A463),_xlfn.MAXIFS('Protein Sales'!$A$2:$A$501,'Protein Sales'!$B$2:$B$501,A463),_xlfn.MAXIFS('Diet Support'!$A$2:$A$501,'Diet Support'!$B$2:$B$501,A463)))</f>
        <v/>
      </c>
      <c r="E463" s="19" t="str">
        <f aca="false">IF(A463="","",COUNTIF('Injection Sales'!$B$2:$B$501,A463)+COUNTIF('Protein Sales'!$B$2:$B$501,A463)+COUNTIF('Diet Support'!$B$2:$B$501,A463))</f>
        <v/>
      </c>
      <c r="F463" s="20" t="str">
        <f aca="false">IF(A463="","",SUMIF('Injection Sales'!$B$2:$B$501,A463,'Injection Sales'!$G$2:$G$501)+SUMIF('Protein Sales'!$B$2:$B$501,A463,'Protein Sales'!$F$2:$F$501)+SUMIF('Diet Support'!$B$2:$B$501,A463,'Diet Support'!$E$2:$E$501))</f>
        <v/>
      </c>
      <c r="G463" s="21" t="str">
        <f aca="false">IF(OR(A463="",COUNTIF('Injection Sales'!$B$2:$B$501,A463)=0),"",IFERROR(LOOKUP(2,1/(('Injection Sales'!$B$2:$B$501=A463)*('Injection Sales'!$A$2:$A$501=_xlfn.MAXIFS('Injection Sales'!$A$2:$A$501,'Injection Sales'!$B$2:$B$501,A463))),'Injection Sales'!$E$2:$E$501),""))</f>
        <v/>
      </c>
      <c r="H463" s="21" t="str">
        <f aca="false">IF(OR(A463="",COUNTIF('Injection Sales'!$B$2:$B$501,A463)=0),"",IFERROR(LOOKUP(2,1/(('Injection Sales'!$B$2:$B$501=A463)*('Injection Sales'!$A$2:$A$501=_xlfn.MAXIFS('Injection Sales'!$A$2:$A$501,'Injection Sales'!$B$2:$B$501,A463))),'Injection Sales'!$H$2:$H$501),""))</f>
        <v/>
      </c>
      <c r="I463" s="21" t="str">
        <f aca="true">IF(OR(A463="",D463=""),"",IF(TODAY()-D463&lt;=Settings!$B$7,"Active","Inactive"))</f>
        <v/>
      </c>
    </row>
    <row r="464" customFormat="false" ht="15" hidden="false" customHeight="false" outlineLevel="0" collapsed="false">
      <c r="A464" s="1"/>
      <c r="B464" s="22"/>
      <c r="C464" s="18" t="str">
        <f aca="false">IF(OR(A464="",COUNTIF('Injection Sales'!$B$2:$B$501,A464)+COUNTIF('Protein Sales'!$B$2:$B$501,A464)+COUNTIF('Diet Support'!$B$2:$B$501,A464)=0),"",MIN(IF(COUNTIF('Injection Sales'!$B$2:$B$501,A464),_xlfn.MINIFS('Injection Sales'!$A$2:$A$501,'Injection Sales'!$B$2:$B$501,A464),99999),IF(COUNTIF('Protein Sales'!$B$2:$B$501,A464),_xlfn.MINIFS('Protein Sales'!$A$2:$A$501,'Protein Sales'!$B$2:$B$501,A464),99999),IF(COUNTIF('Diet Support'!$B$2:$B$501,A464),_xlfn.MINIFS('Diet Support'!$A$2:$A$501,'Diet Support'!$B$2:$B$501,A464),99999)))</f>
        <v/>
      </c>
      <c r="D464" s="18" t="str">
        <f aca="false">IF(OR(A464="",COUNTIF('Injection Sales'!$B$2:$B$501,A464)+COUNTIF('Protein Sales'!$B$2:$B$501,A464)+COUNTIF('Diet Support'!$B$2:$B$501,A464)=0),"",MAX(_xlfn.MAXIFS('Injection Sales'!$A$2:$A$501,'Injection Sales'!$B$2:$B$501,A464),_xlfn.MAXIFS('Protein Sales'!$A$2:$A$501,'Protein Sales'!$B$2:$B$501,A464),_xlfn.MAXIFS('Diet Support'!$A$2:$A$501,'Diet Support'!$B$2:$B$501,A464)))</f>
        <v/>
      </c>
      <c r="E464" s="19" t="str">
        <f aca="false">IF(A464="","",COUNTIF('Injection Sales'!$B$2:$B$501,A464)+COUNTIF('Protein Sales'!$B$2:$B$501,A464)+COUNTIF('Diet Support'!$B$2:$B$501,A464))</f>
        <v/>
      </c>
      <c r="F464" s="20" t="str">
        <f aca="false">IF(A464="","",SUMIF('Injection Sales'!$B$2:$B$501,A464,'Injection Sales'!$G$2:$G$501)+SUMIF('Protein Sales'!$B$2:$B$501,A464,'Protein Sales'!$F$2:$F$501)+SUMIF('Diet Support'!$B$2:$B$501,A464,'Diet Support'!$E$2:$E$501))</f>
        <v/>
      </c>
      <c r="G464" s="21" t="str">
        <f aca="false">IF(OR(A464="",COUNTIF('Injection Sales'!$B$2:$B$501,A464)=0),"",IFERROR(LOOKUP(2,1/(('Injection Sales'!$B$2:$B$501=A464)*('Injection Sales'!$A$2:$A$501=_xlfn.MAXIFS('Injection Sales'!$A$2:$A$501,'Injection Sales'!$B$2:$B$501,A464))),'Injection Sales'!$E$2:$E$501),""))</f>
        <v/>
      </c>
      <c r="H464" s="21" t="str">
        <f aca="false">IF(OR(A464="",COUNTIF('Injection Sales'!$B$2:$B$501,A464)=0),"",IFERROR(LOOKUP(2,1/(('Injection Sales'!$B$2:$B$501=A464)*('Injection Sales'!$A$2:$A$501=_xlfn.MAXIFS('Injection Sales'!$A$2:$A$501,'Injection Sales'!$B$2:$B$501,A464))),'Injection Sales'!$H$2:$H$501),""))</f>
        <v/>
      </c>
      <c r="I464" s="21" t="str">
        <f aca="true">IF(OR(A464="",D464=""),"",IF(TODAY()-D464&lt;=Settings!$B$7,"Active","Inactive"))</f>
        <v/>
      </c>
    </row>
    <row r="465" customFormat="false" ht="15" hidden="false" customHeight="false" outlineLevel="0" collapsed="false">
      <c r="A465" s="1"/>
      <c r="B465" s="22"/>
      <c r="C465" s="18" t="str">
        <f aca="false">IF(OR(A465="",COUNTIF('Injection Sales'!$B$2:$B$501,A465)+COUNTIF('Protein Sales'!$B$2:$B$501,A465)+COUNTIF('Diet Support'!$B$2:$B$501,A465)=0),"",MIN(IF(COUNTIF('Injection Sales'!$B$2:$B$501,A465),_xlfn.MINIFS('Injection Sales'!$A$2:$A$501,'Injection Sales'!$B$2:$B$501,A465),99999),IF(COUNTIF('Protein Sales'!$B$2:$B$501,A465),_xlfn.MINIFS('Protein Sales'!$A$2:$A$501,'Protein Sales'!$B$2:$B$501,A465),99999),IF(COUNTIF('Diet Support'!$B$2:$B$501,A465),_xlfn.MINIFS('Diet Support'!$A$2:$A$501,'Diet Support'!$B$2:$B$501,A465),99999)))</f>
        <v/>
      </c>
      <c r="D465" s="18" t="str">
        <f aca="false">IF(OR(A465="",COUNTIF('Injection Sales'!$B$2:$B$501,A465)+COUNTIF('Protein Sales'!$B$2:$B$501,A465)+COUNTIF('Diet Support'!$B$2:$B$501,A465)=0),"",MAX(_xlfn.MAXIFS('Injection Sales'!$A$2:$A$501,'Injection Sales'!$B$2:$B$501,A465),_xlfn.MAXIFS('Protein Sales'!$A$2:$A$501,'Protein Sales'!$B$2:$B$501,A465),_xlfn.MAXIFS('Diet Support'!$A$2:$A$501,'Diet Support'!$B$2:$B$501,A465)))</f>
        <v/>
      </c>
      <c r="E465" s="19" t="str">
        <f aca="false">IF(A465="","",COUNTIF('Injection Sales'!$B$2:$B$501,A465)+COUNTIF('Protein Sales'!$B$2:$B$501,A465)+COUNTIF('Diet Support'!$B$2:$B$501,A465))</f>
        <v/>
      </c>
      <c r="F465" s="20" t="str">
        <f aca="false">IF(A465="","",SUMIF('Injection Sales'!$B$2:$B$501,A465,'Injection Sales'!$G$2:$G$501)+SUMIF('Protein Sales'!$B$2:$B$501,A465,'Protein Sales'!$F$2:$F$501)+SUMIF('Diet Support'!$B$2:$B$501,A465,'Diet Support'!$E$2:$E$501))</f>
        <v/>
      </c>
      <c r="G465" s="21" t="str">
        <f aca="false">IF(OR(A465="",COUNTIF('Injection Sales'!$B$2:$B$501,A465)=0),"",IFERROR(LOOKUP(2,1/(('Injection Sales'!$B$2:$B$501=A465)*('Injection Sales'!$A$2:$A$501=_xlfn.MAXIFS('Injection Sales'!$A$2:$A$501,'Injection Sales'!$B$2:$B$501,A465))),'Injection Sales'!$E$2:$E$501),""))</f>
        <v/>
      </c>
      <c r="H465" s="21" t="str">
        <f aca="false">IF(OR(A465="",COUNTIF('Injection Sales'!$B$2:$B$501,A465)=0),"",IFERROR(LOOKUP(2,1/(('Injection Sales'!$B$2:$B$501=A465)*('Injection Sales'!$A$2:$A$501=_xlfn.MAXIFS('Injection Sales'!$A$2:$A$501,'Injection Sales'!$B$2:$B$501,A465))),'Injection Sales'!$H$2:$H$501),""))</f>
        <v/>
      </c>
      <c r="I465" s="21" t="str">
        <f aca="true">IF(OR(A465="",D465=""),"",IF(TODAY()-D465&lt;=Settings!$B$7,"Active","Inactive"))</f>
        <v/>
      </c>
    </row>
    <row r="466" customFormat="false" ht="15" hidden="false" customHeight="false" outlineLevel="0" collapsed="false">
      <c r="A466" s="1"/>
      <c r="B466" s="22"/>
      <c r="C466" s="18" t="str">
        <f aca="false">IF(OR(A466="",COUNTIF('Injection Sales'!$B$2:$B$501,A466)+COUNTIF('Protein Sales'!$B$2:$B$501,A466)+COUNTIF('Diet Support'!$B$2:$B$501,A466)=0),"",MIN(IF(COUNTIF('Injection Sales'!$B$2:$B$501,A466),_xlfn.MINIFS('Injection Sales'!$A$2:$A$501,'Injection Sales'!$B$2:$B$501,A466),99999),IF(COUNTIF('Protein Sales'!$B$2:$B$501,A466),_xlfn.MINIFS('Protein Sales'!$A$2:$A$501,'Protein Sales'!$B$2:$B$501,A466),99999),IF(COUNTIF('Diet Support'!$B$2:$B$501,A466),_xlfn.MINIFS('Diet Support'!$A$2:$A$501,'Diet Support'!$B$2:$B$501,A466),99999)))</f>
        <v/>
      </c>
      <c r="D466" s="18" t="str">
        <f aca="false">IF(OR(A466="",COUNTIF('Injection Sales'!$B$2:$B$501,A466)+COUNTIF('Protein Sales'!$B$2:$B$501,A466)+COUNTIF('Diet Support'!$B$2:$B$501,A466)=0),"",MAX(_xlfn.MAXIFS('Injection Sales'!$A$2:$A$501,'Injection Sales'!$B$2:$B$501,A466),_xlfn.MAXIFS('Protein Sales'!$A$2:$A$501,'Protein Sales'!$B$2:$B$501,A466),_xlfn.MAXIFS('Diet Support'!$A$2:$A$501,'Diet Support'!$B$2:$B$501,A466)))</f>
        <v/>
      </c>
      <c r="E466" s="19" t="str">
        <f aca="false">IF(A466="","",COUNTIF('Injection Sales'!$B$2:$B$501,A466)+COUNTIF('Protein Sales'!$B$2:$B$501,A466)+COUNTIF('Diet Support'!$B$2:$B$501,A466))</f>
        <v/>
      </c>
      <c r="F466" s="20" t="str">
        <f aca="false">IF(A466="","",SUMIF('Injection Sales'!$B$2:$B$501,A466,'Injection Sales'!$G$2:$G$501)+SUMIF('Protein Sales'!$B$2:$B$501,A466,'Protein Sales'!$F$2:$F$501)+SUMIF('Diet Support'!$B$2:$B$501,A466,'Diet Support'!$E$2:$E$501))</f>
        <v/>
      </c>
      <c r="G466" s="21" t="str">
        <f aca="false">IF(OR(A466="",COUNTIF('Injection Sales'!$B$2:$B$501,A466)=0),"",IFERROR(LOOKUP(2,1/(('Injection Sales'!$B$2:$B$501=A466)*('Injection Sales'!$A$2:$A$501=_xlfn.MAXIFS('Injection Sales'!$A$2:$A$501,'Injection Sales'!$B$2:$B$501,A466))),'Injection Sales'!$E$2:$E$501),""))</f>
        <v/>
      </c>
      <c r="H466" s="21" t="str">
        <f aca="false">IF(OR(A466="",COUNTIF('Injection Sales'!$B$2:$B$501,A466)=0),"",IFERROR(LOOKUP(2,1/(('Injection Sales'!$B$2:$B$501=A466)*('Injection Sales'!$A$2:$A$501=_xlfn.MAXIFS('Injection Sales'!$A$2:$A$501,'Injection Sales'!$B$2:$B$501,A466))),'Injection Sales'!$H$2:$H$501),""))</f>
        <v/>
      </c>
      <c r="I466" s="21" t="str">
        <f aca="true">IF(OR(A466="",D466=""),"",IF(TODAY()-D466&lt;=Settings!$B$7,"Active","Inactive"))</f>
        <v/>
      </c>
    </row>
    <row r="467" customFormat="false" ht="15" hidden="false" customHeight="false" outlineLevel="0" collapsed="false">
      <c r="A467" s="1"/>
      <c r="B467" s="22"/>
      <c r="C467" s="18" t="str">
        <f aca="false">IF(OR(A467="",COUNTIF('Injection Sales'!$B$2:$B$501,A467)+COUNTIF('Protein Sales'!$B$2:$B$501,A467)+COUNTIF('Diet Support'!$B$2:$B$501,A467)=0),"",MIN(IF(COUNTIF('Injection Sales'!$B$2:$B$501,A467),_xlfn.MINIFS('Injection Sales'!$A$2:$A$501,'Injection Sales'!$B$2:$B$501,A467),99999),IF(COUNTIF('Protein Sales'!$B$2:$B$501,A467),_xlfn.MINIFS('Protein Sales'!$A$2:$A$501,'Protein Sales'!$B$2:$B$501,A467),99999),IF(COUNTIF('Diet Support'!$B$2:$B$501,A467),_xlfn.MINIFS('Diet Support'!$A$2:$A$501,'Diet Support'!$B$2:$B$501,A467),99999)))</f>
        <v/>
      </c>
      <c r="D467" s="18" t="str">
        <f aca="false">IF(OR(A467="",COUNTIF('Injection Sales'!$B$2:$B$501,A467)+COUNTIF('Protein Sales'!$B$2:$B$501,A467)+COUNTIF('Diet Support'!$B$2:$B$501,A467)=0),"",MAX(_xlfn.MAXIFS('Injection Sales'!$A$2:$A$501,'Injection Sales'!$B$2:$B$501,A467),_xlfn.MAXIFS('Protein Sales'!$A$2:$A$501,'Protein Sales'!$B$2:$B$501,A467),_xlfn.MAXIFS('Diet Support'!$A$2:$A$501,'Diet Support'!$B$2:$B$501,A467)))</f>
        <v/>
      </c>
      <c r="E467" s="19" t="str">
        <f aca="false">IF(A467="","",COUNTIF('Injection Sales'!$B$2:$B$501,A467)+COUNTIF('Protein Sales'!$B$2:$B$501,A467)+COUNTIF('Diet Support'!$B$2:$B$501,A467))</f>
        <v/>
      </c>
      <c r="F467" s="20" t="str">
        <f aca="false">IF(A467="","",SUMIF('Injection Sales'!$B$2:$B$501,A467,'Injection Sales'!$G$2:$G$501)+SUMIF('Protein Sales'!$B$2:$B$501,A467,'Protein Sales'!$F$2:$F$501)+SUMIF('Diet Support'!$B$2:$B$501,A467,'Diet Support'!$E$2:$E$501))</f>
        <v/>
      </c>
      <c r="G467" s="21" t="str">
        <f aca="false">IF(OR(A467="",COUNTIF('Injection Sales'!$B$2:$B$501,A467)=0),"",IFERROR(LOOKUP(2,1/(('Injection Sales'!$B$2:$B$501=A467)*('Injection Sales'!$A$2:$A$501=_xlfn.MAXIFS('Injection Sales'!$A$2:$A$501,'Injection Sales'!$B$2:$B$501,A467))),'Injection Sales'!$E$2:$E$501),""))</f>
        <v/>
      </c>
      <c r="H467" s="21" t="str">
        <f aca="false">IF(OR(A467="",COUNTIF('Injection Sales'!$B$2:$B$501,A467)=0),"",IFERROR(LOOKUP(2,1/(('Injection Sales'!$B$2:$B$501=A467)*('Injection Sales'!$A$2:$A$501=_xlfn.MAXIFS('Injection Sales'!$A$2:$A$501,'Injection Sales'!$B$2:$B$501,A467))),'Injection Sales'!$H$2:$H$501),""))</f>
        <v/>
      </c>
      <c r="I467" s="21" t="str">
        <f aca="true">IF(OR(A467="",D467=""),"",IF(TODAY()-D467&lt;=Settings!$B$7,"Active","Inactive"))</f>
        <v/>
      </c>
    </row>
    <row r="468" customFormat="false" ht="15" hidden="false" customHeight="false" outlineLevel="0" collapsed="false">
      <c r="A468" s="1"/>
      <c r="B468" s="22"/>
      <c r="C468" s="18" t="str">
        <f aca="false">IF(OR(A468="",COUNTIF('Injection Sales'!$B$2:$B$501,A468)+COUNTIF('Protein Sales'!$B$2:$B$501,A468)+COUNTIF('Diet Support'!$B$2:$B$501,A468)=0),"",MIN(IF(COUNTIF('Injection Sales'!$B$2:$B$501,A468),_xlfn.MINIFS('Injection Sales'!$A$2:$A$501,'Injection Sales'!$B$2:$B$501,A468),99999),IF(COUNTIF('Protein Sales'!$B$2:$B$501,A468),_xlfn.MINIFS('Protein Sales'!$A$2:$A$501,'Protein Sales'!$B$2:$B$501,A468),99999),IF(COUNTIF('Diet Support'!$B$2:$B$501,A468),_xlfn.MINIFS('Diet Support'!$A$2:$A$501,'Diet Support'!$B$2:$B$501,A468),99999)))</f>
        <v/>
      </c>
      <c r="D468" s="18" t="str">
        <f aca="false">IF(OR(A468="",COUNTIF('Injection Sales'!$B$2:$B$501,A468)+COUNTIF('Protein Sales'!$B$2:$B$501,A468)+COUNTIF('Diet Support'!$B$2:$B$501,A468)=0),"",MAX(_xlfn.MAXIFS('Injection Sales'!$A$2:$A$501,'Injection Sales'!$B$2:$B$501,A468),_xlfn.MAXIFS('Protein Sales'!$A$2:$A$501,'Protein Sales'!$B$2:$B$501,A468),_xlfn.MAXIFS('Diet Support'!$A$2:$A$501,'Diet Support'!$B$2:$B$501,A468)))</f>
        <v/>
      </c>
      <c r="E468" s="19" t="str">
        <f aca="false">IF(A468="","",COUNTIF('Injection Sales'!$B$2:$B$501,A468)+COUNTIF('Protein Sales'!$B$2:$B$501,A468)+COUNTIF('Diet Support'!$B$2:$B$501,A468))</f>
        <v/>
      </c>
      <c r="F468" s="20" t="str">
        <f aca="false">IF(A468="","",SUMIF('Injection Sales'!$B$2:$B$501,A468,'Injection Sales'!$G$2:$G$501)+SUMIF('Protein Sales'!$B$2:$B$501,A468,'Protein Sales'!$F$2:$F$501)+SUMIF('Diet Support'!$B$2:$B$501,A468,'Diet Support'!$E$2:$E$501))</f>
        <v/>
      </c>
      <c r="G468" s="21" t="str">
        <f aca="false">IF(OR(A468="",COUNTIF('Injection Sales'!$B$2:$B$501,A468)=0),"",IFERROR(LOOKUP(2,1/(('Injection Sales'!$B$2:$B$501=A468)*('Injection Sales'!$A$2:$A$501=_xlfn.MAXIFS('Injection Sales'!$A$2:$A$501,'Injection Sales'!$B$2:$B$501,A468))),'Injection Sales'!$E$2:$E$501),""))</f>
        <v/>
      </c>
      <c r="H468" s="21" t="str">
        <f aca="false">IF(OR(A468="",COUNTIF('Injection Sales'!$B$2:$B$501,A468)=0),"",IFERROR(LOOKUP(2,1/(('Injection Sales'!$B$2:$B$501=A468)*('Injection Sales'!$A$2:$A$501=_xlfn.MAXIFS('Injection Sales'!$A$2:$A$501,'Injection Sales'!$B$2:$B$501,A468))),'Injection Sales'!$H$2:$H$501),""))</f>
        <v/>
      </c>
      <c r="I468" s="21" t="str">
        <f aca="true">IF(OR(A468="",D468=""),"",IF(TODAY()-D468&lt;=Settings!$B$7,"Active","Inactive"))</f>
        <v/>
      </c>
    </row>
    <row r="469" customFormat="false" ht="15" hidden="false" customHeight="false" outlineLevel="0" collapsed="false">
      <c r="A469" s="1"/>
      <c r="B469" s="22"/>
      <c r="C469" s="18" t="str">
        <f aca="false">IF(OR(A469="",COUNTIF('Injection Sales'!$B$2:$B$501,A469)+COUNTIF('Protein Sales'!$B$2:$B$501,A469)+COUNTIF('Diet Support'!$B$2:$B$501,A469)=0),"",MIN(IF(COUNTIF('Injection Sales'!$B$2:$B$501,A469),_xlfn.MINIFS('Injection Sales'!$A$2:$A$501,'Injection Sales'!$B$2:$B$501,A469),99999),IF(COUNTIF('Protein Sales'!$B$2:$B$501,A469),_xlfn.MINIFS('Protein Sales'!$A$2:$A$501,'Protein Sales'!$B$2:$B$501,A469),99999),IF(COUNTIF('Diet Support'!$B$2:$B$501,A469),_xlfn.MINIFS('Diet Support'!$A$2:$A$501,'Diet Support'!$B$2:$B$501,A469),99999)))</f>
        <v/>
      </c>
      <c r="D469" s="18" t="str">
        <f aca="false">IF(OR(A469="",COUNTIF('Injection Sales'!$B$2:$B$501,A469)+COUNTIF('Protein Sales'!$B$2:$B$501,A469)+COUNTIF('Diet Support'!$B$2:$B$501,A469)=0),"",MAX(_xlfn.MAXIFS('Injection Sales'!$A$2:$A$501,'Injection Sales'!$B$2:$B$501,A469),_xlfn.MAXIFS('Protein Sales'!$A$2:$A$501,'Protein Sales'!$B$2:$B$501,A469),_xlfn.MAXIFS('Diet Support'!$A$2:$A$501,'Diet Support'!$B$2:$B$501,A469)))</f>
        <v/>
      </c>
      <c r="E469" s="19" t="str">
        <f aca="false">IF(A469="","",COUNTIF('Injection Sales'!$B$2:$B$501,A469)+COUNTIF('Protein Sales'!$B$2:$B$501,A469)+COUNTIF('Diet Support'!$B$2:$B$501,A469))</f>
        <v/>
      </c>
      <c r="F469" s="20" t="str">
        <f aca="false">IF(A469="","",SUMIF('Injection Sales'!$B$2:$B$501,A469,'Injection Sales'!$G$2:$G$501)+SUMIF('Protein Sales'!$B$2:$B$501,A469,'Protein Sales'!$F$2:$F$501)+SUMIF('Diet Support'!$B$2:$B$501,A469,'Diet Support'!$E$2:$E$501))</f>
        <v/>
      </c>
      <c r="G469" s="21" t="str">
        <f aca="false">IF(OR(A469="",COUNTIF('Injection Sales'!$B$2:$B$501,A469)=0),"",IFERROR(LOOKUP(2,1/(('Injection Sales'!$B$2:$B$501=A469)*('Injection Sales'!$A$2:$A$501=_xlfn.MAXIFS('Injection Sales'!$A$2:$A$501,'Injection Sales'!$B$2:$B$501,A469))),'Injection Sales'!$E$2:$E$501),""))</f>
        <v/>
      </c>
      <c r="H469" s="21" t="str">
        <f aca="false">IF(OR(A469="",COUNTIF('Injection Sales'!$B$2:$B$501,A469)=0),"",IFERROR(LOOKUP(2,1/(('Injection Sales'!$B$2:$B$501=A469)*('Injection Sales'!$A$2:$A$501=_xlfn.MAXIFS('Injection Sales'!$A$2:$A$501,'Injection Sales'!$B$2:$B$501,A469))),'Injection Sales'!$H$2:$H$501),""))</f>
        <v/>
      </c>
      <c r="I469" s="21" t="str">
        <f aca="true">IF(OR(A469="",D469=""),"",IF(TODAY()-D469&lt;=Settings!$B$7,"Active","Inactive"))</f>
        <v/>
      </c>
    </row>
    <row r="470" customFormat="false" ht="15" hidden="false" customHeight="false" outlineLevel="0" collapsed="false">
      <c r="A470" s="1"/>
      <c r="B470" s="22"/>
      <c r="C470" s="18" t="str">
        <f aca="false">IF(OR(A470="",COUNTIF('Injection Sales'!$B$2:$B$501,A470)+COUNTIF('Protein Sales'!$B$2:$B$501,A470)+COUNTIF('Diet Support'!$B$2:$B$501,A470)=0),"",MIN(IF(COUNTIF('Injection Sales'!$B$2:$B$501,A470),_xlfn.MINIFS('Injection Sales'!$A$2:$A$501,'Injection Sales'!$B$2:$B$501,A470),99999),IF(COUNTIF('Protein Sales'!$B$2:$B$501,A470),_xlfn.MINIFS('Protein Sales'!$A$2:$A$501,'Protein Sales'!$B$2:$B$501,A470),99999),IF(COUNTIF('Diet Support'!$B$2:$B$501,A470),_xlfn.MINIFS('Diet Support'!$A$2:$A$501,'Diet Support'!$B$2:$B$501,A470),99999)))</f>
        <v/>
      </c>
      <c r="D470" s="18" t="str">
        <f aca="false">IF(OR(A470="",COUNTIF('Injection Sales'!$B$2:$B$501,A470)+COUNTIF('Protein Sales'!$B$2:$B$501,A470)+COUNTIF('Diet Support'!$B$2:$B$501,A470)=0),"",MAX(_xlfn.MAXIFS('Injection Sales'!$A$2:$A$501,'Injection Sales'!$B$2:$B$501,A470),_xlfn.MAXIFS('Protein Sales'!$A$2:$A$501,'Protein Sales'!$B$2:$B$501,A470),_xlfn.MAXIFS('Diet Support'!$A$2:$A$501,'Diet Support'!$B$2:$B$501,A470)))</f>
        <v/>
      </c>
      <c r="E470" s="19" t="str">
        <f aca="false">IF(A470="","",COUNTIF('Injection Sales'!$B$2:$B$501,A470)+COUNTIF('Protein Sales'!$B$2:$B$501,A470)+COUNTIF('Diet Support'!$B$2:$B$501,A470))</f>
        <v/>
      </c>
      <c r="F470" s="20" t="str">
        <f aca="false">IF(A470="","",SUMIF('Injection Sales'!$B$2:$B$501,A470,'Injection Sales'!$G$2:$G$501)+SUMIF('Protein Sales'!$B$2:$B$501,A470,'Protein Sales'!$F$2:$F$501)+SUMIF('Diet Support'!$B$2:$B$501,A470,'Diet Support'!$E$2:$E$501))</f>
        <v/>
      </c>
      <c r="G470" s="21" t="str">
        <f aca="false">IF(OR(A470="",COUNTIF('Injection Sales'!$B$2:$B$501,A470)=0),"",IFERROR(LOOKUP(2,1/(('Injection Sales'!$B$2:$B$501=A470)*('Injection Sales'!$A$2:$A$501=_xlfn.MAXIFS('Injection Sales'!$A$2:$A$501,'Injection Sales'!$B$2:$B$501,A470))),'Injection Sales'!$E$2:$E$501),""))</f>
        <v/>
      </c>
      <c r="H470" s="21" t="str">
        <f aca="false">IF(OR(A470="",COUNTIF('Injection Sales'!$B$2:$B$501,A470)=0),"",IFERROR(LOOKUP(2,1/(('Injection Sales'!$B$2:$B$501=A470)*('Injection Sales'!$A$2:$A$501=_xlfn.MAXIFS('Injection Sales'!$A$2:$A$501,'Injection Sales'!$B$2:$B$501,A470))),'Injection Sales'!$H$2:$H$501),""))</f>
        <v/>
      </c>
      <c r="I470" s="21" t="str">
        <f aca="true">IF(OR(A470="",D470=""),"",IF(TODAY()-D470&lt;=Settings!$B$7,"Active","Inactive"))</f>
        <v/>
      </c>
    </row>
    <row r="471" customFormat="false" ht="15" hidden="false" customHeight="false" outlineLevel="0" collapsed="false">
      <c r="A471" s="1"/>
      <c r="B471" s="22"/>
      <c r="C471" s="18" t="str">
        <f aca="false">IF(OR(A471="",COUNTIF('Injection Sales'!$B$2:$B$501,A471)+COUNTIF('Protein Sales'!$B$2:$B$501,A471)+COUNTIF('Diet Support'!$B$2:$B$501,A471)=0),"",MIN(IF(COUNTIF('Injection Sales'!$B$2:$B$501,A471),_xlfn.MINIFS('Injection Sales'!$A$2:$A$501,'Injection Sales'!$B$2:$B$501,A471),99999),IF(COUNTIF('Protein Sales'!$B$2:$B$501,A471),_xlfn.MINIFS('Protein Sales'!$A$2:$A$501,'Protein Sales'!$B$2:$B$501,A471),99999),IF(COUNTIF('Diet Support'!$B$2:$B$501,A471),_xlfn.MINIFS('Diet Support'!$A$2:$A$501,'Diet Support'!$B$2:$B$501,A471),99999)))</f>
        <v/>
      </c>
      <c r="D471" s="18" t="str">
        <f aca="false">IF(OR(A471="",COUNTIF('Injection Sales'!$B$2:$B$501,A471)+COUNTIF('Protein Sales'!$B$2:$B$501,A471)+COUNTIF('Diet Support'!$B$2:$B$501,A471)=0),"",MAX(_xlfn.MAXIFS('Injection Sales'!$A$2:$A$501,'Injection Sales'!$B$2:$B$501,A471),_xlfn.MAXIFS('Protein Sales'!$A$2:$A$501,'Protein Sales'!$B$2:$B$501,A471),_xlfn.MAXIFS('Diet Support'!$A$2:$A$501,'Diet Support'!$B$2:$B$501,A471)))</f>
        <v/>
      </c>
      <c r="E471" s="19" t="str">
        <f aca="false">IF(A471="","",COUNTIF('Injection Sales'!$B$2:$B$501,A471)+COUNTIF('Protein Sales'!$B$2:$B$501,A471)+COUNTIF('Diet Support'!$B$2:$B$501,A471))</f>
        <v/>
      </c>
      <c r="F471" s="20" t="str">
        <f aca="false">IF(A471="","",SUMIF('Injection Sales'!$B$2:$B$501,A471,'Injection Sales'!$G$2:$G$501)+SUMIF('Protein Sales'!$B$2:$B$501,A471,'Protein Sales'!$F$2:$F$501)+SUMIF('Diet Support'!$B$2:$B$501,A471,'Diet Support'!$E$2:$E$501))</f>
        <v/>
      </c>
      <c r="G471" s="21" t="str">
        <f aca="false">IF(OR(A471="",COUNTIF('Injection Sales'!$B$2:$B$501,A471)=0),"",IFERROR(LOOKUP(2,1/(('Injection Sales'!$B$2:$B$501=A471)*('Injection Sales'!$A$2:$A$501=_xlfn.MAXIFS('Injection Sales'!$A$2:$A$501,'Injection Sales'!$B$2:$B$501,A471))),'Injection Sales'!$E$2:$E$501),""))</f>
        <v/>
      </c>
      <c r="H471" s="21" t="str">
        <f aca="false">IF(OR(A471="",COUNTIF('Injection Sales'!$B$2:$B$501,A471)=0),"",IFERROR(LOOKUP(2,1/(('Injection Sales'!$B$2:$B$501=A471)*('Injection Sales'!$A$2:$A$501=_xlfn.MAXIFS('Injection Sales'!$A$2:$A$501,'Injection Sales'!$B$2:$B$501,A471))),'Injection Sales'!$H$2:$H$501),""))</f>
        <v/>
      </c>
      <c r="I471" s="21" t="str">
        <f aca="true">IF(OR(A471="",D471=""),"",IF(TODAY()-D471&lt;=Settings!$B$7,"Active","Inactive"))</f>
        <v/>
      </c>
    </row>
    <row r="472" customFormat="false" ht="15" hidden="false" customHeight="false" outlineLevel="0" collapsed="false">
      <c r="A472" s="1"/>
      <c r="B472" s="22"/>
      <c r="C472" s="18" t="str">
        <f aca="false">IF(OR(A472="",COUNTIF('Injection Sales'!$B$2:$B$501,A472)+COUNTIF('Protein Sales'!$B$2:$B$501,A472)+COUNTIF('Diet Support'!$B$2:$B$501,A472)=0),"",MIN(IF(COUNTIF('Injection Sales'!$B$2:$B$501,A472),_xlfn.MINIFS('Injection Sales'!$A$2:$A$501,'Injection Sales'!$B$2:$B$501,A472),99999),IF(COUNTIF('Protein Sales'!$B$2:$B$501,A472),_xlfn.MINIFS('Protein Sales'!$A$2:$A$501,'Protein Sales'!$B$2:$B$501,A472),99999),IF(COUNTIF('Diet Support'!$B$2:$B$501,A472),_xlfn.MINIFS('Diet Support'!$A$2:$A$501,'Diet Support'!$B$2:$B$501,A472),99999)))</f>
        <v/>
      </c>
      <c r="D472" s="18" t="str">
        <f aca="false">IF(OR(A472="",COUNTIF('Injection Sales'!$B$2:$B$501,A472)+COUNTIF('Protein Sales'!$B$2:$B$501,A472)+COUNTIF('Diet Support'!$B$2:$B$501,A472)=0),"",MAX(_xlfn.MAXIFS('Injection Sales'!$A$2:$A$501,'Injection Sales'!$B$2:$B$501,A472),_xlfn.MAXIFS('Protein Sales'!$A$2:$A$501,'Protein Sales'!$B$2:$B$501,A472),_xlfn.MAXIFS('Diet Support'!$A$2:$A$501,'Diet Support'!$B$2:$B$501,A472)))</f>
        <v/>
      </c>
      <c r="E472" s="19" t="str">
        <f aca="false">IF(A472="","",COUNTIF('Injection Sales'!$B$2:$B$501,A472)+COUNTIF('Protein Sales'!$B$2:$B$501,A472)+COUNTIF('Diet Support'!$B$2:$B$501,A472))</f>
        <v/>
      </c>
      <c r="F472" s="20" t="str">
        <f aca="false">IF(A472="","",SUMIF('Injection Sales'!$B$2:$B$501,A472,'Injection Sales'!$G$2:$G$501)+SUMIF('Protein Sales'!$B$2:$B$501,A472,'Protein Sales'!$F$2:$F$501)+SUMIF('Diet Support'!$B$2:$B$501,A472,'Diet Support'!$E$2:$E$501))</f>
        <v/>
      </c>
      <c r="G472" s="21" t="str">
        <f aca="false">IF(OR(A472="",COUNTIF('Injection Sales'!$B$2:$B$501,A472)=0),"",IFERROR(LOOKUP(2,1/(('Injection Sales'!$B$2:$B$501=A472)*('Injection Sales'!$A$2:$A$501=_xlfn.MAXIFS('Injection Sales'!$A$2:$A$501,'Injection Sales'!$B$2:$B$501,A472))),'Injection Sales'!$E$2:$E$501),""))</f>
        <v/>
      </c>
      <c r="H472" s="21" t="str">
        <f aca="false">IF(OR(A472="",COUNTIF('Injection Sales'!$B$2:$B$501,A472)=0),"",IFERROR(LOOKUP(2,1/(('Injection Sales'!$B$2:$B$501=A472)*('Injection Sales'!$A$2:$A$501=_xlfn.MAXIFS('Injection Sales'!$A$2:$A$501,'Injection Sales'!$B$2:$B$501,A472))),'Injection Sales'!$H$2:$H$501),""))</f>
        <v/>
      </c>
      <c r="I472" s="21" t="str">
        <f aca="true">IF(OR(A472="",D472=""),"",IF(TODAY()-D472&lt;=Settings!$B$7,"Active","Inactive"))</f>
        <v/>
      </c>
    </row>
    <row r="473" customFormat="false" ht="15" hidden="false" customHeight="false" outlineLevel="0" collapsed="false">
      <c r="A473" s="1"/>
      <c r="B473" s="22"/>
      <c r="C473" s="18" t="str">
        <f aca="false">IF(OR(A473="",COUNTIF('Injection Sales'!$B$2:$B$501,A473)+COUNTIF('Protein Sales'!$B$2:$B$501,A473)+COUNTIF('Diet Support'!$B$2:$B$501,A473)=0),"",MIN(IF(COUNTIF('Injection Sales'!$B$2:$B$501,A473),_xlfn.MINIFS('Injection Sales'!$A$2:$A$501,'Injection Sales'!$B$2:$B$501,A473),99999),IF(COUNTIF('Protein Sales'!$B$2:$B$501,A473),_xlfn.MINIFS('Protein Sales'!$A$2:$A$501,'Protein Sales'!$B$2:$B$501,A473),99999),IF(COUNTIF('Diet Support'!$B$2:$B$501,A473),_xlfn.MINIFS('Diet Support'!$A$2:$A$501,'Diet Support'!$B$2:$B$501,A473),99999)))</f>
        <v/>
      </c>
      <c r="D473" s="18" t="str">
        <f aca="false">IF(OR(A473="",COUNTIF('Injection Sales'!$B$2:$B$501,A473)+COUNTIF('Protein Sales'!$B$2:$B$501,A473)+COUNTIF('Diet Support'!$B$2:$B$501,A473)=0),"",MAX(_xlfn.MAXIFS('Injection Sales'!$A$2:$A$501,'Injection Sales'!$B$2:$B$501,A473),_xlfn.MAXIFS('Protein Sales'!$A$2:$A$501,'Protein Sales'!$B$2:$B$501,A473),_xlfn.MAXIFS('Diet Support'!$A$2:$A$501,'Diet Support'!$B$2:$B$501,A473)))</f>
        <v/>
      </c>
      <c r="E473" s="19" t="str">
        <f aca="false">IF(A473="","",COUNTIF('Injection Sales'!$B$2:$B$501,A473)+COUNTIF('Protein Sales'!$B$2:$B$501,A473)+COUNTIF('Diet Support'!$B$2:$B$501,A473))</f>
        <v/>
      </c>
      <c r="F473" s="20" t="str">
        <f aca="false">IF(A473="","",SUMIF('Injection Sales'!$B$2:$B$501,A473,'Injection Sales'!$G$2:$G$501)+SUMIF('Protein Sales'!$B$2:$B$501,A473,'Protein Sales'!$F$2:$F$501)+SUMIF('Diet Support'!$B$2:$B$501,A473,'Diet Support'!$E$2:$E$501))</f>
        <v/>
      </c>
      <c r="G473" s="21" t="str">
        <f aca="false">IF(OR(A473="",COUNTIF('Injection Sales'!$B$2:$B$501,A473)=0),"",IFERROR(LOOKUP(2,1/(('Injection Sales'!$B$2:$B$501=A473)*('Injection Sales'!$A$2:$A$501=_xlfn.MAXIFS('Injection Sales'!$A$2:$A$501,'Injection Sales'!$B$2:$B$501,A473))),'Injection Sales'!$E$2:$E$501),""))</f>
        <v/>
      </c>
      <c r="H473" s="21" t="str">
        <f aca="false">IF(OR(A473="",COUNTIF('Injection Sales'!$B$2:$B$501,A473)=0),"",IFERROR(LOOKUP(2,1/(('Injection Sales'!$B$2:$B$501=A473)*('Injection Sales'!$A$2:$A$501=_xlfn.MAXIFS('Injection Sales'!$A$2:$A$501,'Injection Sales'!$B$2:$B$501,A473))),'Injection Sales'!$H$2:$H$501),""))</f>
        <v/>
      </c>
      <c r="I473" s="21" t="str">
        <f aca="true">IF(OR(A473="",D473=""),"",IF(TODAY()-D473&lt;=Settings!$B$7,"Active","Inactive"))</f>
        <v/>
      </c>
    </row>
    <row r="474" customFormat="false" ht="15" hidden="false" customHeight="false" outlineLevel="0" collapsed="false">
      <c r="A474" s="1"/>
      <c r="B474" s="22"/>
      <c r="C474" s="18" t="str">
        <f aca="false">IF(OR(A474="",COUNTIF('Injection Sales'!$B$2:$B$501,A474)+COUNTIF('Protein Sales'!$B$2:$B$501,A474)+COUNTIF('Diet Support'!$B$2:$B$501,A474)=0),"",MIN(IF(COUNTIF('Injection Sales'!$B$2:$B$501,A474),_xlfn.MINIFS('Injection Sales'!$A$2:$A$501,'Injection Sales'!$B$2:$B$501,A474),99999),IF(COUNTIF('Protein Sales'!$B$2:$B$501,A474),_xlfn.MINIFS('Protein Sales'!$A$2:$A$501,'Protein Sales'!$B$2:$B$501,A474),99999),IF(COUNTIF('Diet Support'!$B$2:$B$501,A474),_xlfn.MINIFS('Diet Support'!$A$2:$A$501,'Diet Support'!$B$2:$B$501,A474),99999)))</f>
        <v/>
      </c>
      <c r="D474" s="18" t="str">
        <f aca="false">IF(OR(A474="",COUNTIF('Injection Sales'!$B$2:$B$501,A474)+COUNTIF('Protein Sales'!$B$2:$B$501,A474)+COUNTIF('Diet Support'!$B$2:$B$501,A474)=0),"",MAX(_xlfn.MAXIFS('Injection Sales'!$A$2:$A$501,'Injection Sales'!$B$2:$B$501,A474),_xlfn.MAXIFS('Protein Sales'!$A$2:$A$501,'Protein Sales'!$B$2:$B$501,A474),_xlfn.MAXIFS('Diet Support'!$A$2:$A$501,'Diet Support'!$B$2:$B$501,A474)))</f>
        <v/>
      </c>
      <c r="E474" s="19" t="str">
        <f aca="false">IF(A474="","",COUNTIF('Injection Sales'!$B$2:$B$501,A474)+COUNTIF('Protein Sales'!$B$2:$B$501,A474)+COUNTIF('Diet Support'!$B$2:$B$501,A474))</f>
        <v/>
      </c>
      <c r="F474" s="20" t="str">
        <f aca="false">IF(A474="","",SUMIF('Injection Sales'!$B$2:$B$501,A474,'Injection Sales'!$G$2:$G$501)+SUMIF('Protein Sales'!$B$2:$B$501,A474,'Protein Sales'!$F$2:$F$501)+SUMIF('Diet Support'!$B$2:$B$501,A474,'Diet Support'!$E$2:$E$501))</f>
        <v/>
      </c>
      <c r="G474" s="21" t="str">
        <f aca="false">IF(OR(A474="",COUNTIF('Injection Sales'!$B$2:$B$501,A474)=0),"",IFERROR(LOOKUP(2,1/(('Injection Sales'!$B$2:$B$501=A474)*('Injection Sales'!$A$2:$A$501=_xlfn.MAXIFS('Injection Sales'!$A$2:$A$501,'Injection Sales'!$B$2:$B$501,A474))),'Injection Sales'!$E$2:$E$501),""))</f>
        <v/>
      </c>
      <c r="H474" s="21" t="str">
        <f aca="false">IF(OR(A474="",COUNTIF('Injection Sales'!$B$2:$B$501,A474)=0),"",IFERROR(LOOKUP(2,1/(('Injection Sales'!$B$2:$B$501=A474)*('Injection Sales'!$A$2:$A$501=_xlfn.MAXIFS('Injection Sales'!$A$2:$A$501,'Injection Sales'!$B$2:$B$501,A474))),'Injection Sales'!$H$2:$H$501),""))</f>
        <v/>
      </c>
      <c r="I474" s="21" t="str">
        <f aca="true">IF(OR(A474="",D474=""),"",IF(TODAY()-D474&lt;=Settings!$B$7,"Active","Inactive"))</f>
        <v/>
      </c>
    </row>
    <row r="475" customFormat="false" ht="15" hidden="false" customHeight="false" outlineLevel="0" collapsed="false">
      <c r="A475" s="1"/>
      <c r="B475" s="22"/>
      <c r="C475" s="18" t="str">
        <f aca="false">IF(OR(A475="",COUNTIF('Injection Sales'!$B$2:$B$501,A475)+COUNTIF('Protein Sales'!$B$2:$B$501,A475)+COUNTIF('Diet Support'!$B$2:$B$501,A475)=0),"",MIN(IF(COUNTIF('Injection Sales'!$B$2:$B$501,A475),_xlfn.MINIFS('Injection Sales'!$A$2:$A$501,'Injection Sales'!$B$2:$B$501,A475),99999),IF(COUNTIF('Protein Sales'!$B$2:$B$501,A475),_xlfn.MINIFS('Protein Sales'!$A$2:$A$501,'Protein Sales'!$B$2:$B$501,A475),99999),IF(COUNTIF('Diet Support'!$B$2:$B$501,A475),_xlfn.MINIFS('Diet Support'!$A$2:$A$501,'Diet Support'!$B$2:$B$501,A475),99999)))</f>
        <v/>
      </c>
      <c r="D475" s="18" t="str">
        <f aca="false">IF(OR(A475="",COUNTIF('Injection Sales'!$B$2:$B$501,A475)+COUNTIF('Protein Sales'!$B$2:$B$501,A475)+COUNTIF('Diet Support'!$B$2:$B$501,A475)=0),"",MAX(_xlfn.MAXIFS('Injection Sales'!$A$2:$A$501,'Injection Sales'!$B$2:$B$501,A475),_xlfn.MAXIFS('Protein Sales'!$A$2:$A$501,'Protein Sales'!$B$2:$B$501,A475),_xlfn.MAXIFS('Diet Support'!$A$2:$A$501,'Diet Support'!$B$2:$B$501,A475)))</f>
        <v/>
      </c>
      <c r="E475" s="19" t="str">
        <f aca="false">IF(A475="","",COUNTIF('Injection Sales'!$B$2:$B$501,A475)+COUNTIF('Protein Sales'!$B$2:$B$501,A475)+COUNTIF('Diet Support'!$B$2:$B$501,A475))</f>
        <v/>
      </c>
      <c r="F475" s="20" t="str">
        <f aca="false">IF(A475="","",SUMIF('Injection Sales'!$B$2:$B$501,A475,'Injection Sales'!$G$2:$G$501)+SUMIF('Protein Sales'!$B$2:$B$501,A475,'Protein Sales'!$F$2:$F$501)+SUMIF('Diet Support'!$B$2:$B$501,A475,'Diet Support'!$E$2:$E$501))</f>
        <v/>
      </c>
      <c r="G475" s="21" t="str">
        <f aca="false">IF(OR(A475="",COUNTIF('Injection Sales'!$B$2:$B$501,A475)=0),"",IFERROR(LOOKUP(2,1/(('Injection Sales'!$B$2:$B$501=A475)*('Injection Sales'!$A$2:$A$501=_xlfn.MAXIFS('Injection Sales'!$A$2:$A$501,'Injection Sales'!$B$2:$B$501,A475))),'Injection Sales'!$E$2:$E$501),""))</f>
        <v/>
      </c>
      <c r="H475" s="21" t="str">
        <f aca="false">IF(OR(A475="",COUNTIF('Injection Sales'!$B$2:$B$501,A475)=0),"",IFERROR(LOOKUP(2,1/(('Injection Sales'!$B$2:$B$501=A475)*('Injection Sales'!$A$2:$A$501=_xlfn.MAXIFS('Injection Sales'!$A$2:$A$501,'Injection Sales'!$B$2:$B$501,A475))),'Injection Sales'!$H$2:$H$501),""))</f>
        <v/>
      </c>
      <c r="I475" s="21" t="str">
        <f aca="true">IF(OR(A475="",D475=""),"",IF(TODAY()-D475&lt;=Settings!$B$7,"Active","Inactive"))</f>
        <v/>
      </c>
    </row>
    <row r="476" customFormat="false" ht="15" hidden="false" customHeight="false" outlineLevel="0" collapsed="false">
      <c r="A476" s="1"/>
      <c r="B476" s="22"/>
      <c r="C476" s="18" t="str">
        <f aca="false">IF(OR(A476="",COUNTIF('Injection Sales'!$B$2:$B$501,A476)+COUNTIF('Protein Sales'!$B$2:$B$501,A476)+COUNTIF('Diet Support'!$B$2:$B$501,A476)=0),"",MIN(IF(COUNTIF('Injection Sales'!$B$2:$B$501,A476),_xlfn.MINIFS('Injection Sales'!$A$2:$A$501,'Injection Sales'!$B$2:$B$501,A476),99999),IF(COUNTIF('Protein Sales'!$B$2:$B$501,A476),_xlfn.MINIFS('Protein Sales'!$A$2:$A$501,'Protein Sales'!$B$2:$B$501,A476),99999),IF(COUNTIF('Diet Support'!$B$2:$B$501,A476),_xlfn.MINIFS('Diet Support'!$A$2:$A$501,'Diet Support'!$B$2:$B$501,A476),99999)))</f>
        <v/>
      </c>
      <c r="D476" s="18" t="str">
        <f aca="false">IF(OR(A476="",COUNTIF('Injection Sales'!$B$2:$B$501,A476)+COUNTIF('Protein Sales'!$B$2:$B$501,A476)+COUNTIF('Diet Support'!$B$2:$B$501,A476)=0),"",MAX(_xlfn.MAXIFS('Injection Sales'!$A$2:$A$501,'Injection Sales'!$B$2:$B$501,A476),_xlfn.MAXIFS('Protein Sales'!$A$2:$A$501,'Protein Sales'!$B$2:$B$501,A476),_xlfn.MAXIFS('Diet Support'!$A$2:$A$501,'Diet Support'!$B$2:$B$501,A476)))</f>
        <v/>
      </c>
      <c r="E476" s="19" t="str">
        <f aca="false">IF(A476="","",COUNTIF('Injection Sales'!$B$2:$B$501,A476)+COUNTIF('Protein Sales'!$B$2:$B$501,A476)+COUNTIF('Diet Support'!$B$2:$B$501,A476))</f>
        <v/>
      </c>
      <c r="F476" s="20" t="str">
        <f aca="false">IF(A476="","",SUMIF('Injection Sales'!$B$2:$B$501,A476,'Injection Sales'!$G$2:$G$501)+SUMIF('Protein Sales'!$B$2:$B$501,A476,'Protein Sales'!$F$2:$F$501)+SUMIF('Diet Support'!$B$2:$B$501,A476,'Diet Support'!$E$2:$E$501))</f>
        <v/>
      </c>
      <c r="G476" s="21" t="str">
        <f aca="false">IF(OR(A476="",COUNTIF('Injection Sales'!$B$2:$B$501,A476)=0),"",IFERROR(LOOKUP(2,1/(('Injection Sales'!$B$2:$B$501=A476)*('Injection Sales'!$A$2:$A$501=_xlfn.MAXIFS('Injection Sales'!$A$2:$A$501,'Injection Sales'!$B$2:$B$501,A476))),'Injection Sales'!$E$2:$E$501),""))</f>
        <v/>
      </c>
      <c r="H476" s="21" t="str">
        <f aca="false">IF(OR(A476="",COUNTIF('Injection Sales'!$B$2:$B$501,A476)=0),"",IFERROR(LOOKUP(2,1/(('Injection Sales'!$B$2:$B$501=A476)*('Injection Sales'!$A$2:$A$501=_xlfn.MAXIFS('Injection Sales'!$A$2:$A$501,'Injection Sales'!$B$2:$B$501,A476))),'Injection Sales'!$H$2:$H$501),""))</f>
        <v/>
      </c>
      <c r="I476" s="21" t="str">
        <f aca="true">IF(OR(A476="",D476=""),"",IF(TODAY()-D476&lt;=Settings!$B$7,"Active","Inactive"))</f>
        <v/>
      </c>
    </row>
    <row r="477" customFormat="false" ht="15" hidden="false" customHeight="false" outlineLevel="0" collapsed="false">
      <c r="A477" s="1"/>
      <c r="B477" s="22"/>
      <c r="C477" s="18" t="str">
        <f aca="false">IF(OR(A477="",COUNTIF('Injection Sales'!$B$2:$B$501,A477)+COUNTIF('Protein Sales'!$B$2:$B$501,A477)+COUNTIF('Diet Support'!$B$2:$B$501,A477)=0),"",MIN(IF(COUNTIF('Injection Sales'!$B$2:$B$501,A477),_xlfn.MINIFS('Injection Sales'!$A$2:$A$501,'Injection Sales'!$B$2:$B$501,A477),99999),IF(COUNTIF('Protein Sales'!$B$2:$B$501,A477),_xlfn.MINIFS('Protein Sales'!$A$2:$A$501,'Protein Sales'!$B$2:$B$501,A477),99999),IF(COUNTIF('Diet Support'!$B$2:$B$501,A477),_xlfn.MINIFS('Diet Support'!$A$2:$A$501,'Diet Support'!$B$2:$B$501,A477),99999)))</f>
        <v/>
      </c>
      <c r="D477" s="18" t="str">
        <f aca="false">IF(OR(A477="",COUNTIF('Injection Sales'!$B$2:$B$501,A477)+COUNTIF('Protein Sales'!$B$2:$B$501,A477)+COUNTIF('Diet Support'!$B$2:$B$501,A477)=0),"",MAX(_xlfn.MAXIFS('Injection Sales'!$A$2:$A$501,'Injection Sales'!$B$2:$B$501,A477),_xlfn.MAXIFS('Protein Sales'!$A$2:$A$501,'Protein Sales'!$B$2:$B$501,A477),_xlfn.MAXIFS('Diet Support'!$A$2:$A$501,'Diet Support'!$B$2:$B$501,A477)))</f>
        <v/>
      </c>
      <c r="E477" s="19" t="str">
        <f aca="false">IF(A477="","",COUNTIF('Injection Sales'!$B$2:$B$501,A477)+COUNTIF('Protein Sales'!$B$2:$B$501,A477)+COUNTIF('Diet Support'!$B$2:$B$501,A477))</f>
        <v/>
      </c>
      <c r="F477" s="20" t="str">
        <f aca="false">IF(A477="","",SUMIF('Injection Sales'!$B$2:$B$501,A477,'Injection Sales'!$G$2:$G$501)+SUMIF('Protein Sales'!$B$2:$B$501,A477,'Protein Sales'!$F$2:$F$501)+SUMIF('Diet Support'!$B$2:$B$501,A477,'Diet Support'!$E$2:$E$501))</f>
        <v/>
      </c>
      <c r="G477" s="21" t="str">
        <f aca="false">IF(OR(A477="",COUNTIF('Injection Sales'!$B$2:$B$501,A477)=0),"",IFERROR(LOOKUP(2,1/(('Injection Sales'!$B$2:$B$501=A477)*('Injection Sales'!$A$2:$A$501=_xlfn.MAXIFS('Injection Sales'!$A$2:$A$501,'Injection Sales'!$B$2:$B$501,A477))),'Injection Sales'!$E$2:$E$501),""))</f>
        <v/>
      </c>
      <c r="H477" s="21" t="str">
        <f aca="false">IF(OR(A477="",COUNTIF('Injection Sales'!$B$2:$B$501,A477)=0),"",IFERROR(LOOKUP(2,1/(('Injection Sales'!$B$2:$B$501=A477)*('Injection Sales'!$A$2:$A$501=_xlfn.MAXIFS('Injection Sales'!$A$2:$A$501,'Injection Sales'!$B$2:$B$501,A477))),'Injection Sales'!$H$2:$H$501),""))</f>
        <v/>
      </c>
      <c r="I477" s="21" t="str">
        <f aca="true">IF(OR(A477="",D477=""),"",IF(TODAY()-D477&lt;=Settings!$B$7,"Active","Inactive"))</f>
        <v/>
      </c>
    </row>
    <row r="478" customFormat="false" ht="15" hidden="false" customHeight="false" outlineLevel="0" collapsed="false">
      <c r="A478" s="1"/>
      <c r="B478" s="22"/>
      <c r="C478" s="18" t="str">
        <f aca="false">IF(OR(A478="",COUNTIF('Injection Sales'!$B$2:$B$501,A478)+COUNTIF('Protein Sales'!$B$2:$B$501,A478)+COUNTIF('Diet Support'!$B$2:$B$501,A478)=0),"",MIN(IF(COUNTIF('Injection Sales'!$B$2:$B$501,A478),_xlfn.MINIFS('Injection Sales'!$A$2:$A$501,'Injection Sales'!$B$2:$B$501,A478),99999),IF(COUNTIF('Protein Sales'!$B$2:$B$501,A478),_xlfn.MINIFS('Protein Sales'!$A$2:$A$501,'Protein Sales'!$B$2:$B$501,A478),99999),IF(COUNTIF('Diet Support'!$B$2:$B$501,A478),_xlfn.MINIFS('Diet Support'!$A$2:$A$501,'Diet Support'!$B$2:$B$501,A478),99999)))</f>
        <v/>
      </c>
      <c r="D478" s="18" t="str">
        <f aca="false">IF(OR(A478="",COUNTIF('Injection Sales'!$B$2:$B$501,A478)+COUNTIF('Protein Sales'!$B$2:$B$501,A478)+COUNTIF('Diet Support'!$B$2:$B$501,A478)=0),"",MAX(_xlfn.MAXIFS('Injection Sales'!$A$2:$A$501,'Injection Sales'!$B$2:$B$501,A478),_xlfn.MAXIFS('Protein Sales'!$A$2:$A$501,'Protein Sales'!$B$2:$B$501,A478),_xlfn.MAXIFS('Diet Support'!$A$2:$A$501,'Diet Support'!$B$2:$B$501,A478)))</f>
        <v/>
      </c>
      <c r="E478" s="19" t="str">
        <f aca="false">IF(A478="","",COUNTIF('Injection Sales'!$B$2:$B$501,A478)+COUNTIF('Protein Sales'!$B$2:$B$501,A478)+COUNTIF('Diet Support'!$B$2:$B$501,A478))</f>
        <v/>
      </c>
      <c r="F478" s="20" t="str">
        <f aca="false">IF(A478="","",SUMIF('Injection Sales'!$B$2:$B$501,A478,'Injection Sales'!$G$2:$G$501)+SUMIF('Protein Sales'!$B$2:$B$501,A478,'Protein Sales'!$F$2:$F$501)+SUMIF('Diet Support'!$B$2:$B$501,A478,'Diet Support'!$E$2:$E$501))</f>
        <v/>
      </c>
      <c r="G478" s="21" t="str">
        <f aca="false">IF(OR(A478="",COUNTIF('Injection Sales'!$B$2:$B$501,A478)=0),"",IFERROR(LOOKUP(2,1/(('Injection Sales'!$B$2:$B$501=A478)*('Injection Sales'!$A$2:$A$501=_xlfn.MAXIFS('Injection Sales'!$A$2:$A$501,'Injection Sales'!$B$2:$B$501,A478))),'Injection Sales'!$E$2:$E$501),""))</f>
        <v/>
      </c>
      <c r="H478" s="21" t="str">
        <f aca="false">IF(OR(A478="",COUNTIF('Injection Sales'!$B$2:$B$501,A478)=0),"",IFERROR(LOOKUP(2,1/(('Injection Sales'!$B$2:$B$501=A478)*('Injection Sales'!$A$2:$A$501=_xlfn.MAXIFS('Injection Sales'!$A$2:$A$501,'Injection Sales'!$B$2:$B$501,A478))),'Injection Sales'!$H$2:$H$501),""))</f>
        <v/>
      </c>
      <c r="I478" s="21" t="str">
        <f aca="true">IF(OR(A478="",D478=""),"",IF(TODAY()-D478&lt;=Settings!$B$7,"Active","Inactive"))</f>
        <v/>
      </c>
    </row>
    <row r="479" customFormat="false" ht="15" hidden="false" customHeight="false" outlineLevel="0" collapsed="false">
      <c r="A479" s="1"/>
      <c r="B479" s="22"/>
      <c r="C479" s="18" t="str">
        <f aca="false">IF(OR(A479="",COUNTIF('Injection Sales'!$B$2:$B$501,A479)+COUNTIF('Protein Sales'!$B$2:$B$501,A479)+COUNTIF('Diet Support'!$B$2:$B$501,A479)=0),"",MIN(IF(COUNTIF('Injection Sales'!$B$2:$B$501,A479),_xlfn.MINIFS('Injection Sales'!$A$2:$A$501,'Injection Sales'!$B$2:$B$501,A479),99999),IF(COUNTIF('Protein Sales'!$B$2:$B$501,A479),_xlfn.MINIFS('Protein Sales'!$A$2:$A$501,'Protein Sales'!$B$2:$B$501,A479),99999),IF(COUNTIF('Diet Support'!$B$2:$B$501,A479),_xlfn.MINIFS('Diet Support'!$A$2:$A$501,'Diet Support'!$B$2:$B$501,A479),99999)))</f>
        <v/>
      </c>
      <c r="D479" s="18" t="str">
        <f aca="false">IF(OR(A479="",COUNTIF('Injection Sales'!$B$2:$B$501,A479)+COUNTIF('Protein Sales'!$B$2:$B$501,A479)+COUNTIF('Diet Support'!$B$2:$B$501,A479)=0),"",MAX(_xlfn.MAXIFS('Injection Sales'!$A$2:$A$501,'Injection Sales'!$B$2:$B$501,A479),_xlfn.MAXIFS('Protein Sales'!$A$2:$A$501,'Protein Sales'!$B$2:$B$501,A479),_xlfn.MAXIFS('Diet Support'!$A$2:$A$501,'Diet Support'!$B$2:$B$501,A479)))</f>
        <v/>
      </c>
      <c r="E479" s="19" t="str">
        <f aca="false">IF(A479="","",COUNTIF('Injection Sales'!$B$2:$B$501,A479)+COUNTIF('Protein Sales'!$B$2:$B$501,A479)+COUNTIF('Diet Support'!$B$2:$B$501,A479))</f>
        <v/>
      </c>
      <c r="F479" s="20" t="str">
        <f aca="false">IF(A479="","",SUMIF('Injection Sales'!$B$2:$B$501,A479,'Injection Sales'!$G$2:$G$501)+SUMIF('Protein Sales'!$B$2:$B$501,A479,'Protein Sales'!$F$2:$F$501)+SUMIF('Diet Support'!$B$2:$B$501,A479,'Diet Support'!$E$2:$E$501))</f>
        <v/>
      </c>
      <c r="G479" s="21" t="str">
        <f aca="false">IF(OR(A479="",COUNTIF('Injection Sales'!$B$2:$B$501,A479)=0),"",IFERROR(LOOKUP(2,1/(('Injection Sales'!$B$2:$B$501=A479)*('Injection Sales'!$A$2:$A$501=_xlfn.MAXIFS('Injection Sales'!$A$2:$A$501,'Injection Sales'!$B$2:$B$501,A479))),'Injection Sales'!$E$2:$E$501),""))</f>
        <v/>
      </c>
      <c r="H479" s="21" t="str">
        <f aca="false">IF(OR(A479="",COUNTIF('Injection Sales'!$B$2:$B$501,A479)=0),"",IFERROR(LOOKUP(2,1/(('Injection Sales'!$B$2:$B$501=A479)*('Injection Sales'!$A$2:$A$501=_xlfn.MAXIFS('Injection Sales'!$A$2:$A$501,'Injection Sales'!$B$2:$B$501,A479))),'Injection Sales'!$H$2:$H$501),""))</f>
        <v/>
      </c>
      <c r="I479" s="21" t="str">
        <f aca="true">IF(OR(A479="",D479=""),"",IF(TODAY()-D479&lt;=Settings!$B$7,"Active","Inactive"))</f>
        <v/>
      </c>
    </row>
    <row r="480" customFormat="false" ht="15" hidden="false" customHeight="false" outlineLevel="0" collapsed="false">
      <c r="A480" s="1"/>
      <c r="B480" s="22"/>
      <c r="C480" s="18" t="str">
        <f aca="false">IF(OR(A480="",COUNTIF('Injection Sales'!$B$2:$B$501,A480)+COUNTIF('Protein Sales'!$B$2:$B$501,A480)+COUNTIF('Diet Support'!$B$2:$B$501,A480)=0),"",MIN(IF(COUNTIF('Injection Sales'!$B$2:$B$501,A480),_xlfn.MINIFS('Injection Sales'!$A$2:$A$501,'Injection Sales'!$B$2:$B$501,A480),99999),IF(COUNTIF('Protein Sales'!$B$2:$B$501,A480),_xlfn.MINIFS('Protein Sales'!$A$2:$A$501,'Protein Sales'!$B$2:$B$501,A480),99999),IF(COUNTIF('Diet Support'!$B$2:$B$501,A480),_xlfn.MINIFS('Diet Support'!$A$2:$A$501,'Diet Support'!$B$2:$B$501,A480),99999)))</f>
        <v/>
      </c>
      <c r="D480" s="18" t="str">
        <f aca="false">IF(OR(A480="",COUNTIF('Injection Sales'!$B$2:$B$501,A480)+COUNTIF('Protein Sales'!$B$2:$B$501,A480)+COUNTIF('Diet Support'!$B$2:$B$501,A480)=0),"",MAX(_xlfn.MAXIFS('Injection Sales'!$A$2:$A$501,'Injection Sales'!$B$2:$B$501,A480),_xlfn.MAXIFS('Protein Sales'!$A$2:$A$501,'Protein Sales'!$B$2:$B$501,A480),_xlfn.MAXIFS('Diet Support'!$A$2:$A$501,'Diet Support'!$B$2:$B$501,A480)))</f>
        <v/>
      </c>
      <c r="E480" s="19" t="str">
        <f aca="false">IF(A480="","",COUNTIF('Injection Sales'!$B$2:$B$501,A480)+COUNTIF('Protein Sales'!$B$2:$B$501,A480)+COUNTIF('Diet Support'!$B$2:$B$501,A480))</f>
        <v/>
      </c>
      <c r="F480" s="20" t="str">
        <f aca="false">IF(A480="","",SUMIF('Injection Sales'!$B$2:$B$501,A480,'Injection Sales'!$G$2:$G$501)+SUMIF('Protein Sales'!$B$2:$B$501,A480,'Protein Sales'!$F$2:$F$501)+SUMIF('Diet Support'!$B$2:$B$501,A480,'Diet Support'!$E$2:$E$501))</f>
        <v/>
      </c>
      <c r="G480" s="21" t="str">
        <f aca="false">IF(OR(A480="",COUNTIF('Injection Sales'!$B$2:$B$501,A480)=0),"",IFERROR(LOOKUP(2,1/(('Injection Sales'!$B$2:$B$501=A480)*('Injection Sales'!$A$2:$A$501=_xlfn.MAXIFS('Injection Sales'!$A$2:$A$501,'Injection Sales'!$B$2:$B$501,A480))),'Injection Sales'!$E$2:$E$501),""))</f>
        <v/>
      </c>
      <c r="H480" s="21" t="str">
        <f aca="false">IF(OR(A480="",COUNTIF('Injection Sales'!$B$2:$B$501,A480)=0),"",IFERROR(LOOKUP(2,1/(('Injection Sales'!$B$2:$B$501=A480)*('Injection Sales'!$A$2:$A$501=_xlfn.MAXIFS('Injection Sales'!$A$2:$A$501,'Injection Sales'!$B$2:$B$501,A480))),'Injection Sales'!$H$2:$H$501),""))</f>
        <v/>
      </c>
      <c r="I480" s="21" t="str">
        <f aca="true">IF(OR(A480="",D480=""),"",IF(TODAY()-D480&lt;=Settings!$B$7,"Active","Inactive"))</f>
        <v/>
      </c>
    </row>
    <row r="481" customFormat="false" ht="15" hidden="false" customHeight="false" outlineLevel="0" collapsed="false">
      <c r="A481" s="1"/>
      <c r="B481" s="22"/>
      <c r="C481" s="18" t="str">
        <f aca="false">IF(OR(A481="",COUNTIF('Injection Sales'!$B$2:$B$501,A481)+COUNTIF('Protein Sales'!$B$2:$B$501,A481)+COUNTIF('Diet Support'!$B$2:$B$501,A481)=0),"",MIN(IF(COUNTIF('Injection Sales'!$B$2:$B$501,A481),_xlfn.MINIFS('Injection Sales'!$A$2:$A$501,'Injection Sales'!$B$2:$B$501,A481),99999),IF(COUNTIF('Protein Sales'!$B$2:$B$501,A481),_xlfn.MINIFS('Protein Sales'!$A$2:$A$501,'Protein Sales'!$B$2:$B$501,A481),99999),IF(COUNTIF('Diet Support'!$B$2:$B$501,A481),_xlfn.MINIFS('Diet Support'!$A$2:$A$501,'Diet Support'!$B$2:$B$501,A481),99999)))</f>
        <v/>
      </c>
      <c r="D481" s="18" t="str">
        <f aca="false">IF(OR(A481="",COUNTIF('Injection Sales'!$B$2:$B$501,A481)+COUNTIF('Protein Sales'!$B$2:$B$501,A481)+COUNTIF('Diet Support'!$B$2:$B$501,A481)=0),"",MAX(_xlfn.MAXIFS('Injection Sales'!$A$2:$A$501,'Injection Sales'!$B$2:$B$501,A481),_xlfn.MAXIFS('Protein Sales'!$A$2:$A$501,'Protein Sales'!$B$2:$B$501,A481),_xlfn.MAXIFS('Diet Support'!$A$2:$A$501,'Diet Support'!$B$2:$B$501,A481)))</f>
        <v/>
      </c>
      <c r="E481" s="19" t="str">
        <f aca="false">IF(A481="","",COUNTIF('Injection Sales'!$B$2:$B$501,A481)+COUNTIF('Protein Sales'!$B$2:$B$501,A481)+COUNTIF('Diet Support'!$B$2:$B$501,A481))</f>
        <v/>
      </c>
      <c r="F481" s="20" t="str">
        <f aca="false">IF(A481="","",SUMIF('Injection Sales'!$B$2:$B$501,A481,'Injection Sales'!$G$2:$G$501)+SUMIF('Protein Sales'!$B$2:$B$501,A481,'Protein Sales'!$F$2:$F$501)+SUMIF('Diet Support'!$B$2:$B$501,A481,'Diet Support'!$E$2:$E$501))</f>
        <v/>
      </c>
      <c r="G481" s="21" t="str">
        <f aca="false">IF(OR(A481="",COUNTIF('Injection Sales'!$B$2:$B$501,A481)=0),"",IFERROR(LOOKUP(2,1/(('Injection Sales'!$B$2:$B$501=A481)*('Injection Sales'!$A$2:$A$501=_xlfn.MAXIFS('Injection Sales'!$A$2:$A$501,'Injection Sales'!$B$2:$B$501,A481))),'Injection Sales'!$E$2:$E$501),""))</f>
        <v/>
      </c>
      <c r="H481" s="21" t="str">
        <f aca="false">IF(OR(A481="",COUNTIF('Injection Sales'!$B$2:$B$501,A481)=0),"",IFERROR(LOOKUP(2,1/(('Injection Sales'!$B$2:$B$501=A481)*('Injection Sales'!$A$2:$A$501=_xlfn.MAXIFS('Injection Sales'!$A$2:$A$501,'Injection Sales'!$B$2:$B$501,A481))),'Injection Sales'!$H$2:$H$501),""))</f>
        <v/>
      </c>
      <c r="I481" s="21" t="str">
        <f aca="true">IF(OR(A481="",D481=""),"",IF(TODAY()-D481&lt;=Settings!$B$7,"Active","Inactive"))</f>
        <v/>
      </c>
    </row>
    <row r="482" customFormat="false" ht="15" hidden="false" customHeight="false" outlineLevel="0" collapsed="false">
      <c r="A482" s="1"/>
      <c r="B482" s="22"/>
      <c r="C482" s="18" t="str">
        <f aca="false">IF(OR(A482="",COUNTIF('Injection Sales'!$B$2:$B$501,A482)+COUNTIF('Protein Sales'!$B$2:$B$501,A482)+COUNTIF('Diet Support'!$B$2:$B$501,A482)=0),"",MIN(IF(COUNTIF('Injection Sales'!$B$2:$B$501,A482),_xlfn.MINIFS('Injection Sales'!$A$2:$A$501,'Injection Sales'!$B$2:$B$501,A482),99999),IF(COUNTIF('Protein Sales'!$B$2:$B$501,A482),_xlfn.MINIFS('Protein Sales'!$A$2:$A$501,'Protein Sales'!$B$2:$B$501,A482),99999),IF(COUNTIF('Diet Support'!$B$2:$B$501,A482),_xlfn.MINIFS('Diet Support'!$A$2:$A$501,'Diet Support'!$B$2:$B$501,A482),99999)))</f>
        <v/>
      </c>
      <c r="D482" s="18" t="str">
        <f aca="false">IF(OR(A482="",COUNTIF('Injection Sales'!$B$2:$B$501,A482)+COUNTIF('Protein Sales'!$B$2:$B$501,A482)+COUNTIF('Diet Support'!$B$2:$B$501,A482)=0),"",MAX(_xlfn.MAXIFS('Injection Sales'!$A$2:$A$501,'Injection Sales'!$B$2:$B$501,A482),_xlfn.MAXIFS('Protein Sales'!$A$2:$A$501,'Protein Sales'!$B$2:$B$501,A482),_xlfn.MAXIFS('Diet Support'!$A$2:$A$501,'Diet Support'!$B$2:$B$501,A482)))</f>
        <v/>
      </c>
      <c r="E482" s="19" t="str">
        <f aca="false">IF(A482="","",COUNTIF('Injection Sales'!$B$2:$B$501,A482)+COUNTIF('Protein Sales'!$B$2:$B$501,A482)+COUNTIF('Diet Support'!$B$2:$B$501,A482))</f>
        <v/>
      </c>
      <c r="F482" s="20" t="str">
        <f aca="false">IF(A482="","",SUMIF('Injection Sales'!$B$2:$B$501,A482,'Injection Sales'!$G$2:$G$501)+SUMIF('Protein Sales'!$B$2:$B$501,A482,'Protein Sales'!$F$2:$F$501)+SUMIF('Diet Support'!$B$2:$B$501,A482,'Diet Support'!$E$2:$E$501))</f>
        <v/>
      </c>
      <c r="G482" s="21" t="str">
        <f aca="false">IF(OR(A482="",COUNTIF('Injection Sales'!$B$2:$B$501,A482)=0),"",IFERROR(LOOKUP(2,1/(('Injection Sales'!$B$2:$B$501=A482)*('Injection Sales'!$A$2:$A$501=_xlfn.MAXIFS('Injection Sales'!$A$2:$A$501,'Injection Sales'!$B$2:$B$501,A482))),'Injection Sales'!$E$2:$E$501),""))</f>
        <v/>
      </c>
      <c r="H482" s="21" t="str">
        <f aca="false">IF(OR(A482="",COUNTIF('Injection Sales'!$B$2:$B$501,A482)=0),"",IFERROR(LOOKUP(2,1/(('Injection Sales'!$B$2:$B$501=A482)*('Injection Sales'!$A$2:$A$501=_xlfn.MAXIFS('Injection Sales'!$A$2:$A$501,'Injection Sales'!$B$2:$B$501,A482))),'Injection Sales'!$H$2:$H$501),""))</f>
        <v/>
      </c>
      <c r="I482" s="21" t="str">
        <f aca="true">IF(OR(A482="",D482=""),"",IF(TODAY()-D482&lt;=Settings!$B$7,"Active","Inactive"))</f>
        <v/>
      </c>
    </row>
    <row r="483" customFormat="false" ht="15" hidden="false" customHeight="false" outlineLevel="0" collapsed="false">
      <c r="A483" s="1"/>
      <c r="B483" s="22"/>
      <c r="C483" s="18" t="str">
        <f aca="false">IF(OR(A483="",COUNTIF('Injection Sales'!$B$2:$B$501,A483)+COUNTIF('Protein Sales'!$B$2:$B$501,A483)+COUNTIF('Diet Support'!$B$2:$B$501,A483)=0),"",MIN(IF(COUNTIF('Injection Sales'!$B$2:$B$501,A483),_xlfn.MINIFS('Injection Sales'!$A$2:$A$501,'Injection Sales'!$B$2:$B$501,A483),99999),IF(COUNTIF('Protein Sales'!$B$2:$B$501,A483),_xlfn.MINIFS('Protein Sales'!$A$2:$A$501,'Protein Sales'!$B$2:$B$501,A483),99999),IF(COUNTIF('Diet Support'!$B$2:$B$501,A483),_xlfn.MINIFS('Diet Support'!$A$2:$A$501,'Diet Support'!$B$2:$B$501,A483),99999)))</f>
        <v/>
      </c>
      <c r="D483" s="18" t="str">
        <f aca="false">IF(OR(A483="",COUNTIF('Injection Sales'!$B$2:$B$501,A483)+COUNTIF('Protein Sales'!$B$2:$B$501,A483)+COUNTIF('Diet Support'!$B$2:$B$501,A483)=0),"",MAX(_xlfn.MAXIFS('Injection Sales'!$A$2:$A$501,'Injection Sales'!$B$2:$B$501,A483),_xlfn.MAXIFS('Protein Sales'!$A$2:$A$501,'Protein Sales'!$B$2:$B$501,A483),_xlfn.MAXIFS('Diet Support'!$A$2:$A$501,'Diet Support'!$B$2:$B$501,A483)))</f>
        <v/>
      </c>
      <c r="E483" s="19" t="str">
        <f aca="false">IF(A483="","",COUNTIF('Injection Sales'!$B$2:$B$501,A483)+COUNTIF('Protein Sales'!$B$2:$B$501,A483)+COUNTIF('Diet Support'!$B$2:$B$501,A483))</f>
        <v/>
      </c>
      <c r="F483" s="20" t="str">
        <f aca="false">IF(A483="","",SUMIF('Injection Sales'!$B$2:$B$501,A483,'Injection Sales'!$G$2:$G$501)+SUMIF('Protein Sales'!$B$2:$B$501,A483,'Protein Sales'!$F$2:$F$501)+SUMIF('Diet Support'!$B$2:$B$501,A483,'Diet Support'!$E$2:$E$501))</f>
        <v/>
      </c>
      <c r="G483" s="21" t="str">
        <f aca="false">IF(OR(A483="",COUNTIF('Injection Sales'!$B$2:$B$501,A483)=0),"",IFERROR(LOOKUP(2,1/(('Injection Sales'!$B$2:$B$501=A483)*('Injection Sales'!$A$2:$A$501=_xlfn.MAXIFS('Injection Sales'!$A$2:$A$501,'Injection Sales'!$B$2:$B$501,A483))),'Injection Sales'!$E$2:$E$501),""))</f>
        <v/>
      </c>
      <c r="H483" s="21" t="str">
        <f aca="false">IF(OR(A483="",COUNTIF('Injection Sales'!$B$2:$B$501,A483)=0),"",IFERROR(LOOKUP(2,1/(('Injection Sales'!$B$2:$B$501=A483)*('Injection Sales'!$A$2:$A$501=_xlfn.MAXIFS('Injection Sales'!$A$2:$A$501,'Injection Sales'!$B$2:$B$501,A483))),'Injection Sales'!$H$2:$H$501),""))</f>
        <v/>
      </c>
      <c r="I483" s="21" t="str">
        <f aca="true">IF(OR(A483="",D483=""),"",IF(TODAY()-D483&lt;=Settings!$B$7,"Active","Inactive"))</f>
        <v/>
      </c>
    </row>
    <row r="484" customFormat="false" ht="15" hidden="false" customHeight="false" outlineLevel="0" collapsed="false">
      <c r="A484" s="1"/>
      <c r="B484" s="22"/>
      <c r="C484" s="18" t="str">
        <f aca="false">IF(OR(A484="",COUNTIF('Injection Sales'!$B$2:$B$501,A484)+COUNTIF('Protein Sales'!$B$2:$B$501,A484)+COUNTIF('Diet Support'!$B$2:$B$501,A484)=0),"",MIN(IF(COUNTIF('Injection Sales'!$B$2:$B$501,A484),_xlfn.MINIFS('Injection Sales'!$A$2:$A$501,'Injection Sales'!$B$2:$B$501,A484),99999),IF(COUNTIF('Protein Sales'!$B$2:$B$501,A484),_xlfn.MINIFS('Protein Sales'!$A$2:$A$501,'Protein Sales'!$B$2:$B$501,A484),99999),IF(COUNTIF('Diet Support'!$B$2:$B$501,A484),_xlfn.MINIFS('Diet Support'!$A$2:$A$501,'Diet Support'!$B$2:$B$501,A484),99999)))</f>
        <v/>
      </c>
      <c r="D484" s="18" t="str">
        <f aca="false">IF(OR(A484="",COUNTIF('Injection Sales'!$B$2:$B$501,A484)+COUNTIF('Protein Sales'!$B$2:$B$501,A484)+COUNTIF('Diet Support'!$B$2:$B$501,A484)=0),"",MAX(_xlfn.MAXIFS('Injection Sales'!$A$2:$A$501,'Injection Sales'!$B$2:$B$501,A484),_xlfn.MAXIFS('Protein Sales'!$A$2:$A$501,'Protein Sales'!$B$2:$B$501,A484),_xlfn.MAXIFS('Diet Support'!$A$2:$A$501,'Diet Support'!$B$2:$B$501,A484)))</f>
        <v/>
      </c>
      <c r="E484" s="19" t="str">
        <f aca="false">IF(A484="","",COUNTIF('Injection Sales'!$B$2:$B$501,A484)+COUNTIF('Protein Sales'!$B$2:$B$501,A484)+COUNTIF('Diet Support'!$B$2:$B$501,A484))</f>
        <v/>
      </c>
      <c r="F484" s="20" t="str">
        <f aca="false">IF(A484="","",SUMIF('Injection Sales'!$B$2:$B$501,A484,'Injection Sales'!$G$2:$G$501)+SUMIF('Protein Sales'!$B$2:$B$501,A484,'Protein Sales'!$F$2:$F$501)+SUMIF('Diet Support'!$B$2:$B$501,A484,'Diet Support'!$E$2:$E$501))</f>
        <v/>
      </c>
      <c r="G484" s="21" t="str">
        <f aca="false">IF(OR(A484="",COUNTIF('Injection Sales'!$B$2:$B$501,A484)=0),"",IFERROR(LOOKUP(2,1/(('Injection Sales'!$B$2:$B$501=A484)*('Injection Sales'!$A$2:$A$501=_xlfn.MAXIFS('Injection Sales'!$A$2:$A$501,'Injection Sales'!$B$2:$B$501,A484))),'Injection Sales'!$E$2:$E$501),""))</f>
        <v/>
      </c>
      <c r="H484" s="21" t="str">
        <f aca="false">IF(OR(A484="",COUNTIF('Injection Sales'!$B$2:$B$501,A484)=0),"",IFERROR(LOOKUP(2,1/(('Injection Sales'!$B$2:$B$501=A484)*('Injection Sales'!$A$2:$A$501=_xlfn.MAXIFS('Injection Sales'!$A$2:$A$501,'Injection Sales'!$B$2:$B$501,A484))),'Injection Sales'!$H$2:$H$501),""))</f>
        <v/>
      </c>
      <c r="I484" s="21" t="str">
        <f aca="true">IF(OR(A484="",D484=""),"",IF(TODAY()-D484&lt;=Settings!$B$7,"Active","Inactive"))</f>
        <v/>
      </c>
    </row>
    <row r="485" customFormat="false" ht="15" hidden="false" customHeight="false" outlineLevel="0" collapsed="false">
      <c r="A485" s="1"/>
      <c r="B485" s="22"/>
      <c r="C485" s="18" t="str">
        <f aca="false">IF(OR(A485="",COUNTIF('Injection Sales'!$B$2:$B$501,A485)+COUNTIF('Protein Sales'!$B$2:$B$501,A485)+COUNTIF('Diet Support'!$B$2:$B$501,A485)=0),"",MIN(IF(COUNTIF('Injection Sales'!$B$2:$B$501,A485),_xlfn.MINIFS('Injection Sales'!$A$2:$A$501,'Injection Sales'!$B$2:$B$501,A485),99999),IF(COUNTIF('Protein Sales'!$B$2:$B$501,A485),_xlfn.MINIFS('Protein Sales'!$A$2:$A$501,'Protein Sales'!$B$2:$B$501,A485),99999),IF(COUNTIF('Diet Support'!$B$2:$B$501,A485),_xlfn.MINIFS('Diet Support'!$A$2:$A$501,'Diet Support'!$B$2:$B$501,A485),99999)))</f>
        <v/>
      </c>
      <c r="D485" s="18" t="str">
        <f aca="false">IF(OR(A485="",COUNTIF('Injection Sales'!$B$2:$B$501,A485)+COUNTIF('Protein Sales'!$B$2:$B$501,A485)+COUNTIF('Diet Support'!$B$2:$B$501,A485)=0),"",MAX(_xlfn.MAXIFS('Injection Sales'!$A$2:$A$501,'Injection Sales'!$B$2:$B$501,A485),_xlfn.MAXIFS('Protein Sales'!$A$2:$A$501,'Protein Sales'!$B$2:$B$501,A485),_xlfn.MAXIFS('Diet Support'!$A$2:$A$501,'Diet Support'!$B$2:$B$501,A485)))</f>
        <v/>
      </c>
      <c r="E485" s="19" t="str">
        <f aca="false">IF(A485="","",COUNTIF('Injection Sales'!$B$2:$B$501,A485)+COUNTIF('Protein Sales'!$B$2:$B$501,A485)+COUNTIF('Diet Support'!$B$2:$B$501,A485))</f>
        <v/>
      </c>
      <c r="F485" s="20" t="str">
        <f aca="false">IF(A485="","",SUMIF('Injection Sales'!$B$2:$B$501,A485,'Injection Sales'!$G$2:$G$501)+SUMIF('Protein Sales'!$B$2:$B$501,A485,'Protein Sales'!$F$2:$F$501)+SUMIF('Diet Support'!$B$2:$B$501,A485,'Diet Support'!$E$2:$E$501))</f>
        <v/>
      </c>
      <c r="G485" s="21" t="str">
        <f aca="false">IF(OR(A485="",COUNTIF('Injection Sales'!$B$2:$B$501,A485)=0),"",IFERROR(LOOKUP(2,1/(('Injection Sales'!$B$2:$B$501=A485)*('Injection Sales'!$A$2:$A$501=_xlfn.MAXIFS('Injection Sales'!$A$2:$A$501,'Injection Sales'!$B$2:$B$501,A485))),'Injection Sales'!$E$2:$E$501),""))</f>
        <v/>
      </c>
      <c r="H485" s="21" t="str">
        <f aca="false">IF(OR(A485="",COUNTIF('Injection Sales'!$B$2:$B$501,A485)=0),"",IFERROR(LOOKUP(2,1/(('Injection Sales'!$B$2:$B$501=A485)*('Injection Sales'!$A$2:$A$501=_xlfn.MAXIFS('Injection Sales'!$A$2:$A$501,'Injection Sales'!$B$2:$B$501,A485))),'Injection Sales'!$H$2:$H$501),""))</f>
        <v/>
      </c>
      <c r="I485" s="21" t="str">
        <f aca="true">IF(OR(A485="",D485=""),"",IF(TODAY()-D485&lt;=Settings!$B$7,"Active","Inactive"))</f>
        <v/>
      </c>
    </row>
    <row r="486" customFormat="false" ht="15" hidden="false" customHeight="false" outlineLevel="0" collapsed="false">
      <c r="A486" s="1"/>
      <c r="B486" s="22"/>
      <c r="C486" s="18" t="str">
        <f aca="false">IF(OR(A486="",COUNTIF('Injection Sales'!$B$2:$B$501,A486)+COUNTIF('Protein Sales'!$B$2:$B$501,A486)+COUNTIF('Diet Support'!$B$2:$B$501,A486)=0),"",MIN(IF(COUNTIF('Injection Sales'!$B$2:$B$501,A486),_xlfn.MINIFS('Injection Sales'!$A$2:$A$501,'Injection Sales'!$B$2:$B$501,A486),99999),IF(COUNTIF('Protein Sales'!$B$2:$B$501,A486),_xlfn.MINIFS('Protein Sales'!$A$2:$A$501,'Protein Sales'!$B$2:$B$501,A486),99999),IF(COUNTIF('Diet Support'!$B$2:$B$501,A486),_xlfn.MINIFS('Diet Support'!$A$2:$A$501,'Diet Support'!$B$2:$B$501,A486),99999)))</f>
        <v/>
      </c>
      <c r="D486" s="18" t="str">
        <f aca="false">IF(OR(A486="",COUNTIF('Injection Sales'!$B$2:$B$501,A486)+COUNTIF('Protein Sales'!$B$2:$B$501,A486)+COUNTIF('Diet Support'!$B$2:$B$501,A486)=0),"",MAX(_xlfn.MAXIFS('Injection Sales'!$A$2:$A$501,'Injection Sales'!$B$2:$B$501,A486),_xlfn.MAXIFS('Protein Sales'!$A$2:$A$501,'Protein Sales'!$B$2:$B$501,A486),_xlfn.MAXIFS('Diet Support'!$A$2:$A$501,'Diet Support'!$B$2:$B$501,A486)))</f>
        <v/>
      </c>
      <c r="E486" s="19" t="str">
        <f aca="false">IF(A486="","",COUNTIF('Injection Sales'!$B$2:$B$501,A486)+COUNTIF('Protein Sales'!$B$2:$B$501,A486)+COUNTIF('Diet Support'!$B$2:$B$501,A486))</f>
        <v/>
      </c>
      <c r="F486" s="20" t="str">
        <f aca="false">IF(A486="","",SUMIF('Injection Sales'!$B$2:$B$501,A486,'Injection Sales'!$G$2:$G$501)+SUMIF('Protein Sales'!$B$2:$B$501,A486,'Protein Sales'!$F$2:$F$501)+SUMIF('Diet Support'!$B$2:$B$501,A486,'Diet Support'!$E$2:$E$501))</f>
        <v/>
      </c>
      <c r="G486" s="21" t="str">
        <f aca="false">IF(OR(A486="",COUNTIF('Injection Sales'!$B$2:$B$501,A486)=0),"",IFERROR(LOOKUP(2,1/(('Injection Sales'!$B$2:$B$501=A486)*('Injection Sales'!$A$2:$A$501=_xlfn.MAXIFS('Injection Sales'!$A$2:$A$501,'Injection Sales'!$B$2:$B$501,A486))),'Injection Sales'!$E$2:$E$501),""))</f>
        <v/>
      </c>
      <c r="H486" s="21" t="str">
        <f aca="false">IF(OR(A486="",COUNTIF('Injection Sales'!$B$2:$B$501,A486)=0),"",IFERROR(LOOKUP(2,1/(('Injection Sales'!$B$2:$B$501=A486)*('Injection Sales'!$A$2:$A$501=_xlfn.MAXIFS('Injection Sales'!$A$2:$A$501,'Injection Sales'!$B$2:$B$501,A486))),'Injection Sales'!$H$2:$H$501),""))</f>
        <v/>
      </c>
      <c r="I486" s="21" t="str">
        <f aca="true">IF(OR(A486="",D486=""),"",IF(TODAY()-D486&lt;=Settings!$B$7,"Active","Inactive"))</f>
        <v/>
      </c>
    </row>
    <row r="487" customFormat="false" ht="15" hidden="false" customHeight="false" outlineLevel="0" collapsed="false">
      <c r="A487" s="1"/>
      <c r="B487" s="22"/>
      <c r="C487" s="18" t="str">
        <f aca="false">IF(OR(A487="",COUNTIF('Injection Sales'!$B$2:$B$501,A487)+COUNTIF('Protein Sales'!$B$2:$B$501,A487)+COUNTIF('Diet Support'!$B$2:$B$501,A487)=0),"",MIN(IF(COUNTIF('Injection Sales'!$B$2:$B$501,A487),_xlfn.MINIFS('Injection Sales'!$A$2:$A$501,'Injection Sales'!$B$2:$B$501,A487),99999),IF(COUNTIF('Protein Sales'!$B$2:$B$501,A487),_xlfn.MINIFS('Protein Sales'!$A$2:$A$501,'Protein Sales'!$B$2:$B$501,A487),99999),IF(COUNTIF('Diet Support'!$B$2:$B$501,A487),_xlfn.MINIFS('Diet Support'!$A$2:$A$501,'Diet Support'!$B$2:$B$501,A487),99999)))</f>
        <v/>
      </c>
      <c r="D487" s="18" t="str">
        <f aca="false">IF(OR(A487="",COUNTIF('Injection Sales'!$B$2:$B$501,A487)+COUNTIF('Protein Sales'!$B$2:$B$501,A487)+COUNTIF('Diet Support'!$B$2:$B$501,A487)=0),"",MAX(_xlfn.MAXIFS('Injection Sales'!$A$2:$A$501,'Injection Sales'!$B$2:$B$501,A487),_xlfn.MAXIFS('Protein Sales'!$A$2:$A$501,'Protein Sales'!$B$2:$B$501,A487),_xlfn.MAXIFS('Diet Support'!$A$2:$A$501,'Diet Support'!$B$2:$B$501,A487)))</f>
        <v/>
      </c>
      <c r="E487" s="19" t="str">
        <f aca="false">IF(A487="","",COUNTIF('Injection Sales'!$B$2:$B$501,A487)+COUNTIF('Protein Sales'!$B$2:$B$501,A487)+COUNTIF('Diet Support'!$B$2:$B$501,A487))</f>
        <v/>
      </c>
      <c r="F487" s="20" t="str">
        <f aca="false">IF(A487="","",SUMIF('Injection Sales'!$B$2:$B$501,A487,'Injection Sales'!$G$2:$G$501)+SUMIF('Protein Sales'!$B$2:$B$501,A487,'Protein Sales'!$F$2:$F$501)+SUMIF('Diet Support'!$B$2:$B$501,A487,'Diet Support'!$E$2:$E$501))</f>
        <v/>
      </c>
      <c r="G487" s="21" t="str">
        <f aca="false">IF(OR(A487="",COUNTIF('Injection Sales'!$B$2:$B$501,A487)=0),"",IFERROR(LOOKUP(2,1/(('Injection Sales'!$B$2:$B$501=A487)*('Injection Sales'!$A$2:$A$501=_xlfn.MAXIFS('Injection Sales'!$A$2:$A$501,'Injection Sales'!$B$2:$B$501,A487))),'Injection Sales'!$E$2:$E$501),""))</f>
        <v/>
      </c>
      <c r="H487" s="21" t="str">
        <f aca="false">IF(OR(A487="",COUNTIF('Injection Sales'!$B$2:$B$501,A487)=0),"",IFERROR(LOOKUP(2,1/(('Injection Sales'!$B$2:$B$501=A487)*('Injection Sales'!$A$2:$A$501=_xlfn.MAXIFS('Injection Sales'!$A$2:$A$501,'Injection Sales'!$B$2:$B$501,A487))),'Injection Sales'!$H$2:$H$501),""))</f>
        <v/>
      </c>
      <c r="I487" s="21" t="str">
        <f aca="true">IF(OR(A487="",D487=""),"",IF(TODAY()-D487&lt;=Settings!$B$7,"Active","Inactive"))</f>
        <v/>
      </c>
    </row>
    <row r="488" customFormat="false" ht="15" hidden="false" customHeight="false" outlineLevel="0" collapsed="false">
      <c r="A488" s="1"/>
      <c r="B488" s="22"/>
      <c r="C488" s="18" t="str">
        <f aca="false">IF(OR(A488="",COUNTIF('Injection Sales'!$B$2:$B$501,A488)+COUNTIF('Protein Sales'!$B$2:$B$501,A488)+COUNTIF('Diet Support'!$B$2:$B$501,A488)=0),"",MIN(IF(COUNTIF('Injection Sales'!$B$2:$B$501,A488),_xlfn.MINIFS('Injection Sales'!$A$2:$A$501,'Injection Sales'!$B$2:$B$501,A488),99999),IF(COUNTIF('Protein Sales'!$B$2:$B$501,A488),_xlfn.MINIFS('Protein Sales'!$A$2:$A$501,'Protein Sales'!$B$2:$B$501,A488),99999),IF(COUNTIF('Diet Support'!$B$2:$B$501,A488),_xlfn.MINIFS('Diet Support'!$A$2:$A$501,'Diet Support'!$B$2:$B$501,A488),99999)))</f>
        <v/>
      </c>
      <c r="D488" s="18" t="str">
        <f aca="false">IF(OR(A488="",COUNTIF('Injection Sales'!$B$2:$B$501,A488)+COUNTIF('Protein Sales'!$B$2:$B$501,A488)+COUNTIF('Diet Support'!$B$2:$B$501,A488)=0),"",MAX(_xlfn.MAXIFS('Injection Sales'!$A$2:$A$501,'Injection Sales'!$B$2:$B$501,A488),_xlfn.MAXIFS('Protein Sales'!$A$2:$A$501,'Protein Sales'!$B$2:$B$501,A488),_xlfn.MAXIFS('Diet Support'!$A$2:$A$501,'Diet Support'!$B$2:$B$501,A488)))</f>
        <v/>
      </c>
      <c r="E488" s="19" t="str">
        <f aca="false">IF(A488="","",COUNTIF('Injection Sales'!$B$2:$B$501,A488)+COUNTIF('Protein Sales'!$B$2:$B$501,A488)+COUNTIF('Diet Support'!$B$2:$B$501,A488))</f>
        <v/>
      </c>
      <c r="F488" s="20" t="str">
        <f aca="false">IF(A488="","",SUMIF('Injection Sales'!$B$2:$B$501,A488,'Injection Sales'!$G$2:$G$501)+SUMIF('Protein Sales'!$B$2:$B$501,A488,'Protein Sales'!$F$2:$F$501)+SUMIF('Diet Support'!$B$2:$B$501,A488,'Diet Support'!$E$2:$E$501))</f>
        <v/>
      </c>
      <c r="G488" s="21" t="str">
        <f aca="false">IF(OR(A488="",COUNTIF('Injection Sales'!$B$2:$B$501,A488)=0),"",IFERROR(LOOKUP(2,1/(('Injection Sales'!$B$2:$B$501=A488)*('Injection Sales'!$A$2:$A$501=_xlfn.MAXIFS('Injection Sales'!$A$2:$A$501,'Injection Sales'!$B$2:$B$501,A488))),'Injection Sales'!$E$2:$E$501),""))</f>
        <v/>
      </c>
      <c r="H488" s="21" t="str">
        <f aca="false">IF(OR(A488="",COUNTIF('Injection Sales'!$B$2:$B$501,A488)=0),"",IFERROR(LOOKUP(2,1/(('Injection Sales'!$B$2:$B$501=A488)*('Injection Sales'!$A$2:$A$501=_xlfn.MAXIFS('Injection Sales'!$A$2:$A$501,'Injection Sales'!$B$2:$B$501,A488))),'Injection Sales'!$H$2:$H$501),""))</f>
        <v/>
      </c>
      <c r="I488" s="21" t="str">
        <f aca="true">IF(OR(A488="",D488=""),"",IF(TODAY()-D488&lt;=Settings!$B$7,"Active","Inactive"))</f>
        <v/>
      </c>
    </row>
    <row r="489" customFormat="false" ht="15" hidden="false" customHeight="false" outlineLevel="0" collapsed="false">
      <c r="A489" s="1"/>
      <c r="B489" s="22"/>
      <c r="C489" s="18" t="str">
        <f aca="false">IF(OR(A489="",COUNTIF('Injection Sales'!$B$2:$B$501,A489)+COUNTIF('Protein Sales'!$B$2:$B$501,A489)+COUNTIF('Diet Support'!$B$2:$B$501,A489)=0),"",MIN(IF(COUNTIF('Injection Sales'!$B$2:$B$501,A489),_xlfn.MINIFS('Injection Sales'!$A$2:$A$501,'Injection Sales'!$B$2:$B$501,A489),99999),IF(COUNTIF('Protein Sales'!$B$2:$B$501,A489),_xlfn.MINIFS('Protein Sales'!$A$2:$A$501,'Protein Sales'!$B$2:$B$501,A489),99999),IF(COUNTIF('Diet Support'!$B$2:$B$501,A489),_xlfn.MINIFS('Diet Support'!$A$2:$A$501,'Diet Support'!$B$2:$B$501,A489),99999)))</f>
        <v/>
      </c>
      <c r="D489" s="18" t="str">
        <f aca="false">IF(OR(A489="",COUNTIF('Injection Sales'!$B$2:$B$501,A489)+COUNTIF('Protein Sales'!$B$2:$B$501,A489)+COUNTIF('Diet Support'!$B$2:$B$501,A489)=0),"",MAX(_xlfn.MAXIFS('Injection Sales'!$A$2:$A$501,'Injection Sales'!$B$2:$B$501,A489),_xlfn.MAXIFS('Protein Sales'!$A$2:$A$501,'Protein Sales'!$B$2:$B$501,A489),_xlfn.MAXIFS('Diet Support'!$A$2:$A$501,'Diet Support'!$B$2:$B$501,A489)))</f>
        <v/>
      </c>
      <c r="E489" s="19" t="str">
        <f aca="false">IF(A489="","",COUNTIF('Injection Sales'!$B$2:$B$501,A489)+COUNTIF('Protein Sales'!$B$2:$B$501,A489)+COUNTIF('Diet Support'!$B$2:$B$501,A489))</f>
        <v/>
      </c>
      <c r="F489" s="20" t="str">
        <f aca="false">IF(A489="","",SUMIF('Injection Sales'!$B$2:$B$501,A489,'Injection Sales'!$G$2:$G$501)+SUMIF('Protein Sales'!$B$2:$B$501,A489,'Protein Sales'!$F$2:$F$501)+SUMIF('Diet Support'!$B$2:$B$501,A489,'Diet Support'!$E$2:$E$501))</f>
        <v/>
      </c>
      <c r="G489" s="21" t="str">
        <f aca="false">IF(OR(A489="",COUNTIF('Injection Sales'!$B$2:$B$501,A489)=0),"",IFERROR(LOOKUP(2,1/(('Injection Sales'!$B$2:$B$501=A489)*('Injection Sales'!$A$2:$A$501=_xlfn.MAXIFS('Injection Sales'!$A$2:$A$501,'Injection Sales'!$B$2:$B$501,A489))),'Injection Sales'!$E$2:$E$501),""))</f>
        <v/>
      </c>
      <c r="H489" s="21" t="str">
        <f aca="false">IF(OR(A489="",COUNTIF('Injection Sales'!$B$2:$B$501,A489)=0),"",IFERROR(LOOKUP(2,1/(('Injection Sales'!$B$2:$B$501=A489)*('Injection Sales'!$A$2:$A$501=_xlfn.MAXIFS('Injection Sales'!$A$2:$A$501,'Injection Sales'!$B$2:$B$501,A489))),'Injection Sales'!$H$2:$H$501),""))</f>
        <v/>
      </c>
      <c r="I489" s="21" t="str">
        <f aca="true">IF(OR(A489="",D489=""),"",IF(TODAY()-D489&lt;=Settings!$B$7,"Active","Inactive"))</f>
        <v/>
      </c>
    </row>
    <row r="490" customFormat="false" ht="15" hidden="false" customHeight="false" outlineLevel="0" collapsed="false">
      <c r="A490" s="1"/>
      <c r="B490" s="22"/>
      <c r="C490" s="18" t="str">
        <f aca="false">IF(OR(A490="",COUNTIF('Injection Sales'!$B$2:$B$501,A490)+COUNTIF('Protein Sales'!$B$2:$B$501,A490)+COUNTIF('Diet Support'!$B$2:$B$501,A490)=0),"",MIN(IF(COUNTIF('Injection Sales'!$B$2:$B$501,A490),_xlfn.MINIFS('Injection Sales'!$A$2:$A$501,'Injection Sales'!$B$2:$B$501,A490),99999),IF(COUNTIF('Protein Sales'!$B$2:$B$501,A490),_xlfn.MINIFS('Protein Sales'!$A$2:$A$501,'Protein Sales'!$B$2:$B$501,A490),99999),IF(COUNTIF('Diet Support'!$B$2:$B$501,A490),_xlfn.MINIFS('Diet Support'!$A$2:$A$501,'Diet Support'!$B$2:$B$501,A490),99999)))</f>
        <v/>
      </c>
      <c r="D490" s="18" t="str">
        <f aca="false">IF(OR(A490="",COUNTIF('Injection Sales'!$B$2:$B$501,A490)+COUNTIF('Protein Sales'!$B$2:$B$501,A490)+COUNTIF('Diet Support'!$B$2:$B$501,A490)=0),"",MAX(_xlfn.MAXIFS('Injection Sales'!$A$2:$A$501,'Injection Sales'!$B$2:$B$501,A490),_xlfn.MAXIFS('Protein Sales'!$A$2:$A$501,'Protein Sales'!$B$2:$B$501,A490),_xlfn.MAXIFS('Diet Support'!$A$2:$A$501,'Diet Support'!$B$2:$B$501,A490)))</f>
        <v/>
      </c>
      <c r="E490" s="19" t="str">
        <f aca="false">IF(A490="","",COUNTIF('Injection Sales'!$B$2:$B$501,A490)+COUNTIF('Protein Sales'!$B$2:$B$501,A490)+COUNTIF('Diet Support'!$B$2:$B$501,A490))</f>
        <v/>
      </c>
      <c r="F490" s="20" t="str">
        <f aca="false">IF(A490="","",SUMIF('Injection Sales'!$B$2:$B$501,A490,'Injection Sales'!$G$2:$G$501)+SUMIF('Protein Sales'!$B$2:$B$501,A490,'Protein Sales'!$F$2:$F$501)+SUMIF('Diet Support'!$B$2:$B$501,A490,'Diet Support'!$E$2:$E$501))</f>
        <v/>
      </c>
      <c r="G490" s="21" t="str">
        <f aca="false">IF(OR(A490="",COUNTIF('Injection Sales'!$B$2:$B$501,A490)=0),"",IFERROR(LOOKUP(2,1/(('Injection Sales'!$B$2:$B$501=A490)*('Injection Sales'!$A$2:$A$501=_xlfn.MAXIFS('Injection Sales'!$A$2:$A$501,'Injection Sales'!$B$2:$B$501,A490))),'Injection Sales'!$E$2:$E$501),""))</f>
        <v/>
      </c>
      <c r="H490" s="21" t="str">
        <f aca="false">IF(OR(A490="",COUNTIF('Injection Sales'!$B$2:$B$501,A490)=0),"",IFERROR(LOOKUP(2,1/(('Injection Sales'!$B$2:$B$501=A490)*('Injection Sales'!$A$2:$A$501=_xlfn.MAXIFS('Injection Sales'!$A$2:$A$501,'Injection Sales'!$B$2:$B$501,A490))),'Injection Sales'!$H$2:$H$501),""))</f>
        <v/>
      </c>
      <c r="I490" s="21" t="str">
        <f aca="true">IF(OR(A490="",D490=""),"",IF(TODAY()-D490&lt;=Settings!$B$7,"Active","Inactive"))</f>
        <v/>
      </c>
    </row>
    <row r="491" customFormat="false" ht="15" hidden="false" customHeight="false" outlineLevel="0" collapsed="false">
      <c r="A491" s="1"/>
      <c r="B491" s="22"/>
      <c r="C491" s="18" t="str">
        <f aca="false">IF(OR(A491="",COUNTIF('Injection Sales'!$B$2:$B$501,A491)+COUNTIF('Protein Sales'!$B$2:$B$501,A491)+COUNTIF('Diet Support'!$B$2:$B$501,A491)=0),"",MIN(IF(COUNTIF('Injection Sales'!$B$2:$B$501,A491),_xlfn.MINIFS('Injection Sales'!$A$2:$A$501,'Injection Sales'!$B$2:$B$501,A491),99999),IF(COUNTIF('Protein Sales'!$B$2:$B$501,A491),_xlfn.MINIFS('Protein Sales'!$A$2:$A$501,'Protein Sales'!$B$2:$B$501,A491),99999),IF(COUNTIF('Diet Support'!$B$2:$B$501,A491),_xlfn.MINIFS('Diet Support'!$A$2:$A$501,'Diet Support'!$B$2:$B$501,A491),99999)))</f>
        <v/>
      </c>
      <c r="D491" s="18" t="str">
        <f aca="false">IF(OR(A491="",COUNTIF('Injection Sales'!$B$2:$B$501,A491)+COUNTIF('Protein Sales'!$B$2:$B$501,A491)+COUNTIF('Diet Support'!$B$2:$B$501,A491)=0),"",MAX(_xlfn.MAXIFS('Injection Sales'!$A$2:$A$501,'Injection Sales'!$B$2:$B$501,A491),_xlfn.MAXIFS('Protein Sales'!$A$2:$A$501,'Protein Sales'!$B$2:$B$501,A491),_xlfn.MAXIFS('Diet Support'!$A$2:$A$501,'Diet Support'!$B$2:$B$501,A491)))</f>
        <v/>
      </c>
      <c r="E491" s="19" t="str">
        <f aca="false">IF(A491="","",COUNTIF('Injection Sales'!$B$2:$B$501,A491)+COUNTIF('Protein Sales'!$B$2:$B$501,A491)+COUNTIF('Diet Support'!$B$2:$B$501,A491))</f>
        <v/>
      </c>
      <c r="F491" s="20" t="str">
        <f aca="false">IF(A491="","",SUMIF('Injection Sales'!$B$2:$B$501,A491,'Injection Sales'!$G$2:$G$501)+SUMIF('Protein Sales'!$B$2:$B$501,A491,'Protein Sales'!$F$2:$F$501)+SUMIF('Diet Support'!$B$2:$B$501,A491,'Diet Support'!$E$2:$E$501))</f>
        <v/>
      </c>
      <c r="G491" s="21" t="str">
        <f aca="false">IF(OR(A491="",COUNTIF('Injection Sales'!$B$2:$B$501,A491)=0),"",IFERROR(LOOKUP(2,1/(('Injection Sales'!$B$2:$B$501=A491)*('Injection Sales'!$A$2:$A$501=_xlfn.MAXIFS('Injection Sales'!$A$2:$A$501,'Injection Sales'!$B$2:$B$501,A491))),'Injection Sales'!$E$2:$E$501),""))</f>
        <v/>
      </c>
      <c r="H491" s="21" t="str">
        <f aca="false">IF(OR(A491="",COUNTIF('Injection Sales'!$B$2:$B$501,A491)=0),"",IFERROR(LOOKUP(2,1/(('Injection Sales'!$B$2:$B$501=A491)*('Injection Sales'!$A$2:$A$501=_xlfn.MAXIFS('Injection Sales'!$A$2:$A$501,'Injection Sales'!$B$2:$B$501,A491))),'Injection Sales'!$H$2:$H$501),""))</f>
        <v/>
      </c>
      <c r="I491" s="21" t="str">
        <f aca="true">IF(OR(A491="",D491=""),"",IF(TODAY()-D491&lt;=Settings!$B$7,"Active","Inactive"))</f>
        <v/>
      </c>
    </row>
    <row r="492" customFormat="false" ht="15" hidden="false" customHeight="false" outlineLevel="0" collapsed="false">
      <c r="A492" s="1"/>
      <c r="B492" s="22"/>
      <c r="C492" s="18" t="str">
        <f aca="false">IF(OR(A492="",COUNTIF('Injection Sales'!$B$2:$B$501,A492)+COUNTIF('Protein Sales'!$B$2:$B$501,A492)+COUNTIF('Diet Support'!$B$2:$B$501,A492)=0),"",MIN(IF(COUNTIF('Injection Sales'!$B$2:$B$501,A492),_xlfn.MINIFS('Injection Sales'!$A$2:$A$501,'Injection Sales'!$B$2:$B$501,A492),99999),IF(COUNTIF('Protein Sales'!$B$2:$B$501,A492),_xlfn.MINIFS('Protein Sales'!$A$2:$A$501,'Protein Sales'!$B$2:$B$501,A492),99999),IF(COUNTIF('Diet Support'!$B$2:$B$501,A492),_xlfn.MINIFS('Diet Support'!$A$2:$A$501,'Diet Support'!$B$2:$B$501,A492),99999)))</f>
        <v/>
      </c>
      <c r="D492" s="18" t="str">
        <f aca="false">IF(OR(A492="",COUNTIF('Injection Sales'!$B$2:$B$501,A492)+COUNTIF('Protein Sales'!$B$2:$B$501,A492)+COUNTIF('Diet Support'!$B$2:$B$501,A492)=0),"",MAX(_xlfn.MAXIFS('Injection Sales'!$A$2:$A$501,'Injection Sales'!$B$2:$B$501,A492),_xlfn.MAXIFS('Protein Sales'!$A$2:$A$501,'Protein Sales'!$B$2:$B$501,A492),_xlfn.MAXIFS('Diet Support'!$A$2:$A$501,'Diet Support'!$B$2:$B$501,A492)))</f>
        <v/>
      </c>
      <c r="E492" s="19" t="str">
        <f aca="false">IF(A492="","",COUNTIF('Injection Sales'!$B$2:$B$501,A492)+COUNTIF('Protein Sales'!$B$2:$B$501,A492)+COUNTIF('Diet Support'!$B$2:$B$501,A492))</f>
        <v/>
      </c>
      <c r="F492" s="20" t="str">
        <f aca="false">IF(A492="","",SUMIF('Injection Sales'!$B$2:$B$501,A492,'Injection Sales'!$G$2:$G$501)+SUMIF('Protein Sales'!$B$2:$B$501,A492,'Protein Sales'!$F$2:$F$501)+SUMIF('Diet Support'!$B$2:$B$501,A492,'Diet Support'!$E$2:$E$501))</f>
        <v/>
      </c>
      <c r="G492" s="21" t="str">
        <f aca="false">IF(OR(A492="",COUNTIF('Injection Sales'!$B$2:$B$501,A492)=0),"",IFERROR(LOOKUP(2,1/(('Injection Sales'!$B$2:$B$501=A492)*('Injection Sales'!$A$2:$A$501=_xlfn.MAXIFS('Injection Sales'!$A$2:$A$501,'Injection Sales'!$B$2:$B$501,A492))),'Injection Sales'!$E$2:$E$501),""))</f>
        <v/>
      </c>
      <c r="H492" s="21" t="str">
        <f aca="false">IF(OR(A492="",COUNTIF('Injection Sales'!$B$2:$B$501,A492)=0),"",IFERROR(LOOKUP(2,1/(('Injection Sales'!$B$2:$B$501=A492)*('Injection Sales'!$A$2:$A$501=_xlfn.MAXIFS('Injection Sales'!$A$2:$A$501,'Injection Sales'!$B$2:$B$501,A492))),'Injection Sales'!$H$2:$H$501),""))</f>
        <v/>
      </c>
      <c r="I492" s="21" t="str">
        <f aca="true">IF(OR(A492="",D492=""),"",IF(TODAY()-D492&lt;=Settings!$B$7,"Active","Inactive"))</f>
        <v/>
      </c>
    </row>
    <row r="493" customFormat="false" ht="15" hidden="false" customHeight="false" outlineLevel="0" collapsed="false">
      <c r="A493" s="1"/>
      <c r="B493" s="22"/>
      <c r="C493" s="18" t="str">
        <f aca="false">IF(OR(A493="",COUNTIF('Injection Sales'!$B$2:$B$501,A493)+COUNTIF('Protein Sales'!$B$2:$B$501,A493)+COUNTIF('Diet Support'!$B$2:$B$501,A493)=0),"",MIN(IF(COUNTIF('Injection Sales'!$B$2:$B$501,A493),_xlfn.MINIFS('Injection Sales'!$A$2:$A$501,'Injection Sales'!$B$2:$B$501,A493),99999),IF(COUNTIF('Protein Sales'!$B$2:$B$501,A493),_xlfn.MINIFS('Protein Sales'!$A$2:$A$501,'Protein Sales'!$B$2:$B$501,A493),99999),IF(COUNTIF('Diet Support'!$B$2:$B$501,A493),_xlfn.MINIFS('Diet Support'!$A$2:$A$501,'Diet Support'!$B$2:$B$501,A493),99999)))</f>
        <v/>
      </c>
      <c r="D493" s="18" t="str">
        <f aca="false">IF(OR(A493="",COUNTIF('Injection Sales'!$B$2:$B$501,A493)+COUNTIF('Protein Sales'!$B$2:$B$501,A493)+COUNTIF('Diet Support'!$B$2:$B$501,A493)=0),"",MAX(_xlfn.MAXIFS('Injection Sales'!$A$2:$A$501,'Injection Sales'!$B$2:$B$501,A493),_xlfn.MAXIFS('Protein Sales'!$A$2:$A$501,'Protein Sales'!$B$2:$B$501,A493),_xlfn.MAXIFS('Diet Support'!$A$2:$A$501,'Diet Support'!$B$2:$B$501,A493)))</f>
        <v/>
      </c>
      <c r="E493" s="19" t="str">
        <f aca="false">IF(A493="","",COUNTIF('Injection Sales'!$B$2:$B$501,A493)+COUNTIF('Protein Sales'!$B$2:$B$501,A493)+COUNTIF('Diet Support'!$B$2:$B$501,A493))</f>
        <v/>
      </c>
      <c r="F493" s="20" t="str">
        <f aca="false">IF(A493="","",SUMIF('Injection Sales'!$B$2:$B$501,A493,'Injection Sales'!$G$2:$G$501)+SUMIF('Protein Sales'!$B$2:$B$501,A493,'Protein Sales'!$F$2:$F$501)+SUMIF('Diet Support'!$B$2:$B$501,A493,'Diet Support'!$E$2:$E$501))</f>
        <v/>
      </c>
      <c r="G493" s="21" t="str">
        <f aca="false">IF(OR(A493="",COUNTIF('Injection Sales'!$B$2:$B$501,A493)=0),"",IFERROR(LOOKUP(2,1/(('Injection Sales'!$B$2:$B$501=A493)*('Injection Sales'!$A$2:$A$501=_xlfn.MAXIFS('Injection Sales'!$A$2:$A$501,'Injection Sales'!$B$2:$B$501,A493))),'Injection Sales'!$E$2:$E$501),""))</f>
        <v/>
      </c>
      <c r="H493" s="21" t="str">
        <f aca="false">IF(OR(A493="",COUNTIF('Injection Sales'!$B$2:$B$501,A493)=0),"",IFERROR(LOOKUP(2,1/(('Injection Sales'!$B$2:$B$501=A493)*('Injection Sales'!$A$2:$A$501=_xlfn.MAXIFS('Injection Sales'!$A$2:$A$501,'Injection Sales'!$B$2:$B$501,A493))),'Injection Sales'!$H$2:$H$501),""))</f>
        <v/>
      </c>
      <c r="I493" s="21" t="str">
        <f aca="true">IF(OR(A493="",D493=""),"",IF(TODAY()-D493&lt;=Settings!$B$7,"Active","Inactive"))</f>
        <v/>
      </c>
    </row>
    <row r="494" customFormat="false" ht="15" hidden="false" customHeight="false" outlineLevel="0" collapsed="false">
      <c r="A494" s="1"/>
      <c r="B494" s="22"/>
      <c r="C494" s="18" t="str">
        <f aca="false">IF(OR(A494="",COUNTIF('Injection Sales'!$B$2:$B$501,A494)+COUNTIF('Protein Sales'!$B$2:$B$501,A494)+COUNTIF('Diet Support'!$B$2:$B$501,A494)=0),"",MIN(IF(COUNTIF('Injection Sales'!$B$2:$B$501,A494),_xlfn.MINIFS('Injection Sales'!$A$2:$A$501,'Injection Sales'!$B$2:$B$501,A494),99999),IF(COUNTIF('Protein Sales'!$B$2:$B$501,A494),_xlfn.MINIFS('Protein Sales'!$A$2:$A$501,'Protein Sales'!$B$2:$B$501,A494),99999),IF(COUNTIF('Diet Support'!$B$2:$B$501,A494),_xlfn.MINIFS('Diet Support'!$A$2:$A$501,'Diet Support'!$B$2:$B$501,A494),99999)))</f>
        <v/>
      </c>
      <c r="D494" s="18" t="str">
        <f aca="false">IF(OR(A494="",COUNTIF('Injection Sales'!$B$2:$B$501,A494)+COUNTIF('Protein Sales'!$B$2:$B$501,A494)+COUNTIF('Diet Support'!$B$2:$B$501,A494)=0),"",MAX(_xlfn.MAXIFS('Injection Sales'!$A$2:$A$501,'Injection Sales'!$B$2:$B$501,A494),_xlfn.MAXIFS('Protein Sales'!$A$2:$A$501,'Protein Sales'!$B$2:$B$501,A494),_xlfn.MAXIFS('Diet Support'!$A$2:$A$501,'Diet Support'!$B$2:$B$501,A494)))</f>
        <v/>
      </c>
      <c r="E494" s="19" t="str">
        <f aca="false">IF(A494="","",COUNTIF('Injection Sales'!$B$2:$B$501,A494)+COUNTIF('Protein Sales'!$B$2:$B$501,A494)+COUNTIF('Diet Support'!$B$2:$B$501,A494))</f>
        <v/>
      </c>
      <c r="F494" s="20" t="str">
        <f aca="false">IF(A494="","",SUMIF('Injection Sales'!$B$2:$B$501,A494,'Injection Sales'!$G$2:$G$501)+SUMIF('Protein Sales'!$B$2:$B$501,A494,'Protein Sales'!$F$2:$F$501)+SUMIF('Diet Support'!$B$2:$B$501,A494,'Diet Support'!$E$2:$E$501))</f>
        <v/>
      </c>
      <c r="G494" s="21" t="str">
        <f aca="false">IF(OR(A494="",COUNTIF('Injection Sales'!$B$2:$B$501,A494)=0),"",IFERROR(LOOKUP(2,1/(('Injection Sales'!$B$2:$B$501=A494)*('Injection Sales'!$A$2:$A$501=_xlfn.MAXIFS('Injection Sales'!$A$2:$A$501,'Injection Sales'!$B$2:$B$501,A494))),'Injection Sales'!$E$2:$E$501),""))</f>
        <v/>
      </c>
      <c r="H494" s="21" t="str">
        <f aca="false">IF(OR(A494="",COUNTIF('Injection Sales'!$B$2:$B$501,A494)=0),"",IFERROR(LOOKUP(2,1/(('Injection Sales'!$B$2:$B$501=A494)*('Injection Sales'!$A$2:$A$501=_xlfn.MAXIFS('Injection Sales'!$A$2:$A$501,'Injection Sales'!$B$2:$B$501,A494))),'Injection Sales'!$H$2:$H$501),""))</f>
        <v/>
      </c>
      <c r="I494" s="21" t="str">
        <f aca="true">IF(OR(A494="",D494=""),"",IF(TODAY()-D494&lt;=Settings!$B$7,"Active","Inactive"))</f>
        <v/>
      </c>
    </row>
    <row r="495" customFormat="false" ht="15" hidden="false" customHeight="false" outlineLevel="0" collapsed="false">
      <c r="A495" s="1"/>
      <c r="B495" s="22"/>
      <c r="C495" s="18" t="str">
        <f aca="false">IF(OR(A495="",COUNTIF('Injection Sales'!$B$2:$B$501,A495)+COUNTIF('Protein Sales'!$B$2:$B$501,A495)+COUNTIF('Diet Support'!$B$2:$B$501,A495)=0),"",MIN(IF(COUNTIF('Injection Sales'!$B$2:$B$501,A495),_xlfn.MINIFS('Injection Sales'!$A$2:$A$501,'Injection Sales'!$B$2:$B$501,A495),99999),IF(COUNTIF('Protein Sales'!$B$2:$B$501,A495),_xlfn.MINIFS('Protein Sales'!$A$2:$A$501,'Protein Sales'!$B$2:$B$501,A495),99999),IF(COUNTIF('Diet Support'!$B$2:$B$501,A495),_xlfn.MINIFS('Diet Support'!$A$2:$A$501,'Diet Support'!$B$2:$B$501,A495),99999)))</f>
        <v/>
      </c>
      <c r="D495" s="18" t="str">
        <f aca="false">IF(OR(A495="",COUNTIF('Injection Sales'!$B$2:$B$501,A495)+COUNTIF('Protein Sales'!$B$2:$B$501,A495)+COUNTIF('Diet Support'!$B$2:$B$501,A495)=0),"",MAX(_xlfn.MAXIFS('Injection Sales'!$A$2:$A$501,'Injection Sales'!$B$2:$B$501,A495),_xlfn.MAXIFS('Protein Sales'!$A$2:$A$501,'Protein Sales'!$B$2:$B$501,A495),_xlfn.MAXIFS('Diet Support'!$A$2:$A$501,'Diet Support'!$B$2:$B$501,A495)))</f>
        <v/>
      </c>
      <c r="E495" s="19" t="str">
        <f aca="false">IF(A495="","",COUNTIF('Injection Sales'!$B$2:$B$501,A495)+COUNTIF('Protein Sales'!$B$2:$B$501,A495)+COUNTIF('Diet Support'!$B$2:$B$501,A495))</f>
        <v/>
      </c>
      <c r="F495" s="20" t="str">
        <f aca="false">IF(A495="","",SUMIF('Injection Sales'!$B$2:$B$501,A495,'Injection Sales'!$G$2:$G$501)+SUMIF('Protein Sales'!$B$2:$B$501,A495,'Protein Sales'!$F$2:$F$501)+SUMIF('Diet Support'!$B$2:$B$501,A495,'Diet Support'!$E$2:$E$501))</f>
        <v/>
      </c>
      <c r="G495" s="21" t="str">
        <f aca="false">IF(OR(A495="",COUNTIF('Injection Sales'!$B$2:$B$501,A495)=0),"",IFERROR(LOOKUP(2,1/(('Injection Sales'!$B$2:$B$501=A495)*('Injection Sales'!$A$2:$A$501=_xlfn.MAXIFS('Injection Sales'!$A$2:$A$501,'Injection Sales'!$B$2:$B$501,A495))),'Injection Sales'!$E$2:$E$501),""))</f>
        <v/>
      </c>
      <c r="H495" s="21" t="str">
        <f aca="false">IF(OR(A495="",COUNTIF('Injection Sales'!$B$2:$B$501,A495)=0),"",IFERROR(LOOKUP(2,1/(('Injection Sales'!$B$2:$B$501=A495)*('Injection Sales'!$A$2:$A$501=_xlfn.MAXIFS('Injection Sales'!$A$2:$A$501,'Injection Sales'!$B$2:$B$501,A495))),'Injection Sales'!$H$2:$H$501),""))</f>
        <v/>
      </c>
      <c r="I495" s="21" t="str">
        <f aca="true">IF(OR(A495="",D495=""),"",IF(TODAY()-D495&lt;=Settings!$B$7,"Active","Inactive"))</f>
        <v/>
      </c>
    </row>
    <row r="496" customFormat="false" ht="15" hidden="false" customHeight="false" outlineLevel="0" collapsed="false">
      <c r="A496" s="1"/>
      <c r="B496" s="22"/>
      <c r="C496" s="18" t="str">
        <f aca="false">IF(OR(A496="",COUNTIF('Injection Sales'!$B$2:$B$501,A496)+COUNTIF('Protein Sales'!$B$2:$B$501,A496)+COUNTIF('Diet Support'!$B$2:$B$501,A496)=0),"",MIN(IF(COUNTIF('Injection Sales'!$B$2:$B$501,A496),_xlfn.MINIFS('Injection Sales'!$A$2:$A$501,'Injection Sales'!$B$2:$B$501,A496),99999),IF(COUNTIF('Protein Sales'!$B$2:$B$501,A496),_xlfn.MINIFS('Protein Sales'!$A$2:$A$501,'Protein Sales'!$B$2:$B$501,A496),99999),IF(COUNTIF('Diet Support'!$B$2:$B$501,A496),_xlfn.MINIFS('Diet Support'!$A$2:$A$501,'Diet Support'!$B$2:$B$501,A496),99999)))</f>
        <v/>
      </c>
      <c r="D496" s="18" t="str">
        <f aca="false">IF(OR(A496="",COUNTIF('Injection Sales'!$B$2:$B$501,A496)+COUNTIF('Protein Sales'!$B$2:$B$501,A496)+COUNTIF('Diet Support'!$B$2:$B$501,A496)=0),"",MAX(_xlfn.MAXIFS('Injection Sales'!$A$2:$A$501,'Injection Sales'!$B$2:$B$501,A496),_xlfn.MAXIFS('Protein Sales'!$A$2:$A$501,'Protein Sales'!$B$2:$B$501,A496),_xlfn.MAXIFS('Diet Support'!$A$2:$A$501,'Diet Support'!$B$2:$B$501,A496)))</f>
        <v/>
      </c>
      <c r="E496" s="19" t="str">
        <f aca="false">IF(A496="","",COUNTIF('Injection Sales'!$B$2:$B$501,A496)+COUNTIF('Protein Sales'!$B$2:$B$501,A496)+COUNTIF('Diet Support'!$B$2:$B$501,A496))</f>
        <v/>
      </c>
      <c r="F496" s="20" t="str">
        <f aca="false">IF(A496="","",SUMIF('Injection Sales'!$B$2:$B$501,A496,'Injection Sales'!$G$2:$G$501)+SUMIF('Protein Sales'!$B$2:$B$501,A496,'Protein Sales'!$F$2:$F$501)+SUMIF('Diet Support'!$B$2:$B$501,A496,'Diet Support'!$E$2:$E$501))</f>
        <v/>
      </c>
      <c r="G496" s="21" t="str">
        <f aca="false">IF(OR(A496="",COUNTIF('Injection Sales'!$B$2:$B$501,A496)=0),"",IFERROR(LOOKUP(2,1/(('Injection Sales'!$B$2:$B$501=A496)*('Injection Sales'!$A$2:$A$501=_xlfn.MAXIFS('Injection Sales'!$A$2:$A$501,'Injection Sales'!$B$2:$B$501,A496))),'Injection Sales'!$E$2:$E$501),""))</f>
        <v/>
      </c>
      <c r="H496" s="21" t="str">
        <f aca="false">IF(OR(A496="",COUNTIF('Injection Sales'!$B$2:$B$501,A496)=0),"",IFERROR(LOOKUP(2,1/(('Injection Sales'!$B$2:$B$501=A496)*('Injection Sales'!$A$2:$A$501=_xlfn.MAXIFS('Injection Sales'!$A$2:$A$501,'Injection Sales'!$B$2:$B$501,A496))),'Injection Sales'!$H$2:$H$501),""))</f>
        <v/>
      </c>
      <c r="I496" s="21" t="str">
        <f aca="true">IF(OR(A496="",D496=""),"",IF(TODAY()-D496&lt;=Settings!$B$7,"Active","Inactive"))</f>
        <v/>
      </c>
    </row>
    <row r="497" customFormat="false" ht="15" hidden="false" customHeight="false" outlineLevel="0" collapsed="false">
      <c r="A497" s="1"/>
      <c r="B497" s="22"/>
      <c r="C497" s="18" t="str">
        <f aca="false">IF(OR(A497="",COUNTIF('Injection Sales'!$B$2:$B$501,A497)+COUNTIF('Protein Sales'!$B$2:$B$501,A497)+COUNTIF('Diet Support'!$B$2:$B$501,A497)=0),"",MIN(IF(COUNTIF('Injection Sales'!$B$2:$B$501,A497),_xlfn.MINIFS('Injection Sales'!$A$2:$A$501,'Injection Sales'!$B$2:$B$501,A497),99999),IF(COUNTIF('Protein Sales'!$B$2:$B$501,A497),_xlfn.MINIFS('Protein Sales'!$A$2:$A$501,'Protein Sales'!$B$2:$B$501,A497),99999),IF(COUNTIF('Diet Support'!$B$2:$B$501,A497),_xlfn.MINIFS('Diet Support'!$A$2:$A$501,'Diet Support'!$B$2:$B$501,A497),99999)))</f>
        <v/>
      </c>
      <c r="D497" s="18" t="str">
        <f aca="false">IF(OR(A497="",COUNTIF('Injection Sales'!$B$2:$B$501,A497)+COUNTIF('Protein Sales'!$B$2:$B$501,A497)+COUNTIF('Diet Support'!$B$2:$B$501,A497)=0),"",MAX(_xlfn.MAXIFS('Injection Sales'!$A$2:$A$501,'Injection Sales'!$B$2:$B$501,A497),_xlfn.MAXIFS('Protein Sales'!$A$2:$A$501,'Protein Sales'!$B$2:$B$501,A497),_xlfn.MAXIFS('Diet Support'!$A$2:$A$501,'Diet Support'!$B$2:$B$501,A497)))</f>
        <v/>
      </c>
      <c r="E497" s="19" t="str">
        <f aca="false">IF(A497="","",COUNTIF('Injection Sales'!$B$2:$B$501,A497)+COUNTIF('Protein Sales'!$B$2:$B$501,A497)+COUNTIF('Diet Support'!$B$2:$B$501,A497))</f>
        <v/>
      </c>
      <c r="F497" s="20" t="str">
        <f aca="false">IF(A497="","",SUMIF('Injection Sales'!$B$2:$B$501,A497,'Injection Sales'!$G$2:$G$501)+SUMIF('Protein Sales'!$B$2:$B$501,A497,'Protein Sales'!$F$2:$F$501)+SUMIF('Diet Support'!$B$2:$B$501,A497,'Diet Support'!$E$2:$E$501))</f>
        <v/>
      </c>
      <c r="G497" s="21" t="str">
        <f aca="false">IF(OR(A497="",COUNTIF('Injection Sales'!$B$2:$B$501,A497)=0),"",IFERROR(LOOKUP(2,1/(('Injection Sales'!$B$2:$B$501=A497)*('Injection Sales'!$A$2:$A$501=_xlfn.MAXIFS('Injection Sales'!$A$2:$A$501,'Injection Sales'!$B$2:$B$501,A497))),'Injection Sales'!$E$2:$E$501),""))</f>
        <v/>
      </c>
      <c r="H497" s="21" t="str">
        <f aca="false">IF(OR(A497="",COUNTIF('Injection Sales'!$B$2:$B$501,A497)=0),"",IFERROR(LOOKUP(2,1/(('Injection Sales'!$B$2:$B$501=A497)*('Injection Sales'!$A$2:$A$501=_xlfn.MAXIFS('Injection Sales'!$A$2:$A$501,'Injection Sales'!$B$2:$B$501,A497))),'Injection Sales'!$H$2:$H$501),""))</f>
        <v/>
      </c>
      <c r="I497" s="21" t="str">
        <f aca="true">IF(OR(A497="",D497=""),"",IF(TODAY()-D497&lt;=Settings!$B$7,"Active","Inactive"))</f>
        <v/>
      </c>
    </row>
    <row r="498" customFormat="false" ht="15" hidden="false" customHeight="false" outlineLevel="0" collapsed="false">
      <c r="A498" s="1"/>
      <c r="B498" s="22"/>
      <c r="C498" s="18" t="str">
        <f aca="false">IF(OR(A498="",COUNTIF('Injection Sales'!$B$2:$B$501,A498)+COUNTIF('Protein Sales'!$B$2:$B$501,A498)+COUNTIF('Diet Support'!$B$2:$B$501,A498)=0),"",MIN(IF(COUNTIF('Injection Sales'!$B$2:$B$501,A498),_xlfn.MINIFS('Injection Sales'!$A$2:$A$501,'Injection Sales'!$B$2:$B$501,A498),99999),IF(COUNTIF('Protein Sales'!$B$2:$B$501,A498),_xlfn.MINIFS('Protein Sales'!$A$2:$A$501,'Protein Sales'!$B$2:$B$501,A498),99999),IF(COUNTIF('Diet Support'!$B$2:$B$501,A498),_xlfn.MINIFS('Diet Support'!$A$2:$A$501,'Diet Support'!$B$2:$B$501,A498),99999)))</f>
        <v/>
      </c>
      <c r="D498" s="18" t="str">
        <f aca="false">IF(OR(A498="",COUNTIF('Injection Sales'!$B$2:$B$501,A498)+COUNTIF('Protein Sales'!$B$2:$B$501,A498)+COUNTIF('Diet Support'!$B$2:$B$501,A498)=0),"",MAX(_xlfn.MAXIFS('Injection Sales'!$A$2:$A$501,'Injection Sales'!$B$2:$B$501,A498),_xlfn.MAXIFS('Protein Sales'!$A$2:$A$501,'Protein Sales'!$B$2:$B$501,A498),_xlfn.MAXIFS('Diet Support'!$A$2:$A$501,'Diet Support'!$B$2:$B$501,A498)))</f>
        <v/>
      </c>
      <c r="E498" s="19" t="str">
        <f aca="false">IF(A498="","",COUNTIF('Injection Sales'!$B$2:$B$501,A498)+COUNTIF('Protein Sales'!$B$2:$B$501,A498)+COUNTIF('Diet Support'!$B$2:$B$501,A498))</f>
        <v/>
      </c>
      <c r="F498" s="20" t="str">
        <f aca="false">IF(A498="","",SUMIF('Injection Sales'!$B$2:$B$501,A498,'Injection Sales'!$G$2:$G$501)+SUMIF('Protein Sales'!$B$2:$B$501,A498,'Protein Sales'!$F$2:$F$501)+SUMIF('Diet Support'!$B$2:$B$501,A498,'Diet Support'!$E$2:$E$501))</f>
        <v/>
      </c>
      <c r="G498" s="21" t="str">
        <f aca="false">IF(OR(A498="",COUNTIF('Injection Sales'!$B$2:$B$501,A498)=0),"",IFERROR(LOOKUP(2,1/(('Injection Sales'!$B$2:$B$501=A498)*('Injection Sales'!$A$2:$A$501=_xlfn.MAXIFS('Injection Sales'!$A$2:$A$501,'Injection Sales'!$B$2:$B$501,A498))),'Injection Sales'!$E$2:$E$501),""))</f>
        <v/>
      </c>
      <c r="H498" s="21" t="str">
        <f aca="false">IF(OR(A498="",COUNTIF('Injection Sales'!$B$2:$B$501,A498)=0),"",IFERROR(LOOKUP(2,1/(('Injection Sales'!$B$2:$B$501=A498)*('Injection Sales'!$A$2:$A$501=_xlfn.MAXIFS('Injection Sales'!$A$2:$A$501,'Injection Sales'!$B$2:$B$501,A498))),'Injection Sales'!$H$2:$H$501),""))</f>
        <v/>
      </c>
      <c r="I498" s="21" t="str">
        <f aca="true">IF(OR(A498="",D498=""),"",IF(TODAY()-D498&lt;=Settings!$B$7,"Active","Inactive"))</f>
        <v/>
      </c>
    </row>
    <row r="499" customFormat="false" ht="15" hidden="false" customHeight="false" outlineLevel="0" collapsed="false">
      <c r="A499" s="1"/>
      <c r="B499" s="22"/>
      <c r="C499" s="18" t="str">
        <f aca="false">IF(OR(A499="",COUNTIF('Injection Sales'!$B$2:$B$501,A499)+COUNTIF('Protein Sales'!$B$2:$B$501,A499)+COUNTIF('Diet Support'!$B$2:$B$501,A499)=0),"",MIN(IF(COUNTIF('Injection Sales'!$B$2:$B$501,A499),_xlfn.MINIFS('Injection Sales'!$A$2:$A$501,'Injection Sales'!$B$2:$B$501,A499),99999),IF(COUNTIF('Protein Sales'!$B$2:$B$501,A499),_xlfn.MINIFS('Protein Sales'!$A$2:$A$501,'Protein Sales'!$B$2:$B$501,A499),99999),IF(COUNTIF('Diet Support'!$B$2:$B$501,A499),_xlfn.MINIFS('Diet Support'!$A$2:$A$501,'Diet Support'!$B$2:$B$501,A499),99999)))</f>
        <v/>
      </c>
      <c r="D499" s="18" t="str">
        <f aca="false">IF(OR(A499="",COUNTIF('Injection Sales'!$B$2:$B$501,A499)+COUNTIF('Protein Sales'!$B$2:$B$501,A499)+COUNTIF('Diet Support'!$B$2:$B$501,A499)=0),"",MAX(_xlfn.MAXIFS('Injection Sales'!$A$2:$A$501,'Injection Sales'!$B$2:$B$501,A499),_xlfn.MAXIFS('Protein Sales'!$A$2:$A$501,'Protein Sales'!$B$2:$B$501,A499),_xlfn.MAXIFS('Diet Support'!$A$2:$A$501,'Diet Support'!$B$2:$B$501,A499)))</f>
        <v/>
      </c>
      <c r="E499" s="19" t="str">
        <f aca="false">IF(A499="","",COUNTIF('Injection Sales'!$B$2:$B$501,A499)+COUNTIF('Protein Sales'!$B$2:$B$501,A499)+COUNTIF('Diet Support'!$B$2:$B$501,A499))</f>
        <v/>
      </c>
      <c r="F499" s="20" t="str">
        <f aca="false">IF(A499="","",SUMIF('Injection Sales'!$B$2:$B$501,A499,'Injection Sales'!$G$2:$G$501)+SUMIF('Protein Sales'!$B$2:$B$501,A499,'Protein Sales'!$F$2:$F$501)+SUMIF('Diet Support'!$B$2:$B$501,A499,'Diet Support'!$E$2:$E$501))</f>
        <v/>
      </c>
      <c r="G499" s="21" t="str">
        <f aca="false">IF(OR(A499="",COUNTIF('Injection Sales'!$B$2:$B$501,A499)=0),"",IFERROR(LOOKUP(2,1/(('Injection Sales'!$B$2:$B$501=A499)*('Injection Sales'!$A$2:$A$501=_xlfn.MAXIFS('Injection Sales'!$A$2:$A$501,'Injection Sales'!$B$2:$B$501,A499))),'Injection Sales'!$E$2:$E$501),""))</f>
        <v/>
      </c>
      <c r="H499" s="21" t="str">
        <f aca="false">IF(OR(A499="",COUNTIF('Injection Sales'!$B$2:$B$501,A499)=0),"",IFERROR(LOOKUP(2,1/(('Injection Sales'!$B$2:$B$501=A499)*('Injection Sales'!$A$2:$A$501=_xlfn.MAXIFS('Injection Sales'!$A$2:$A$501,'Injection Sales'!$B$2:$B$501,A499))),'Injection Sales'!$H$2:$H$501),""))</f>
        <v/>
      </c>
      <c r="I499" s="21" t="str">
        <f aca="true">IF(OR(A499="",D499=""),"",IF(TODAY()-D499&lt;=Settings!$B$7,"Active","Inactive"))</f>
        <v/>
      </c>
    </row>
    <row r="500" customFormat="false" ht="15" hidden="false" customHeight="false" outlineLevel="0" collapsed="false">
      <c r="A500" s="1"/>
      <c r="B500" s="22"/>
      <c r="C500" s="18" t="str">
        <f aca="false">IF(OR(A500="",COUNTIF('Injection Sales'!$B$2:$B$501,A500)+COUNTIF('Protein Sales'!$B$2:$B$501,A500)+COUNTIF('Diet Support'!$B$2:$B$501,A500)=0),"",MIN(IF(COUNTIF('Injection Sales'!$B$2:$B$501,A500),_xlfn.MINIFS('Injection Sales'!$A$2:$A$501,'Injection Sales'!$B$2:$B$501,A500),99999),IF(COUNTIF('Protein Sales'!$B$2:$B$501,A500),_xlfn.MINIFS('Protein Sales'!$A$2:$A$501,'Protein Sales'!$B$2:$B$501,A500),99999),IF(COUNTIF('Diet Support'!$B$2:$B$501,A500),_xlfn.MINIFS('Diet Support'!$A$2:$A$501,'Diet Support'!$B$2:$B$501,A500),99999)))</f>
        <v/>
      </c>
      <c r="D500" s="18" t="str">
        <f aca="false">IF(OR(A500="",COUNTIF('Injection Sales'!$B$2:$B$501,A500)+COUNTIF('Protein Sales'!$B$2:$B$501,A500)+COUNTIF('Diet Support'!$B$2:$B$501,A500)=0),"",MAX(_xlfn.MAXIFS('Injection Sales'!$A$2:$A$501,'Injection Sales'!$B$2:$B$501,A500),_xlfn.MAXIFS('Protein Sales'!$A$2:$A$501,'Protein Sales'!$B$2:$B$501,A500),_xlfn.MAXIFS('Diet Support'!$A$2:$A$501,'Diet Support'!$B$2:$B$501,A500)))</f>
        <v/>
      </c>
      <c r="E500" s="19" t="str">
        <f aca="false">IF(A500="","",COUNTIF('Injection Sales'!$B$2:$B$501,A500)+COUNTIF('Protein Sales'!$B$2:$B$501,A500)+COUNTIF('Diet Support'!$B$2:$B$501,A500))</f>
        <v/>
      </c>
      <c r="F500" s="20" t="str">
        <f aca="false">IF(A500="","",SUMIF('Injection Sales'!$B$2:$B$501,A500,'Injection Sales'!$G$2:$G$501)+SUMIF('Protein Sales'!$B$2:$B$501,A500,'Protein Sales'!$F$2:$F$501)+SUMIF('Diet Support'!$B$2:$B$501,A500,'Diet Support'!$E$2:$E$501))</f>
        <v/>
      </c>
      <c r="G500" s="21" t="str">
        <f aca="false">IF(OR(A500="",COUNTIF('Injection Sales'!$B$2:$B$501,A500)=0),"",IFERROR(LOOKUP(2,1/(('Injection Sales'!$B$2:$B$501=A500)*('Injection Sales'!$A$2:$A$501=_xlfn.MAXIFS('Injection Sales'!$A$2:$A$501,'Injection Sales'!$B$2:$B$501,A500))),'Injection Sales'!$E$2:$E$501),""))</f>
        <v/>
      </c>
      <c r="H500" s="21" t="str">
        <f aca="false">IF(OR(A500="",COUNTIF('Injection Sales'!$B$2:$B$501,A500)=0),"",IFERROR(LOOKUP(2,1/(('Injection Sales'!$B$2:$B$501=A500)*('Injection Sales'!$A$2:$A$501=_xlfn.MAXIFS('Injection Sales'!$A$2:$A$501,'Injection Sales'!$B$2:$B$501,A500))),'Injection Sales'!$H$2:$H$501),""))</f>
        <v/>
      </c>
      <c r="I500" s="21" t="str">
        <f aca="true">IF(OR(A500="",D500=""),"",IF(TODAY()-D500&lt;=Settings!$B$7,"Active","Inactive"))</f>
        <v/>
      </c>
    </row>
    <row r="501" customFormat="false" ht="15" hidden="false" customHeight="false" outlineLevel="0" collapsed="false">
      <c r="A501" s="1"/>
      <c r="B501" s="22"/>
      <c r="C501" s="18" t="str">
        <f aca="false">IF(OR(A501="",COUNTIF('Injection Sales'!$B$2:$B$501,A501)+COUNTIF('Protein Sales'!$B$2:$B$501,A501)+COUNTIF('Diet Support'!$B$2:$B$501,A501)=0),"",MIN(IF(COUNTIF('Injection Sales'!$B$2:$B$501,A501),_xlfn.MINIFS('Injection Sales'!$A$2:$A$501,'Injection Sales'!$B$2:$B$501,A501),99999),IF(COUNTIF('Protein Sales'!$B$2:$B$501,A501),_xlfn.MINIFS('Protein Sales'!$A$2:$A$501,'Protein Sales'!$B$2:$B$501,A501),99999),IF(COUNTIF('Diet Support'!$B$2:$B$501,A501),_xlfn.MINIFS('Diet Support'!$A$2:$A$501,'Diet Support'!$B$2:$B$501,A501),99999)))</f>
        <v/>
      </c>
      <c r="D501" s="18" t="str">
        <f aca="false">IF(OR(A501="",COUNTIF('Injection Sales'!$B$2:$B$501,A501)+COUNTIF('Protein Sales'!$B$2:$B$501,A501)+COUNTIF('Diet Support'!$B$2:$B$501,A501)=0),"",MAX(_xlfn.MAXIFS('Injection Sales'!$A$2:$A$501,'Injection Sales'!$B$2:$B$501,A501),_xlfn.MAXIFS('Protein Sales'!$A$2:$A$501,'Protein Sales'!$B$2:$B$501,A501),_xlfn.MAXIFS('Diet Support'!$A$2:$A$501,'Diet Support'!$B$2:$B$501,A501)))</f>
        <v/>
      </c>
      <c r="E501" s="19" t="str">
        <f aca="false">IF(A501="","",COUNTIF('Injection Sales'!$B$2:$B$501,A501)+COUNTIF('Protein Sales'!$B$2:$B$501,A501)+COUNTIF('Diet Support'!$B$2:$B$501,A501))</f>
        <v/>
      </c>
      <c r="F501" s="20" t="str">
        <f aca="false">IF(A501="","",SUMIF('Injection Sales'!$B$2:$B$501,A501,'Injection Sales'!$G$2:$G$501)+SUMIF('Protein Sales'!$B$2:$B$501,A501,'Protein Sales'!$F$2:$F$501)+SUMIF('Diet Support'!$B$2:$B$501,A501,'Diet Support'!$E$2:$E$501))</f>
        <v/>
      </c>
      <c r="G501" s="21" t="str">
        <f aca="false">IF(OR(A501="",COUNTIF('Injection Sales'!$B$2:$B$501,A501)=0),"",IFERROR(LOOKUP(2,1/(('Injection Sales'!$B$2:$B$501=A501)*('Injection Sales'!$A$2:$A$501=_xlfn.MAXIFS('Injection Sales'!$A$2:$A$501,'Injection Sales'!$B$2:$B$501,A501))),'Injection Sales'!$E$2:$E$501),""))</f>
        <v/>
      </c>
      <c r="H501" s="21" t="str">
        <f aca="false">IF(OR(A501="",COUNTIF('Injection Sales'!$B$2:$B$501,A501)=0),"",IFERROR(LOOKUP(2,1/(('Injection Sales'!$B$2:$B$501=A501)*('Injection Sales'!$A$2:$A$501=_xlfn.MAXIFS('Injection Sales'!$A$2:$A$501,'Injection Sales'!$B$2:$B$501,A501))),'Injection Sales'!$H$2:$H$501),""))</f>
        <v/>
      </c>
      <c r="I501" s="21" t="str">
        <f aca="true">IF(OR(A501="",D501=""),"",IF(TODAY()-D501&lt;=Settings!$B$7,"Active","Inactive"))</f>
        <v/>
      </c>
    </row>
  </sheetData>
  <conditionalFormatting sqref="I2:I501">
    <cfRule type="cellIs" priority="2" operator="equal" aboveAverage="0" equalAverage="0" bottom="0" percent="0" rank="0" text="" dxfId="1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7"/>
    <col collapsed="false" customWidth="true" hidden="false" outlineLevel="0" max="10" min="10" style="0" width="10"/>
    <col collapsed="false" customWidth="true" hidden="false" outlineLevel="0" max="11" min="11" style="0" width="17"/>
    <col collapsed="false" customWidth="true" hidden="false" outlineLevel="0" max="14" min="12" style="0" width="14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15" t="s">
        <v>48</v>
      </c>
      <c r="B1" s="15" t="s">
        <v>37</v>
      </c>
      <c r="C1" s="15" t="s">
        <v>38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44</v>
      </c>
      <c r="I1" s="15" t="s">
        <v>53</v>
      </c>
      <c r="J1" s="15" t="s">
        <v>54</v>
      </c>
      <c r="K1" s="15" t="s">
        <v>55</v>
      </c>
      <c r="L1" s="15" t="s">
        <v>56</v>
      </c>
      <c r="M1" s="15" t="s">
        <v>57</v>
      </c>
      <c r="N1" s="15" t="s">
        <v>58</v>
      </c>
      <c r="O1" s="15" t="s">
        <v>59</v>
      </c>
    </row>
    <row r="2" customFormat="false" ht="15" hidden="false" customHeight="false" outlineLevel="0" collapsed="false">
      <c r="A2" s="23" t="n">
        <v>46266</v>
      </c>
      <c r="B2" s="16" t="s">
        <v>46</v>
      </c>
      <c r="C2" s="24" t="str">
        <f aca="false">IF(B2="","",IFERROR(INDEX(Patients!$B$2:$B$501,MATCH(B2,Patients!$A$2:$A$501,0))&amp;"",""))</f>
        <v>9876543210</v>
      </c>
      <c r="D2" s="16" t="s">
        <v>60</v>
      </c>
      <c r="E2" s="16" t="s">
        <v>61</v>
      </c>
      <c r="F2" s="16" t="n">
        <v>1</v>
      </c>
      <c r="G2" s="25" t="n">
        <v>5000</v>
      </c>
      <c r="H2" s="16" t="s">
        <v>62</v>
      </c>
      <c r="I2" s="1"/>
      <c r="J2" s="26"/>
      <c r="K2" s="1"/>
      <c r="L2" s="20" t="n">
        <f aca="false">IF(E2="","",IFERROR(INDEX(Settings!$D$13:$D$32,MATCH(E2,Settings!$A$13:$A$32,0)),0)*IF(F2="",1,F2))</f>
        <v>1000</v>
      </c>
      <c r="M2" s="20" t="n">
        <f aca="false">IF(L2="","",IF(I2="",L2,L2*(1-IF(J2="",Settings!$B$6,J2))))</f>
        <v>1000</v>
      </c>
      <c r="N2" s="20" t="str">
        <f aca="false">IF(OR(L2="",I2=""),"",L2-M2)</f>
        <v/>
      </c>
      <c r="O2" s="16" t="s">
        <v>63</v>
      </c>
    </row>
    <row r="3" customFormat="false" ht="15" hidden="false" customHeight="false" outlineLevel="0" collapsed="false">
      <c r="A3" s="27"/>
      <c r="B3" s="1"/>
      <c r="C3" s="24" t="str">
        <f aca="false">IF(B3="","",IFERROR(INDEX(Patients!$B$2:$B$501,MATCH(B3,Patients!$A$2:$A$501,0))&amp;"",""))</f>
        <v/>
      </c>
      <c r="D3" s="1"/>
      <c r="E3" s="1"/>
      <c r="F3" s="1"/>
      <c r="G3" s="28"/>
      <c r="H3" s="1"/>
      <c r="I3" s="1"/>
      <c r="J3" s="29"/>
      <c r="K3" s="1"/>
      <c r="L3" s="20" t="str">
        <f aca="false">IF(E3="","",IFERROR(INDEX(Settings!$D$13:$D$32,MATCH(E3,Settings!$A$13:$A$32,0)),0)*IF(F3="",1,F3))</f>
        <v/>
      </c>
      <c r="M3" s="20" t="str">
        <f aca="false">IF(L3="","",IF(I3="",L3,L3*(1-IF(J3="",Settings!$B$6,J3))))</f>
        <v/>
      </c>
      <c r="N3" s="20" t="str">
        <f aca="false">IF(OR(L3="",I3=""),"",L3-M3)</f>
        <v/>
      </c>
      <c r="O3" s="1"/>
    </row>
    <row r="4" customFormat="false" ht="15" hidden="false" customHeight="false" outlineLevel="0" collapsed="false">
      <c r="A4" s="27"/>
      <c r="B4" s="1"/>
      <c r="C4" s="24" t="str">
        <f aca="false">IF(B4="","",IFERROR(INDEX(Patients!$B$2:$B$501,MATCH(B4,Patients!$A$2:$A$501,0))&amp;"",""))</f>
        <v/>
      </c>
      <c r="D4" s="1"/>
      <c r="E4" s="1"/>
      <c r="F4" s="1"/>
      <c r="G4" s="28"/>
      <c r="H4" s="1"/>
      <c r="I4" s="1"/>
      <c r="J4" s="29"/>
      <c r="K4" s="1"/>
      <c r="L4" s="20" t="str">
        <f aca="false">IF(E4="","",IFERROR(INDEX(Settings!$D$13:$D$32,MATCH(E4,Settings!$A$13:$A$32,0)),0)*IF(F4="",1,F4))</f>
        <v/>
      </c>
      <c r="M4" s="20" t="str">
        <f aca="false">IF(L4="","",IF(I4="",L4,L4*(1-IF(J4="",Settings!$B$6,J4))))</f>
        <v/>
      </c>
      <c r="N4" s="20" t="str">
        <f aca="false">IF(OR(L4="",I4=""),"",L4-M4)</f>
        <v/>
      </c>
      <c r="O4" s="1"/>
    </row>
    <row r="5" customFormat="false" ht="15" hidden="false" customHeight="false" outlineLevel="0" collapsed="false">
      <c r="A5" s="27"/>
      <c r="B5" s="1"/>
      <c r="C5" s="24" t="str">
        <f aca="false">IF(B5="","",IFERROR(INDEX(Patients!$B$2:$B$501,MATCH(B5,Patients!$A$2:$A$501,0))&amp;"",""))</f>
        <v/>
      </c>
      <c r="D5" s="1"/>
      <c r="E5" s="1"/>
      <c r="F5" s="1"/>
      <c r="G5" s="28"/>
      <c r="H5" s="1"/>
      <c r="I5" s="1"/>
      <c r="J5" s="29"/>
      <c r="K5" s="1"/>
      <c r="L5" s="20" t="str">
        <f aca="false">IF(E5="","",IFERROR(INDEX(Settings!$D$13:$D$32,MATCH(E5,Settings!$A$13:$A$32,0)),0)*IF(F5="",1,F5))</f>
        <v/>
      </c>
      <c r="M5" s="20" t="str">
        <f aca="false">IF(L5="","",IF(I5="",L5,L5*(1-IF(J5="",Settings!$B$6,J5))))</f>
        <v/>
      </c>
      <c r="N5" s="20" t="str">
        <f aca="false">IF(OR(L5="",I5=""),"",L5-M5)</f>
        <v/>
      </c>
      <c r="O5" s="1"/>
    </row>
    <row r="6" customFormat="false" ht="15" hidden="false" customHeight="false" outlineLevel="0" collapsed="false">
      <c r="A6" s="27"/>
      <c r="B6" s="1"/>
      <c r="C6" s="24" t="str">
        <f aca="false">IF(B6="","",IFERROR(INDEX(Patients!$B$2:$B$501,MATCH(B6,Patients!$A$2:$A$501,0))&amp;"",""))</f>
        <v/>
      </c>
      <c r="D6" s="1"/>
      <c r="E6" s="1"/>
      <c r="F6" s="1"/>
      <c r="G6" s="28"/>
      <c r="H6" s="1"/>
      <c r="I6" s="1"/>
      <c r="J6" s="29"/>
      <c r="K6" s="1"/>
      <c r="L6" s="20" t="str">
        <f aca="false">IF(E6="","",IFERROR(INDEX(Settings!$D$13:$D$32,MATCH(E6,Settings!$A$13:$A$32,0)),0)*IF(F6="",1,F6))</f>
        <v/>
      </c>
      <c r="M6" s="20" t="str">
        <f aca="false">IF(L6="","",IF(I6="",L6,L6*(1-IF(J6="",Settings!$B$6,J6))))</f>
        <v/>
      </c>
      <c r="N6" s="20" t="str">
        <f aca="false">IF(OR(L6="",I6=""),"",L6-M6)</f>
        <v/>
      </c>
      <c r="O6" s="1"/>
    </row>
    <row r="7" customFormat="false" ht="15" hidden="false" customHeight="false" outlineLevel="0" collapsed="false">
      <c r="A7" s="27"/>
      <c r="B7" s="1"/>
      <c r="C7" s="24" t="str">
        <f aca="false">IF(B7="","",IFERROR(INDEX(Patients!$B$2:$B$501,MATCH(B7,Patients!$A$2:$A$501,0))&amp;"",""))</f>
        <v/>
      </c>
      <c r="D7" s="1"/>
      <c r="E7" s="1"/>
      <c r="F7" s="1"/>
      <c r="G7" s="28"/>
      <c r="H7" s="1"/>
      <c r="I7" s="1"/>
      <c r="J7" s="29"/>
      <c r="K7" s="1"/>
      <c r="L7" s="20" t="str">
        <f aca="false">IF(E7="","",IFERROR(INDEX(Settings!$D$13:$D$32,MATCH(E7,Settings!$A$13:$A$32,0)),0)*IF(F7="",1,F7))</f>
        <v/>
      </c>
      <c r="M7" s="20" t="str">
        <f aca="false">IF(L7="","",IF(I7="",L7,L7*(1-IF(J7="",Settings!$B$6,J7))))</f>
        <v/>
      </c>
      <c r="N7" s="20" t="str">
        <f aca="false">IF(OR(L7="",I7=""),"",L7-M7)</f>
        <v/>
      </c>
      <c r="O7" s="1"/>
    </row>
    <row r="8" customFormat="false" ht="15" hidden="false" customHeight="false" outlineLevel="0" collapsed="false">
      <c r="A8" s="27"/>
      <c r="B8" s="1"/>
      <c r="C8" s="24" t="str">
        <f aca="false">IF(B8="","",IFERROR(INDEX(Patients!$B$2:$B$501,MATCH(B8,Patients!$A$2:$A$501,0))&amp;"",""))</f>
        <v/>
      </c>
      <c r="D8" s="1"/>
      <c r="E8" s="1"/>
      <c r="F8" s="1"/>
      <c r="G8" s="28"/>
      <c r="H8" s="1"/>
      <c r="I8" s="1"/>
      <c r="J8" s="29"/>
      <c r="K8" s="1"/>
      <c r="L8" s="20" t="str">
        <f aca="false">IF(E8="","",IFERROR(INDEX(Settings!$D$13:$D$32,MATCH(E8,Settings!$A$13:$A$32,0)),0)*IF(F8="",1,F8))</f>
        <v/>
      </c>
      <c r="M8" s="20" t="str">
        <f aca="false">IF(L8="","",IF(I8="",L8,L8*(1-IF(J8="",Settings!$B$6,J8))))</f>
        <v/>
      </c>
      <c r="N8" s="20" t="str">
        <f aca="false">IF(OR(L8="",I8=""),"",L8-M8)</f>
        <v/>
      </c>
      <c r="O8" s="1"/>
    </row>
    <row r="9" customFormat="false" ht="15" hidden="false" customHeight="false" outlineLevel="0" collapsed="false">
      <c r="A9" s="27"/>
      <c r="B9" s="1"/>
      <c r="C9" s="24" t="str">
        <f aca="false">IF(B9="","",IFERROR(INDEX(Patients!$B$2:$B$501,MATCH(B9,Patients!$A$2:$A$501,0))&amp;"",""))</f>
        <v/>
      </c>
      <c r="D9" s="1"/>
      <c r="E9" s="1"/>
      <c r="F9" s="1"/>
      <c r="G9" s="28"/>
      <c r="H9" s="1"/>
      <c r="I9" s="1"/>
      <c r="J9" s="29"/>
      <c r="K9" s="1"/>
      <c r="L9" s="20" t="str">
        <f aca="false">IF(E9="","",IFERROR(INDEX(Settings!$D$13:$D$32,MATCH(E9,Settings!$A$13:$A$32,0)),0)*IF(F9="",1,F9))</f>
        <v/>
      </c>
      <c r="M9" s="20" t="str">
        <f aca="false">IF(L9="","",IF(I9="",L9,L9*(1-IF(J9="",Settings!$B$6,J9))))</f>
        <v/>
      </c>
      <c r="N9" s="20" t="str">
        <f aca="false">IF(OR(L9="",I9=""),"",L9-M9)</f>
        <v/>
      </c>
      <c r="O9" s="1"/>
    </row>
    <row r="10" customFormat="false" ht="15" hidden="false" customHeight="false" outlineLevel="0" collapsed="false">
      <c r="A10" s="27"/>
      <c r="B10" s="1"/>
      <c r="C10" s="24" t="str">
        <f aca="false">IF(B10="","",IFERROR(INDEX(Patients!$B$2:$B$501,MATCH(B10,Patients!$A$2:$A$501,0))&amp;"",""))</f>
        <v/>
      </c>
      <c r="D10" s="1"/>
      <c r="E10" s="1"/>
      <c r="F10" s="1"/>
      <c r="G10" s="28"/>
      <c r="H10" s="1"/>
      <c r="I10" s="1"/>
      <c r="J10" s="29"/>
      <c r="K10" s="1"/>
      <c r="L10" s="20" t="str">
        <f aca="false">IF(E10="","",IFERROR(INDEX(Settings!$D$13:$D$32,MATCH(E10,Settings!$A$13:$A$32,0)),0)*IF(F10="",1,F10))</f>
        <v/>
      </c>
      <c r="M10" s="20" t="str">
        <f aca="false">IF(L10="","",IF(I10="",L10,L10*(1-IF(J10="",Settings!$B$6,J10))))</f>
        <v/>
      </c>
      <c r="N10" s="20" t="str">
        <f aca="false">IF(OR(L10="",I10=""),"",L10-M10)</f>
        <v/>
      </c>
      <c r="O10" s="1"/>
    </row>
    <row r="11" customFormat="false" ht="15" hidden="false" customHeight="false" outlineLevel="0" collapsed="false">
      <c r="A11" s="27"/>
      <c r="B11" s="1"/>
      <c r="C11" s="24" t="str">
        <f aca="false">IF(B11="","",IFERROR(INDEX(Patients!$B$2:$B$501,MATCH(B11,Patients!$A$2:$A$501,0))&amp;"",""))</f>
        <v/>
      </c>
      <c r="D11" s="1"/>
      <c r="E11" s="1"/>
      <c r="F11" s="1"/>
      <c r="G11" s="28"/>
      <c r="H11" s="1"/>
      <c r="I11" s="1"/>
      <c r="J11" s="29"/>
      <c r="K11" s="1"/>
      <c r="L11" s="20" t="str">
        <f aca="false">IF(E11="","",IFERROR(INDEX(Settings!$D$13:$D$32,MATCH(E11,Settings!$A$13:$A$32,0)),0)*IF(F11="",1,F11))</f>
        <v/>
      </c>
      <c r="M11" s="20" t="str">
        <f aca="false">IF(L11="","",IF(I11="",L11,L11*(1-IF(J11="",Settings!$B$6,J11))))</f>
        <v/>
      </c>
      <c r="N11" s="20" t="str">
        <f aca="false">IF(OR(L11="",I11=""),"",L11-M11)</f>
        <v/>
      </c>
      <c r="O11" s="1"/>
    </row>
    <row r="12" customFormat="false" ht="15" hidden="false" customHeight="false" outlineLevel="0" collapsed="false">
      <c r="A12" s="27"/>
      <c r="B12" s="1"/>
      <c r="C12" s="24" t="str">
        <f aca="false">IF(B12="","",IFERROR(INDEX(Patients!$B$2:$B$501,MATCH(B12,Patients!$A$2:$A$501,0))&amp;"",""))</f>
        <v/>
      </c>
      <c r="D12" s="1"/>
      <c r="E12" s="1"/>
      <c r="F12" s="1"/>
      <c r="G12" s="28"/>
      <c r="H12" s="1"/>
      <c r="I12" s="1"/>
      <c r="J12" s="29"/>
      <c r="K12" s="1"/>
      <c r="L12" s="20" t="str">
        <f aca="false">IF(E12="","",IFERROR(INDEX(Settings!$D$13:$D$32,MATCH(E12,Settings!$A$13:$A$32,0)),0)*IF(F12="",1,F12))</f>
        <v/>
      </c>
      <c r="M12" s="20" t="str">
        <f aca="false">IF(L12="","",IF(I12="",L12,L12*(1-IF(J12="",Settings!$B$6,J12))))</f>
        <v/>
      </c>
      <c r="N12" s="20" t="str">
        <f aca="false">IF(OR(L12="",I12=""),"",L12-M12)</f>
        <v/>
      </c>
      <c r="O12" s="1"/>
    </row>
    <row r="13" customFormat="false" ht="15" hidden="false" customHeight="false" outlineLevel="0" collapsed="false">
      <c r="A13" s="27"/>
      <c r="B13" s="1"/>
      <c r="C13" s="24" t="str">
        <f aca="false">IF(B13="","",IFERROR(INDEX(Patients!$B$2:$B$501,MATCH(B13,Patients!$A$2:$A$501,0))&amp;"",""))</f>
        <v/>
      </c>
      <c r="D13" s="1"/>
      <c r="E13" s="1"/>
      <c r="F13" s="1"/>
      <c r="G13" s="28"/>
      <c r="H13" s="1"/>
      <c r="I13" s="1"/>
      <c r="J13" s="29"/>
      <c r="K13" s="1"/>
      <c r="L13" s="20" t="str">
        <f aca="false">IF(E13="","",IFERROR(INDEX(Settings!$D$13:$D$32,MATCH(E13,Settings!$A$13:$A$32,0)),0)*IF(F13="",1,F13))</f>
        <v/>
      </c>
      <c r="M13" s="20" t="str">
        <f aca="false">IF(L13="","",IF(I13="",L13,L13*(1-IF(J13="",Settings!$B$6,J13))))</f>
        <v/>
      </c>
      <c r="N13" s="20" t="str">
        <f aca="false">IF(OR(L13="",I13=""),"",L13-M13)</f>
        <v/>
      </c>
      <c r="O13" s="1"/>
    </row>
    <row r="14" customFormat="false" ht="15" hidden="false" customHeight="false" outlineLevel="0" collapsed="false">
      <c r="A14" s="27"/>
      <c r="B14" s="1"/>
      <c r="C14" s="24" t="str">
        <f aca="false">IF(B14="","",IFERROR(INDEX(Patients!$B$2:$B$501,MATCH(B14,Patients!$A$2:$A$501,0))&amp;"",""))</f>
        <v/>
      </c>
      <c r="D14" s="1"/>
      <c r="E14" s="1"/>
      <c r="F14" s="1"/>
      <c r="G14" s="28"/>
      <c r="H14" s="1"/>
      <c r="I14" s="1"/>
      <c r="J14" s="29"/>
      <c r="K14" s="1"/>
      <c r="L14" s="20" t="str">
        <f aca="false">IF(E14="","",IFERROR(INDEX(Settings!$D$13:$D$32,MATCH(E14,Settings!$A$13:$A$32,0)),0)*IF(F14="",1,F14))</f>
        <v/>
      </c>
      <c r="M14" s="20" t="str">
        <f aca="false">IF(L14="","",IF(I14="",L14,L14*(1-IF(J14="",Settings!$B$6,J14))))</f>
        <v/>
      </c>
      <c r="N14" s="20" t="str">
        <f aca="false">IF(OR(L14="",I14=""),"",L14-M14)</f>
        <v/>
      </c>
      <c r="O14" s="1"/>
    </row>
    <row r="15" customFormat="false" ht="15" hidden="false" customHeight="false" outlineLevel="0" collapsed="false">
      <c r="A15" s="27"/>
      <c r="B15" s="1"/>
      <c r="C15" s="24" t="str">
        <f aca="false">IF(B15="","",IFERROR(INDEX(Patients!$B$2:$B$501,MATCH(B15,Patients!$A$2:$A$501,0))&amp;"",""))</f>
        <v/>
      </c>
      <c r="D15" s="1"/>
      <c r="E15" s="1"/>
      <c r="F15" s="1"/>
      <c r="G15" s="28"/>
      <c r="H15" s="1"/>
      <c r="I15" s="1"/>
      <c r="J15" s="29"/>
      <c r="K15" s="1"/>
      <c r="L15" s="20" t="str">
        <f aca="false">IF(E15="","",IFERROR(INDEX(Settings!$D$13:$D$32,MATCH(E15,Settings!$A$13:$A$32,0)),0)*IF(F15="",1,F15))</f>
        <v/>
      </c>
      <c r="M15" s="20" t="str">
        <f aca="false">IF(L15="","",IF(I15="",L15,L15*(1-IF(J15="",Settings!$B$6,J15))))</f>
        <v/>
      </c>
      <c r="N15" s="20" t="str">
        <f aca="false">IF(OR(L15="",I15=""),"",L15-M15)</f>
        <v/>
      </c>
      <c r="O15" s="1"/>
    </row>
    <row r="16" customFormat="false" ht="15" hidden="false" customHeight="false" outlineLevel="0" collapsed="false">
      <c r="A16" s="27"/>
      <c r="B16" s="1"/>
      <c r="C16" s="24" t="str">
        <f aca="false">IF(B16="","",IFERROR(INDEX(Patients!$B$2:$B$501,MATCH(B16,Patients!$A$2:$A$501,0))&amp;"",""))</f>
        <v/>
      </c>
      <c r="D16" s="1"/>
      <c r="E16" s="1"/>
      <c r="F16" s="1"/>
      <c r="G16" s="28"/>
      <c r="H16" s="1"/>
      <c r="I16" s="1"/>
      <c r="J16" s="29"/>
      <c r="K16" s="1"/>
      <c r="L16" s="20" t="str">
        <f aca="false">IF(E16="","",IFERROR(INDEX(Settings!$D$13:$D$32,MATCH(E16,Settings!$A$13:$A$32,0)),0)*IF(F16="",1,F16))</f>
        <v/>
      </c>
      <c r="M16" s="20" t="str">
        <f aca="false">IF(L16="","",IF(I16="",L16,L16*(1-IF(J16="",Settings!$B$6,J16))))</f>
        <v/>
      </c>
      <c r="N16" s="20" t="str">
        <f aca="false">IF(OR(L16="",I16=""),"",L16-M16)</f>
        <v/>
      </c>
      <c r="O16" s="1"/>
    </row>
    <row r="17" customFormat="false" ht="15" hidden="false" customHeight="false" outlineLevel="0" collapsed="false">
      <c r="A17" s="27"/>
      <c r="B17" s="1"/>
      <c r="C17" s="24" t="str">
        <f aca="false">IF(B17="","",IFERROR(INDEX(Patients!$B$2:$B$501,MATCH(B17,Patients!$A$2:$A$501,0))&amp;"",""))</f>
        <v/>
      </c>
      <c r="D17" s="1"/>
      <c r="E17" s="1"/>
      <c r="F17" s="1"/>
      <c r="G17" s="28"/>
      <c r="H17" s="1"/>
      <c r="I17" s="1"/>
      <c r="J17" s="29"/>
      <c r="K17" s="1"/>
      <c r="L17" s="20" t="str">
        <f aca="false">IF(E17="","",IFERROR(INDEX(Settings!$D$13:$D$32,MATCH(E17,Settings!$A$13:$A$32,0)),0)*IF(F17="",1,F17))</f>
        <v/>
      </c>
      <c r="M17" s="20" t="str">
        <f aca="false">IF(L17="","",IF(I17="",L17,L17*(1-IF(J17="",Settings!$B$6,J17))))</f>
        <v/>
      </c>
      <c r="N17" s="20" t="str">
        <f aca="false">IF(OR(L17="",I17=""),"",L17-M17)</f>
        <v/>
      </c>
      <c r="O17" s="1"/>
    </row>
    <row r="18" customFormat="false" ht="15" hidden="false" customHeight="false" outlineLevel="0" collapsed="false">
      <c r="A18" s="27"/>
      <c r="B18" s="1"/>
      <c r="C18" s="24" t="str">
        <f aca="false">IF(B18="","",IFERROR(INDEX(Patients!$B$2:$B$501,MATCH(B18,Patients!$A$2:$A$501,0))&amp;"",""))</f>
        <v/>
      </c>
      <c r="D18" s="1"/>
      <c r="E18" s="1"/>
      <c r="F18" s="1"/>
      <c r="G18" s="28"/>
      <c r="H18" s="1"/>
      <c r="I18" s="1"/>
      <c r="J18" s="29"/>
      <c r="K18" s="1"/>
      <c r="L18" s="20" t="str">
        <f aca="false">IF(E18="","",IFERROR(INDEX(Settings!$D$13:$D$32,MATCH(E18,Settings!$A$13:$A$32,0)),0)*IF(F18="",1,F18))</f>
        <v/>
      </c>
      <c r="M18" s="20" t="str">
        <f aca="false">IF(L18="","",IF(I18="",L18,L18*(1-IF(J18="",Settings!$B$6,J18))))</f>
        <v/>
      </c>
      <c r="N18" s="20" t="str">
        <f aca="false">IF(OR(L18="",I18=""),"",L18-M18)</f>
        <v/>
      </c>
      <c r="O18" s="1"/>
    </row>
    <row r="19" customFormat="false" ht="15" hidden="false" customHeight="false" outlineLevel="0" collapsed="false">
      <c r="A19" s="27"/>
      <c r="B19" s="1"/>
      <c r="C19" s="24" t="str">
        <f aca="false">IF(B19="","",IFERROR(INDEX(Patients!$B$2:$B$501,MATCH(B19,Patients!$A$2:$A$501,0))&amp;"",""))</f>
        <v/>
      </c>
      <c r="D19" s="1"/>
      <c r="E19" s="1"/>
      <c r="F19" s="1"/>
      <c r="G19" s="28"/>
      <c r="H19" s="1"/>
      <c r="I19" s="1"/>
      <c r="J19" s="29"/>
      <c r="K19" s="1"/>
      <c r="L19" s="20" t="str">
        <f aca="false">IF(E19="","",IFERROR(INDEX(Settings!$D$13:$D$32,MATCH(E19,Settings!$A$13:$A$32,0)),0)*IF(F19="",1,F19))</f>
        <v/>
      </c>
      <c r="M19" s="20" t="str">
        <f aca="false">IF(L19="","",IF(I19="",L19,L19*(1-IF(J19="",Settings!$B$6,J19))))</f>
        <v/>
      </c>
      <c r="N19" s="20" t="str">
        <f aca="false">IF(OR(L19="",I19=""),"",L19-M19)</f>
        <v/>
      </c>
      <c r="O19" s="1"/>
    </row>
    <row r="20" customFormat="false" ht="15" hidden="false" customHeight="false" outlineLevel="0" collapsed="false">
      <c r="A20" s="27"/>
      <c r="B20" s="1"/>
      <c r="C20" s="24" t="str">
        <f aca="false">IF(B20="","",IFERROR(INDEX(Patients!$B$2:$B$501,MATCH(B20,Patients!$A$2:$A$501,0))&amp;"",""))</f>
        <v/>
      </c>
      <c r="D20" s="1"/>
      <c r="E20" s="1"/>
      <c r="F20" s="1"/>
      <c r="G20" s="28"/>
      <c r="H20" s="1"/>
      <c r="I20" s="1"/>
      <c r="J20" s="29"/>
      <c r="K20" s="1"/>
      <c r="L20" s="20" t="str">
        <f aca="false">IF(E20="","",IFERROR(INDEX(Settings!$D$13:$D$32,MATCH(E20,Settings!$A$13:$A$32,0)),0)*IF(F20="",1,F20))</f>
        <v/>
      </c>
      <c r="M20" s="20" t="str">
        <f aca="false">IF(L20="","",IF(I20="",L20,L20*(1-IF(J20="",Settings!$B$6,J20))))</f>
        <v/>
      </c>
      <c r="N20" s="20" t="str">
        <f aca="false">IF(OR(L20="",I20=""),"",L20-M20)</f>
        <v/>
      </c>
      <c r="O20" s="1"/>
    </row>
    <row r="21" customFormat="false" ht="15" hidden="false" customHeight="false" outlineLevel="0" collapsed="false">
      <c r="A21" s="27"/>
      <c r="B21" s="1"/>
      <c r="C21" s="24" t="str">
        <f aca="false">IF(B21="","",IFERROR(INDEX(Patients!$B$2:$B$501,MATCH(B21,Patients!$A$2:$A$501,0))&amp;"",""))</f>
        <v/>
      </c>
      <c r="D21" s="1"/>
      <c r="E21" s="1"/>
      <c r="F21" s="1"/>
      <c r="G21" s="28"/>
      <c r="H21" s="1"/>
      <c r="I21" s="1"/>
      <c r="J21" s="29"/>
      <c r="K21" s="1"/>
      <c r="L21" s="20" t="str">
        <f aca="false">IF(E21="","",IFERROR(INDEX(Settings!$D$13:$D$32,MATCH(E21,Settings!$A$13:$A$32,0)),0)*IF(F21="",1,F21))</f>
        <v/>
      </c>
      <c r="M21" s="20" t="str">
        <f aca="false">IF(L21="","",IF(I21="",L21,L21*(1-IF(J21="",Settings!$B$6,J21))))</f>
        <v/>
      </c>
      <c r="N21" s="20" t="str">
        <f aca="false">IF(OR(L21="",I21=""),"",L21-M21)</f>
        <v/>
      </c>
      <c r="O21" s="1"/>
    </row>
    <row r="22" customFormat="false" ht="15" hidden="false" customHeight="false" outlineLevel="0" collapsed="false">
      <c r="A22" s="27"/>
      <c r="B22" s="1"/>
      <c r="C22" s="24" t="str">
        <f aca="false">IF(B22="","",IFERROR(INDEX(Patients!$B$2:$B$501,MATCH(B22,Patients!$A$2:$A$501,0))&amp;"",""))</f>
        <v/>
      </c>
      <c r="D22" s="1"/>
      <c r="E22" s="1"/>
      <c r="F22" s="1"/>
      <c r="G22" s="28"/>
      <c r="H22" s="1"/>
      <c r="I22" s="1"/>
      <c r="J22" s="29"/>
      <c r="K22" s="1"/>
      <c r="L22" s="20" t="str">
        <f aca="false">IF(E22="","",IFERROR(INDEX(Settings!$D$13:$D$32,MATCH(E22,Settings!$A$13:$A$32,0)),0)*IF(F22="",1,F22))</f>
        <v/>
      </c>
      <c r="M22" s="20" t="str">
        <f aca="false">IF(L22="","",IF(I22="",L22,L22*(1-IF(J22="",Settings!$B$6,J22))))</f>
        <v/>
      </c>
      <c r="N22" s="20" t="str">
        <f aca="false">IF(OR(L22="",I22=""),"",L22-M22)</f>
        <v/>
      </c>
      <c r="O22" s="1"/>
    </row>
    <row r="23" customFormat="false" ht="15" hidden="false" customHeight="false" outlineLevel="0" collapsed="false">
      <c r="A23" s="27"/>
      <c r="B23" s="1"/>
      <c r="C23" s="24" t="str">
        <f aca="false">IF(B23="","",IFERROR(INDEX(Patients!$B$2:$B$501,MATCH(B23,Patients!$A$2:$A$501,0))&amp;"",""))</f>
        <v/>
      </c>
      <c r="D23" s="1"/>
      <c r="E23" s="1"/>
      <c r="F23" s="1"/>
      <c r="G23" s="28"/>
      <c r="H23" s="1"/>
      <c r="I23" s="1"/>
      <c r="J23" s="29"/>
      <c r="K23" s="1"/>
      <c r="L23" s="20" t="str">
        <f aca="false">IF(E23="","",IFERROR(INDEX(Settings!$D$13:$D$32,MATCH(E23,Settings!$A$13:$A$32,0)),0)*IF(F23="",1,F23))</f>
        <v/>
      </c>
      <c r="M23" s="20" t="str">
        <f aca="false">IF(L23="","",IF(I23="",L23,L23*(1-IF(J23="",Settings!$B$6,J23))))</f>
        <v/>
      </c>
      <c r="N23" s="20" t="str">
        <f aca="false">IF(OR(L23="",I23=""),"",L23-M23)</f>
        <v/>
      </c>
      <c r="O23" s="1"/>
    </row>
    <row r="24" customFormat="false" ht="15" hidden="false" customHeight="false" outlineLevel="0" collapsed="false">
      <c r="A24" s="27"/>
      <c r="B24" s="1"/>
      <c r="C24" s="24" t="str">
        <f aca="false">IF(B24="","",IFERROR(INDEX(Patients!$B$2:$B$501,MATCH(B24,Patients!$A$2:$A$501,0))&amp;"",""))</f>
        <v/>
      </c>
      <c r="D24" s="1"/>
      <c r="E24" s="1"/>
      <c r="F24" s="1"/>
      <c r="G24" s="28"/>
      <c r="H24" s="1"/>
      <c r="I24" s="1"/>
      <c r="J24" s="29"/>
      <c r="K24" s="1"/>
      <c r="L24" s="20" t="str">
        <f aca="false">IF(E24="","",IFERROR(INDEX(Settings!$D$13:$D$32,MATCH(E24,Settings!$A$13:$A$32,0)),0)*IF(F24="",1,F24))</f>
        <v/>
      </c>
      <c r="M24" s="20" t="str">
        <f aca="false">IF(L24="","",IF(I24="",L24,L24*(1-IF(J24="",Settings!$B$6,J24))))</f>
        <v/>
      </c>
      <c r="N24" s="20" t="str">
        <f aca="false">IF(OR(L24="",I24=""),"",L24-M24)</f>
        <v/>
      </c>
      <c r="O24" s="1"/>
    </row>
    <row r="25" customFormat="false" ht="15" hidden="false" customHeight="false" outlineLevel="0" collapsed="false">
      <c r="A25" s="27"/>
      <c r="B25" s="1"/>
      <c r="C25" s="24" t="str">
        <f aca="false">IF(B25="","",IFERROR(INDEX(Patients!$B$2:$B$501,MATCH(B25,Patients!$A$2:$A$501,0))&amp;"",""))</f>
        <v/>
      </c>
      <c r="D25" s="1"/>
      <c r="E25" s="1"/>
      <c r="F25" s="1"/>
      <c r="G25" s="28"/>
      <c r="H25" s="1"/>
      <c r="I25" s="1"/>
      <c r="J25" s="29"/>
      <c r="K25" s="1"/>
      <c r="L25" s="20" t="str">
        <f aca="false">IF(E25="","",IFERROR(INDEX(Settings!$D$13:$D$32,MATCH(E25,Settings!$A$13:$A$32,0)),0)*IF(F25="",1,F25))</f>
        <v/>
      </c>
      <c r="M25" s="20" t="str">
        <f aca="false">IF(L25="","",IF(I25="",L25,L25*(1-IF(J25="",Settings!$B$6,J25))))</f>
        <v/>
      </c>
      <c r="N25" s="20" t="str">
        <f aca="false">IF(OR(L25="",I25=""),"",L25-M25)</f>
        <v/>
      </c>
      <c r="O25" s="1"/>
    </row>
    <row r="26" customFormat="false" ht="15" hidden="false" customHeight="false" outlineLevel="0" collapsed="false">
      <c r="A26" s="27"/>
      <c r="B26" s="1"/>
      <c r="C26" s="24" t="str">
        <f aca="false">IF(B26="","",IFERROR(INDEX(Patients!$B$2:$B$501,MATCH(B26,Patients!$A$2:$A$501,0))&amp;"",""))</f>
        <v/>
      </c>
      <c r="D26" s="1"/>
      <c r="E26" s="1"/>
      <c r="F26" s="1"/>
      <c r="G26" s="28"/>
      <c r="H26" s="1"/>
      <c r="I26" s="1"/>
      <c r="J26" s="29"/>
      <c r="K26" s="1"/>
      <c r="L26" s="20" t="str">
        <f aca="false">IF(E26="","",IFERROR(INDEX(Settings!$D$13:$D$32,MATCH(E26,Settings!$A$13:$A$32,0)),0)*IF(F26="",1,F26))</f>
        <v/>
      </c>
      <c r="M26" s="20" t="str">
        <f aca="false">IF(L26="","",IF(I26="",L26,L26*(1-IF(J26="",Settings!$B$6,J26))))</f>
        <v/>
      </c>
      <c r="N26" s="20" t="str">
        <f aca="false">IF(OR(L26="",I26=""),"",L26-M26)</f>
        <v/>
      </c>
      <c r="O26" s="1"/>
    </row>
    <row r="27" customFormat="false" ht="15" hidden="false" customHeight="false" outlineLevel="0" collapsed="false">
      <c r="A27" s="27"/>
      <c r="B27" s="1"/>
      <c r="C27" s="24" t="str">
        <f aca="false">IF(B27="","",IFERROR(INDEX(Patients!$B$2:$B$501,MATCH(B27,Patients!$A$2:$A$501,0))&amp;"",""))</f>
        <v/>
      </c>
      <c r="D27" s="1"/>
      <c r="E27" s="1"/>
      <c r="F27" s="1"/>
      <c r="G27" s="28"/>
      <c r="H27" s="1"/>
      <c r="I27" s="1"/>
      <c r="J27" s="29"/>
      <c r="K27" s="1"/>
      <c r="L27" s="20" t="str">
        <f aca="false">IF(E27="","",IFERROR(INDEX(Settings!$D$13:$D$32,MATCH(E27,Settings!$A$13:$A$32,0)),0)*IF(F27="",1,F27))</f>
        <v/>
      </c>
      <c r="M27" s="20" t="str">
        <f aca="false">IF(L27="","",IF(I27="",L27,L27*(1-IF(J27="",Settings!$B$6,J27))))</f>
        <v/>
      </c>
      <c r="N27" s="20" t="str">
        <f aca="false">IF(OR(L27="",I27=""),"",L27-M27)</f>
        <v/>
      </c>
      <c r="O27" s="1"/>
    </row>
    <row r="28" customFormat="false" ht="15" hidden="false" customHeight="false" outlineLevel="0" collapsed="false">
      <c r="A28" s="27"/>
      <c r="B28" s="1"/>
      <c r="C28" s="24" t="str">
        <f aca="false">IF(B28="","",IFERROR(INDEX(Patients!$B$2:$B$501,MATCH(B28,Patients!$A$2:$A$501,0))&amp;"",""))</f>
        <v/>
      </c>
      <c r="D28" s="1"/>
      <c r="E28" s="1"/>
      <c r="F28" s="1"/>
      <c r="G28" s="28"/>
      <c r="H28" s="1"/>
      <c r="I28" s="1"/>
      <c r="J28" s="29"/>
      <c r="K28" s="1"/>
      <c r="L28" s="20" t="str">
        <f aca="false">IF(E28="","",IFERROR(INDEX(Settings!$D$13:$D$32,MATCH(E28,Settings!$A$13:$A$32,0)),0)*IF(F28="",1,F28))</f>
        <v/>
      </c>
      <c r="M28" s="20" t="str">
        <f aca="false">IF(L28="","",IF(I28="",L28,L28*(1-IF(J28="",Settings!$B$6,J28))))</f>
        <v/>
      </c>
      <c r="N28" s="20" t="str">
        <f aca="false">IF(OR(L28="",I28=""),"",L28-M28)</f>
        <v/>
      </c>
      <c r="O28" s="1"/>
    </row>
    <row r="29" customFormat="false" ht="15" hidden="false" customHeight="false" outlineLevel="0" collapsed="false">
      <c r="A29" s="27"/>
      <c r="B29" s="1"/>
      <c r="C29" s="24" t="str">
        <f aca="false">IF(B29="","",IFERROR(INDEX(Patients!$B$2:$B$501,MATCH(B29,Patients!$A$2:$A$501,0))&amp;"",""))</f>
        <v/>
      </c>
      <c r="D29" s="1"/>
      <c r="E29" s="1"/>
      <c r="F29" s="1"/>
      <c r="G29" s="28"/>
      <c r="H29" s="1"/>
      <c r="I29" s="1"/>
      <c r="J29" s="29"/>
      <c r="K29" s="1"/>
      <c r="L29" s="20" t="str">
        <f aca="false">IF(E29="","",IFERROR(INDEX(Settings!$D$13:$D$32,MATCH(E29,Settings!$A$13:$A$32,0)),0)*IF(F29="",1,F29))</f>
        <v/>
      </c>
      <c r="M29" s="20" t="str">
        <f aca="false">IF(L29="","",IF(I29="",L29,L29*(1-IF(J29="",Settings!$B$6,J29))))</f>
        <v/>
      </c>
      <c r="N29" s="20" t="str">
        <f aca="false">IF(OR(L29="",I29=""),"",L29-M29)</f>
        <v/>
      </c>
      <c r="O29" s="1"/>
    </row>
    <row r="30" customFormat="false" ht="15" hidden="false" customHeight="false" outlineLevel="0" collapsed="false">
      <c r="A30" s="27"/>
      <c r="B30" s="1"/>
      <c r="C30" s="24" t="str">
        <f aca="false">IF(B30="","",IFERROR(INDEX(Patients!$B$2:$B$501,MATCH(B30,Patients!$A$2:$A$501,0))&amp;"",""))</f>
        <v/>
      </c>
      <c r="D30" s="1"/>
      <c r="E30" s="1"/>
      <c r="F30" s="1"/>
      <c r="G30" s="28"/>
      <c r="H30" s="1"/>
      <c r="I30" s="1"/>
      <c r="J30" s="29"/>
      <c r="K30" s="1"/>
      <c r="L30" s="20" t="str">
        <f aca="false">IF(E30="","",IFERROR(INDEX(Settings!$D$13:$D$32,MATCH(E30,Settings!$A$13:$A$32,0)),0)*IF(F30="",1,F30))</f>
        <v/>
      </c>
      <c r="M30" s="20" t="str">
        <f aca="false">IF(L30="","",IF(I30="",L30,L30*(1-IF(J30="",Settings!$B$6,J30))))</f>
        <v/>
      </c>
      <c r="N30" s="20" t="str">
        <f aca="false">IF(OR(L30="",I30=""),"",L30-M30)</f>
        <v/>
      </c>
      <c r="O30" s="1"/>
    </row>
    <row r="31" customFormat="false" ht="15" hidden="false" customHeight="false" outlineLevel="0" collapsed="false">
      <c r="A31" s="27"/>
      <c r="B31" s="1"/>
      <c r="C31" s="24" t="str">
        <f aca="false">IF(B31="","",IFERROR(INDEX(Patients!$B$2:$B$501,MATCH(B31,Patients!$A$2:$A$501,0))&amp;"",""))</f>
        <v/>
      </c>
      <c r="D31" s="1"/>
      <c r="E31" s="1"/>
      <c r="F31" s="1"/>
      <c r="G31" s="28"/>
      <c r="H31" s="1"/>
      <c r="I31" s="1"/>
      <c r="J31" s="29"/>
      <c r="K31" s="1"/>
      <c r="L31" s="20" t="str">
        <f aca="false">IF(E31="","",IFERROR(INDEX(Settings!$D$13:$D$32,MATCH(E31,Settings!$A$13:$A$32,0)),0)*IF(F31="",1,F31))</f>
        <v/>
      </c>
      <c r="M31" s="20" t="str">
        <f aca="false">IF(L31="","",IF(I31="",L31,L31*(1-IF(J31="",Settings!$B$6,J31))))</f>
        <v/>
      </c>
      <c r="N31" s="20" t="str">
        <f aca="false">IF(OR(L31="",I31=""),"",L31-M31)</f>
        <v/>
      </c>
      <c r="O31" s="1"/>
    </row>
    <row r="32" customFormat="false" ht="15" hidden="false" customHeight="false" outlineLevel="0" collapsed="false">
      <c r="A32" s="27"/>
      <c r="B32" s="1"/>
      <c r="C32" s="24" t="str">
        <f aca="false">IF(B32="","",IFERROR(INDEX(Patients!$B$2:$B$501,MATCH(B32,Patients!$A$2:$A$501,0))&amp;"",""))</f>
        <v/>
      </c>
      <c r="D32" s="1"/>
      <c r="E32" s="1"/>
      <c r="F32" s="1"/>
      <c r="G32" s="28"/>
      <c r="H32" s="1"/>
      <c r="I32" s="1"/>
      <c r="J32" s="29"/>
      <c r="K32" s="1"/>
      <c r="L32" s="20" t="str">
        <f aca="false">IF(E32="","",IFERROR(INDEX(Settings!$D$13:$D$32,MATCH(E32,Settings!$A$13:$A$32,0)),0)*IF(F32="",1,F32))</f>
        <v/>
      </c>
      <c r="M32" s="20" t="str">
        <f aca="false">IF(L32="","",IF(I32="",L32,L32*(1-IF(J32="",Settings!$B$6,J32))))</f>
        <v/>
      </c>
      <c r="N32" s="20" t="str">
        <f aca="false">IF(OR(L32="",I32=""),"",L32-M32)</f>
        <v/>
      </c>
      <c r="O32" s="1"/>
    </row>
    <row r="33" customFormat="false" ht="15" hidden="false" customHeight="false" outlineLevel="0" collapsed="false">
      <c r="A33" s="27"/>
      <c r="B33" s="1"/>
      <c r="C33" s="24" t="str">
        <f aca="false">IF(B33="","",IFERROR(INDEX(Patients!$B$2:$B$501,MATCH(B33,Patients!$A$2:$A$501,0))&amp;"",""))</f>
        <v/>
      </c>
      <c r="D33" s="1"/>
      <c r="E33" s="1"/>
      <c r="F33" s="1"/>
      <c r="G33" s="28"/>
      <c r="H33" s="1"/>
      <c r="I33" s="1"/>
      <c r="J33" s="29"/>
      <c r="K33" s="1"/>
      <c r="L33" s="20" t="str">
        <f aca="false">IF(E33="","",IFERROR(INDEX(Settings!$D$13:$D$32,MATCH(E33,Settings!$A$13:$A$32,0)),0)*IF(F33="",1,F33))</f>
        <v/>
      </c>
      <c r="M33" s="20" t="str">
        <f aca="false">IF(L33="","",IF(I33="",L33,L33*(1-IF(J33="",Settings!$B$6,J33))))</f>
        <v/>
      </c>
      <c r="N33" s="20" t="str">
        <f aca="false">IF(OR(L33="",I33=""),"",L33-M33)</f>
        <v/>
      </c>
      <c r="O33" s="1"/>
    </row>
    <row r="34" customFormat="false" ht="15" hidden="false" customHeight="false" outlineLevel="0" collapsed="false">
      <c r="A34" s="27"/>
      <c r="B34" s="1"/>
      <c r="C34" s="24" t="str">
        <f aca="false">IF(B34="","",IFERROR(INDEX(Patients!$B$2:$B$501,MATCH(B34,Patients!$A$2:$A$501,0))&amp;"",""))</f>
        <v/>
      </c>
      <c r="D34" s="1"/>
      <c r="E34" s="1"/>
      <c r="F34" s="1"/>
      <c r="G34" s="28"/>
      <c r="H34" s="1"/>
      <c r="I34" s="1"/>
      <c r="J34" s="29"/>
      <c r="K34" s="1"/>
      <c r="L34" s="20" t="str">
        <f aca="false">IF(E34="","",IFERROR(INDEX(Settings!$D$13:$D$32,MATCH(E34,Settings!$A$13:$A$32,0)),0)*IF(F34="",1,F34))</f>
        <v/>
      </c>
      <c r="M34" s="20" t="str">
        <f aca="false">IF(L34="","",IF(I34="",L34,L34*(1-IF(J34="",Settings!$B$6,J34))))</f>
        <v/>
      </c>
      <c r="N34" s="20" t="str">
        <f aca="false">IF(OR(L34="",I34=""),"",L34-M34)</f>
        <v/>
      </c>
      <c r="O34" s="1"/>
    </row>
    <row r="35" customFormat="false" ht="15" hidden="false" customHeight="false" outlineLevel="0" collapsed="false">
      <c r="A35" s="27"/>
      <c r="B35" s="1"/>
      <c r="C35" s="24" t="str">
        <f aca="false">IF(B35="","",IFERROR(INDEX(Patients!$B$2:$B$501,MATCH(B35,Patients!$A$2:$A$501,0))&amp;"",""))</f>
        <v/>
      </c>
      <c r="D35" s="1"/>
      <c r="E35" s="1"/>
      <c r="F35" s="1"/>
      <c r="G35" s="28"/>
      <c r="H35" s="1"/>
      <c r="I35" s="1"/>
      <c r="J35" s="29"/>
      <c r="K35" s="1"/>
      <c r="L35" s="20" t="str">
        <f aca="false">IF(E35="","",IFERROR(INDEX(Settings!$D$13:$D$32,MATCH(E35,Settings!$A$13:$A$32,0)),0)*IF(F35="",1,F35))</f>
        <v/>
      </c>
      <c r="M35" s="20" t="str">
        <f aca="false">IF(L35="","",IF(I35="",L35,L35*(1-IF(J35="",Settings!$B$6,J35))))</f>
        <v/>
      </c>
      <c r="N35" s="20" t="str">
        <f aca="false">IF(OR(L35="",I35=""),"",L35-M35)</f>
        <v/>
      </c>
      <c r="O35" s="1"/>
    </row>
    <row r="36" customFormat="false" ht="15" hidden="false" customHeight="false" outlineLevel="0" collapsed="false">
      <c r="A36" s="27"/>
      <c r="B36" s="1"/>
      <c r="C36" s="24" t="str">
        <f aca="false">IF(B36="","",IFERROR(INDEX(Patients!$B$2:$B$501,MATCH(B36,Patients!$A$2:$A$501,0))&amp;"",""))</f>
        <v/>
      </c>
      <c r="D36" s="1"/>
      <c r="E36" s="1"/>
      <c r="F36" s="1"/>
      <c r="G36" s="28"/>
      <c r="H36" s="1"/>
      <c r="I36" s="1"/>
      <c r="J36" s="29"/>
      <c r="K36" s="1"/>
      <c r="L36" s="20" t="str">
        <f aca="false">IF(E36="","",IFERROR(INDEX(Settings!$D$13:$D$32,MATCH(E36,Settings!$A$13:$A$32,0)),0)*IF(F36="",1,F36))</f>
        <v/>
      </c>
      <c r="M36" s="20" t="str">
        <f aca="false">IF(L36="","",IF(I36="",L36,L36*(1-IF(J36="",Settings!$B$6,J36))))</f>
        <v/>
      </c>
      <c r="N36" s="20" t="str">
        <f aca="false">IF(OR(L36="",I36=""),"",L36-M36)</f>
        <v/>
      </c>
      <c r="O36" s="1"/>
    </row>
    <row r="37" customFormat="false" ht="15" hidden="false" customHeight="false" outlineLevel="0" collapsed="false">
      <c r="A37" s="27"/>
      <c r="B37" s="1"/>
      <c r="C37" s="24" t="str">
        <f aca="false">IF(B37="","",IFERROR(INDEX(Patients!$B$2:$B$501,MATCH(B37,Patients!$A$2:$A$501,0))&amp;"",""))</f>
        <v/>
      </c>
      <c r="D37" s="1"/>
      <c r="E37" s="1"/>
      <c r="F37" s="1"/>
      <c r="G37" s="28"/>
      <c r="H37" s="1"/>
      <c r="I37" s="1"/>
      <c r="J37" s="29"/>
      <c r="K37" s="1"/>
      <c r="L37" s="20" t="str">
        <f aca="false">IF(E37="","",IFERROR(INDEX(Settings!$D$13:$D$32,MATCH(E37,Settings!$A$13:$A$32,0)),0)*IF(F37="",1,F37))</f>
        <v/>
      </c>
      <c r="M37" s="20" t="str">
        <f aca="false">IF(L37="","",IF(I37="",L37,L37*(1-IF(J37="",Settings!$B$6,J37))))</f>
        <v/>
      </c>
      <c r="N37" s="20" t="str">
        <f aca="false">IF(OR(L37="",I37=""),"",L37-M37)</f>
        <v/>
      </c>
      <c r="O37" s="1"/>
    </row>
    <row r="38" customFormat="false" ht="15" hidden="false" customHeight="false" outlineLevel="0" collapsed="false">
      <c r="A38" s="27"/>
      <c r="B38" s="1"/>
      <c r="C38" s="24" t="str">
        <f aca="false">IF(B38="","",IFERROR(INDEX(Patients!$B$2:$B$501,MATCH(B38,Patients!$A$2:$A$501,0))&amp;"",""))</f>
        <v/>
      </c>
      <c r="D38" s="1"/>
      <c r="E38" s="1"/>
      <c r="F38" s="1"/>
      <c r="G38" s="28"/>
      <c r="H38" s="1"/>
      <c r="I38" s="1"/>
      <c r="J38" s="29"/>
      <c r="K38" s="1"/>
      <c r="L38" s="20" t="str">
        <f aca="false">IF(E38="","",IFERROR(INDEX(Settings!$D$13:$D$32,MATCH(E38,Settings!$A$13:$A$32,0)),0)*IF(F38="",1,F38))</f>
        <v/>
      </c>
      <c r="M38" s="20" t="str">
        <f aca="false">IF(L38="","",IF(I38="",L38,L38*(1-IF(J38="",Settings!$B$6,J38))))</f>
        <v/>
      </c>
      <c r="N38" s="20" t="str">
        <f aca="false">IF(OR(L38="",I38=""),"",L38-M38)</f>
        <v/>
      </c>
      <c r="O38" s="1"/>
    </row>
    <row r="39" customFormat="false" ht="15" hidden="false" customHeight="false" outlineLevel="0" collapsed="false">
      <c r="A39" s="27"/>
      <c r="B39" s="1"/>
      <c r="C39" s="24" t="str">
        <f aca="false">IF(B39="","",IFERROR(INDEX(Patients!$B$2:$B$501,MATCH(B39,Patients!$A$2:$A$501,0))&amp;"",""))</f>
        <v/>
      </c>
      <c r="D39" s="1"/>
      <c r="E39" s="1"/>
      <c r="F39" s="1"/>
      <c r="G39" s="28"/>
      <c r="H39" s="1"/>
      <c r="I39" s="1"/>
      <c r="J39" s="29"/>
      <c r="K39" s="1"/>
      <c r="L39" s="20" t="str">
        <f aca="false">IF(E39="","",IFERROR(INDEX(Settings!$D$13:$D$32,MATCH(E39,Settings!$A$13:$A$32,0)),0)*IF(F39="",1,F39))</f>
        <v/>
      </c>
      <c r="M39" s="20" t="str">
        <f aca="false">IF(L39="","",IF(I39="",L39,L39*(1-IF(J39="",Settings!$B$6,J39))))</f>
        <v/>
      </c>
      <c r="N39" s="20" t="str">
        <f aca="false">IF(OR(L39="",I39=""),"",L39-M39)</f>
        <v/>
      </c>
      <c r="O39" s="1"/>
    </row>
    <row r="40" customFormat="false" ht="15" hidden="false" customHeight="false" outlineLevel="0" collapsed="false">
      <c r="A40" s="27"/>
      <c r="B40" s="1"/>
      <c r="C40" s="24" t="str">
        <f aca="false">IF(B40="","",IFERROR(INDEX(Patients!$B$2:$B$501,MATCH(B40,Patients!$A$2:$A$501,0))&amp;"",""))</f>
        <v/>
      </c>
      <c r="D40" s="1"/>
      <c r="E40" s="1"/>
      <c r="F40" s="1"/>
      <c r="G40" s="28"/>
      <c r="H40" s="1"/>
      <c r="I40" s="1"/>
      <c r="J40" s="29"/>
      <c r="K40" s="1"/>
      <c r="L40" s="20" t="str">
        <f aca="false">IF(E40="","",IFERROR(INDEX(Settings!$D$13:$D$32,MATCH(E40,Settings!$A$13:$A$32,0)),0)*IF(F40="",1,F40))</f>
        <v/>
      </c>
      <c r="M40" s="20" t="str">
        <f aca="false">IF(L40="","",IF(I40="",L40,L40*(1-IF(J40="",Settings!$B$6,J40))))</f>
        <v/>
      </c>
      <c r="N40" s="20" t="str">
        <f aca="false">IF(OR(L40="",I40=""),"",L40-M40)</f>
        <v/>
      </c>
      <c r="O40" s="1"/>
    </row>
    <row r="41" customFormat="false" ht="15" hidden="false" customHeight="false" outlineLevel="0" collapsed="false">
      <c r="A41" s="27"/>
      <c r="B41" s="1"/>
      <c r="C41" s="24" t="str">
        <f aca="false">IF(B41="","",IFERROR(INDEX(Patients!$B$2:$B$501,MATCH(B41,Patients!$A$2:$A$501,0))&amp;"",""))</f>
        <v/>
      </c>
      <c r="D41" s="1"/>
      <c r="E41" s="1"/>
      <c r="F41" s="1"/>
      <c r="G41" s="28"/>
      <c r="H41" s="1"/>
      <c r="I41" s="1"/>
      <c r="J41" s="29"/>
      <c r="K41" s="1"/>
      <c r="L41" s="20" t="str">
        <f aca="false">IF(E41="","",IFERROR(INDEX(Settings!$D$13:$D$32,MATCH(E41,Settings!$A$13:$A$32,0)),0)*IF(F41="",1,F41))</f>
        <v/>
      </c>
      <c r="M41" s="20" t="str">
        <f aca="false">IF(L41="","",IF(I41="",L41,L41*(1-IF(J41="",Settings!$B$6,J41))))</f>
        <v/>
      </c>
      <c r="N41" s="20" t="str">
        <f aca="false">IF(OR(L41="",I41=""),"",L41-M41)</f>
        <v/>
      </c>
      <c r="O41" s="1"/>
    </row>
    <row r="42" customFormat="false" ht="15" hidden="false" customHeight="false" outlineLevel="0" collapsed="false">
      <c r="A42" s="27"/>
      <c r="B42" s="1"/>
      <c r="C42" s="24" t="str">
        <f aca="false">IF(B42="","",IFERROR(INDEX(Patients!$B$2:$B$501,MATCH(B42,Patients!$A$2:$A$501,0))&amp;"",""))</f>
        <v/>
      </c>
      <c r="D42" s="1"/>
      <c r="E42" s="1"/>
      <c r="F42" s="1"/>
      <c r="G42" s="28"/>
      <c r="H42" s="1"/>
      <c r="I42" s="1"/>
      <c r="J42" s="29"/>
      <c r="K42" s="1"/>
      <c r="L42" s="20" t="str">
        <f aca="false">IF(E42="","",IFERROR(INDEX(Settings!$D$13:$D$32,MATCH(E42,Settings!$A$13:$A$32,0)),0)*IF(F42="",1,F42))</f>
        <v/>
      </c>
      <c r="M42" s="20" t="str">
        <f aca="false">IF(L42="","",IF(I42="",L42,L42*(1-IF(J42="",Settings!$B$6,J42))))</f>
        <v/>
      </c>
      <c r="N42" s="20" t="str">
        <f aca="false">IF(OR(L42="",I42=""),"",L42-M42)</f>
        <v/>
      </c>
      <c r="O42" s="1"/>
    </row>
    <row r="43" customFormat="false" ht="15" hidden="false" customHeight="false" outlineLevel="0" collapsed="false">
      <c r="A43" s="27"/>
      <c r="B43" s="1"/>
      <c r="C43" s="24" t="str">
        <f aca="false">IF(B43="","",IFERROR(INDEX(Patients!$B$2:$B$501,MATCH(B43,Patients!$A$2:$A$501,0))&amp;"",""))</f>
        <v/>
      </c>
      <c r="D43" s="1"/>
      <c r="E43" s="1"/>
      <c r="F43" s="1"/>
      <c r="G43" s="28"/>
      <c r="H43" s="1"/>
      <c r="I43" s="1"/>
      <c r="J43" s="29"/>
      <c r="K43" s="1"/>
      <c r="L43" s="20" t="str">
        <f aca="false">IF(E43="","",IFERROR(INDEX(Settings!$D$13:$D$32,MATCH(E43,Settings!$A$13:$A$32,0)),0)*IF(F43="",1,F43))</f>
        <v/>
      </c>
      <c r="M43" s="20" t="str">
        <f aca="false">IF(L43="","",IF(I43="",L43,L43*(1-IF(J43="",Settings!$B$6,J43))))</f>
        <v/>
      </c>
      <c r="N43" s="20" t="str">
        <f aca="false">IF(OR(L43="",I43=""),"",L43-M43)</f>
        <v/>
      </c>
      <c r="O43" s="1"/>
    </row>
    <row r="44" customFormat="false" ht="15" hidden="false" customHeight="false" outlineLevel="0" collapsed="false">
      <c r="A44" s="27"/>
      <c r="B44" s="1"/>
      <c r="C44" s="24" t="str">
        <f aca="false">IF(B44="","",IFERROR(INDEX(Patients!$B$2:$B$501,MATCH(B44,Patients!$A$2:$A$501,0))&amp;"",""))</f>
        <v/>
      </c>
      <c r="D44" s="1"/>
      <c r="E44" s="1"/>
      <c r="F44" s="1"/>
      <c r="G44" s="28"/>
      <c r="H44" s="1"/>
      <c r="I44" s="1"/>
      <c r="J44" s="29"/>
      <c r="K44" s="1"/>
      <c r="L44" s="20" t="str">
        <f aca="false">IF(E44="","",IFERROR(INDEX(Settings!$D$13:$D$32,MATCH(E44,Settings!$A$13:$A$32,0)),0)*IF(F44="",1,F44))</f>
        <v/>
      </c>
      <c r="M44" s="20" t="str">
        <f aca="false">IF(L44="","",IF(I44="",L44,L44*(1-IF(J44="",Settings!$B$6,J44))))</f>
        <v/>
      </c>
      <c r="N44" s="20" t="str">
        <f aca="false">IF(OR(L44="",I44=""),"",L44-M44)</f>
        <v/>
      </c>
      <c r="O44" s="1"/>
    </row>
    <row r="45" customFormat="false" ht="15" hidden="false" customHeight="false" outlineLevel="0" collapsed="false">
      <c r="A45" s="27"/>
      <c r="B45" s="1"/>
      <c r="C45" s="24" t="str">
        <f aca="false">IF(B45="","",IFERROR(INDEX(Patients!$B$2:$B$501,MATCH(B45,Patients!$A$2:$A$501,0))&amp;"",""))</f>
        <v/>
      </c>
      <c r="D45" s="1"/>
      <c r="E45" s="1"/>
      <c r="F45" s="1"/>
      <c r="G45" s="28"/>
      <c r="H45" s="1"/>
      <c r="I45" s="1"/>
      <c r="J45" s="29"/>
      <c r="K45" s="1"/>
      <c r="L45" s="20" t="str">
        <f aca="false">IF(E45="","",IFERROR(INDEX(Settings!$D$13:$D$32,MATCH(E45,Settings!$A$13:$A$32,0)),0)*IF(F45="",1,F45))</f>
        <v/>
      </c>
      <c r="M45" s="20" t="str">
        <f aca="false">IF(L45="","",IF(I45="",L45,L45*(1-IF(J45="",Settings!$B$6,J45))))</f>
        <v/>
      </c>
      <c r="N45" s="20" t="str">
        <f aca="false">IF(OR(L45="",I45=""),"",L45-M45)</f>
        <v/>
      </c>
      <c r="O45" s="1"/>
    </row>
    <row r="46" customFormat="false" ht="15" hidden="false" customHeight="false" outlineLevel="0" collapsed="false">
      <c r="A46" s="27"/>
      <c r="B46" s="1"/>
      <c r="C46" s="24" t="str">
        <f aca="false">IF(B46="","",IFERROR(INDEX(Patients!$B$2:$B$501,MATCH(B46,Patients!$A$2:$A$501,0))&amp;"",""))</f>
        <v/>
      </c>
      <c r="D46" s="1"/>
      <c r="E46" s="1"/>
      <c r="F46" s="1"/>
      <c r="G46" s="28"/>
      <c r="H46" s="1"/>
      <c r="I46" s="1"/>
      <c r="J46" s="29"/>
      <c r="K46" s="1"/>
      <c r="L46" s="20" t="str">
        <f aca="false">IF(E46="","",IFERROR(INDEX(Settings!$D$13:$D$32,MATCH(E46,Settings!$A$13:$A$32,0)),0)*IF(F46="",1,F46))</f>
        <v/>
      </c>
      <c r="M46" s="20" t="str">
        <f aca="false">IF(L46="","",IF(I46="",L46,L46*(1-IF(J46="",Settings!$B$6,J46))))</f>
        <v/>
      </c>
      <c r="N46" s="20" t="str">
        <f aca="false">IF(OR(L46="",I46=""),"",L46-M46)</f>
        <v/>
      </c>
      <c r="O46" s="1"/>
    </row>
    <row r="47" customFormat="false" ht="15" hidden="false" customHeight="false" outlineLevel="0" collapsed="false">
      <c r="A47" s="27"/>
      <c r="B47" s="1"/>
      <c r="C47" s="24" t="str">
        <f aca="false">IF(B47="","",IFERROR(INDEX(Patients!$B$2:$B$501,MATCH(B47,Patients!$A$2:$A$501,0))&amp;"",""))</f>
        <v/>
      </c>
      <c r="D47" s="1"/>
      <c r="E47" s="1"/>
      <c r="F47" s="1"/>
      <c r="G47" s="28"/>
      <c r="H47" s="1"/>
      <c r="I47" s="1"/>
      <c r="J47" s="29"/>
      <c r="K47" s="1"/>
      <c r="L47" s="20" t="str">
        <f aca="false">IF(E47="","",IFERROR(INDEX(Settings!$D$13:$D$32,MATCH(E47,Settings!$A$13:$A$32,0)),0)*IF(F47="",1,F47))</f>
        <v/>
      </c>
      <c r="M47" s="20" t="str">
        <f aca="false">IF(L47="","",IF(I47="",L47,L47*(1-IF(J47="",Settings!$B$6,J47))))</f>
        <v/>
      </c>
      <c r="N47" s="20" t="str">
        <f aca="false">IF(OR(L47="",I47=""),"",L47-M47)</f>
        <v/>
      </c>
      <c r="O47" s="1"/>
    </row>
    <row r="48" customFormat="false" ht="15" hidden="false" customHeight="false" outlineLevel="0" collapsed="false">
      <c r="A48" s="27"/>
      <c r="B48" s="1"/>
      <c r="C48" s="24" t="str">
        <f aca="false">IF(B48="","",IFERROR(INDEX(Patients!$B$2:$B$501,MATCH(B48,Patients!$A$2:$A$501,0))&amp;"",""))</f>
        <v/>
      </c>
      <c r="D48" s="1"/>
      <c r="E48" s="1"/>
      <c r="F48" s="1"/>
      <c r="G48" s="28"/>
      <c r="H48" s="1"/>
      <c r="I48" s="1"/>
      <c r="J48" s="29"/>
      <c r="K48" s="1"/>
      <c r="L48" s="20" t="str">
        <f aca="false">IF(E48="","",IFERROR(INDEX(Settings!$D$13:$D$32,MATCH(E48,Settings!$A$13:$A$32,0)),0)*IF(F48="",1,F48))</f>
        <v/>
      </c>
      <c r="M48" s="20" t="str">
        <f aca="false">IF(L48="","",IF(I48="",L48,L48*(1-IF(J48="",Settings!$B$6,J48))))</f>
        <v/>
      </c>
      <c r="N48" s="20" t="str">
        <f aca="false">IF(OR(L48="",I48=""),"",L48-M48)</f>
        <v/>
      </c>
      <c r="O48" s="1"/>
    </row>
    <row r="49" customFormat="false" ht="15" hidden="false" customHeight="false" outlineLevel="0" collapsed="false">
      <c r="A49" s="27"/>
      <c r="B49" s="1"/>
      <c r="C49" s="24" t="str">
        <f aca="false">IF(B49="","",IFERROR(INDEX(Patients!$B$2:$B$501,MATCH(B49,Patients!$A$2:$A$501,0))&amp;"",""))</f>
        <v/>
      </c>
      <c r="D49" s="1"/>
      <c r="E49" s="1"/>
      <c r="F49" s="1"/>
      <c r="G49" s="28"/>
      <c r="H49" s="1"/>
      <c r="I49" s="1"/>
      <c r="J49" s="29"/>
      <c r="K49" s="1"/>
      <c r="L49" s="20" t="str">
        <f aca="false">IF(E49="","",IFERROR(INDEX(Settings!$D$13:$D$32,MATCH(E49,Settings!$A$13:$A$32,0)),0)*IF(F49="",1,F49))</f>
        <v/>
      </c>
      <c r="M49" s="20" t="str">
        <f aca="false">IF(L49="","",IF(I49="",L49,L49*(1-IF(J49="",Settings!$B$6,J49))))</f>
        <v/>
      </c>
      <c r="N49" s="20" t="str">
        <f aca="false">IF(OR(L49="",I49=""),"",L49-M49)</f>
        <v/>
      </c>
      <c r="O49" s="1"/>
    </row>
    <row r="50" customFormat="false" ht="15" hidden="false" customHeight="false" outlineLevel="0" collapsed="false">
      <c r="A50" s="27"/>
      <c r="B50" s="1"/>
      <c r="C50" s="24" t="str">
        <f aca="false">IF(B50="","",IFERROR(INDEX(Patients!$B$2:$B$501,MATCH(B50,Patients!$A$2:$A$501,0))&amp;"",""))</f>
        <v/>
      </c>
      <c r="D50" s="1"/>
      <c r="E50" s="1"/>
      <c r="F50" s="1"/>
      <c r="G50" s="28"/>
      <c r="H50" s="1"/>
      <c r="I50" s="1"/>
      <c r="J50" s="29"/>
      <c r="K50" s="1"/>
      <c r="L50" s="20" t="str">
        <f aca="false">IF(E50="","",IFERROR(INDEX(Settings!$D$13:$D$32,MATCH(E50,Settings!$A$13:$A$32,0)),0)*IF(F50="",1,F50))</f>
        <v/>
      </c>
      <c r="M50" s="20" t="str">
        <f aca="false">IF(L50="","",IF(I50="",L50,L50*(1-IF(J50="",Settings!$B$6,J50))))</f>
        <v/>
      </c>
      <c r="N50" s="20" t="str">
        <f aca="false">IF(OR(L50="",I50=""),"",L50-M50)</f>
        <v/>
      </c>
      <c r="O50" s="1"/>
    </row>
    <row r="51" customFormat="false" ht="15" hidden="false" customHeight="false" outlineLevel="0" collapsed="false">
      <c r="A51" s="27"/>
      <c r="B51" s="1"/>
      <c r="C51" s="24" t="str">
        <f aca="false">IF(B51="","",IFERROR(INDEX(Patients!$B$2:$B$501,MATCH(B51,Patients!$A$2:$A$501,0))&amp;"",""))</f>
        <v/>
      </c>
      <c r="D51" s="1"/>
      <c r="E51" s="1"/>
      <c r="F51" s="1"/>
      <c r="G51" s="28"/>
      <c r="H51" s="1"/>
      <c r="I51" s="1"/>
      <c r="J51" s="29"/>
      <c r="K51" s="1"/>
      <c r="L51" s="20" t="str">
        <f aca="false">IF(E51="","",IFERROR(INDEX(Settings!$D$13:$D$32,MATCH(E51,Settings!$A$13:$A$32,0)),0)*IF(F51="",1,F51))</f>
        <v/>
      </c>
      <c r="M51" s="20" t="str">
        <f aca="false">IF(L51="","",IF(I51="",L51,L51*(1-IF(J51="",Settings!$B$6,J51))))</f>
        <v/>
      </c>
      <c r="N51" s="20" t="str">
        <f aca="false">IF(OR(L51="",I51=""),"",L51-M51)</f>
        <v/>
      </c>
      <c r="O51" s="1"/>
    </row>
    <row r="52" customFormat="false" ht="15" hidden="false" customHeight="false" outlineLevel="0" collapsed="false">
      <c r="A52" s="27"/>
      <c r="B52" s="1"/>
      <c r="C52" s="24" t="str">
        <f aca="false">IF(B52="","",IFERROR(INDEX(Patients!$B$2:$B$501,MATCH(B52,Patients!$A$2:$A$501,0))&amp;"",""))</f>
        <v/>
      </c>
      <c r="D52" s="1"/>
      <c r="E52" s="1"/>
      <c r="F52" s="1"/>
      <c r="G52" s="28"/>
      <c r="H52" s="1"/>
      <c r="I52" s="1"/>
      <c r="J52" s="29"/>
      <c r="K52" s="1"/>
      <c r="L52" s="20" t="str">
        <f aca="false">IF(E52="","",IFERROR(INDEX(Settings!$D$13:$D$32,MATCH(E52,Settings!$A$13:$A$32,0)),0)*IF(F52="",1,F52))</f>
        <v/>
      </c>
      <c r="M52" s="20" t="str">
        <f aca="false">IF(L52="","",IF(I52="",L52,L52*(1-IF(J52="",Settings!$B$6,J52))))</f>
        <v/>
      </c>
      <c r="N52" s="20" t="str">
        <f aca="false">IF(OR(L52="",I52=""),"",L52-M52)</f>
        <v/>
      </c>
      <c r="O52" s="1"/>
    </row>
    <row r="53" customFormat="false" ht="15" hidden="false" customHeight="false" outlineLevel="0" collapsed="false">
      <c r="A53" s="27"/>
      <c r="B53" s="1"/>
      <c r="C53" s="24" t="str">
        <f aca="false">IF(B53="","",IFERROR(INDEX(Patients!$B$2:$B$501,MATCH(B53,Patients!$A$2:$A$501,0))&amp;"",""))</f>
        <v/>
      </c>
      <c r="D53" s="1"/>
      <c r="E53" s="1"/>
      <c r="F53" s="1"/>
      <c r="G53" s="28"/>
      <c r="H53" s="1"/>
      <c r="I53" s="1"/>
      <c r="J53" s="29"/>
      <c r="K53" s="1"/>
      <c r="L53" s="20" t="str">
        <f aca="false">IF(E53="","",IFERROR(INDEX(Settings!$D$13:$D$32,MATCH(E53,Settings!$A$13:$A$32,0)),0)*IF(F53="",1,F53))</f>
        <v/>
      </c>
      <c r="M53" s="20" t="str">
        <f aca="false">IF(L53="","",IF(I53="",L53,L53*(1-IF(J53="",Settings!$B$6,J53))))</f>
        <v/>
      </c>
      <c r="N53" s="20" t="str">
        <f aca="false">IF(OR(L53="",I53=""),"",L53-M53)</f>
        <v/>
      </c>
      <c r="O53" s="1"/>
    </row>
    <row r="54" customFormat="false" ht="15" hidden="false" customHeight="false" outlineLevel="0" collapsed="false">
      <c r="A54" s="27"/>
      <c r="B54" s="1"/>
      <c r="C54" s="24" t="str">
        <f aca="false">IF(B54="","",IFERROR(INDEX(Patients!$B$2:$B$501,MATCH(B54,Patients!$A$2:$A$501,0))&amp;"",""))</f>
        <v/>
      </c>
      <c r="D54" s="1"/>
      <c r="E54" s="1"/>
      <c r="F54" s="1"/>
      <c r="G54" s="28"/>
      <c r="H54" s="1"/>
      <c r="I54" s="1"/>
      <c r="J54" s="29"/>
      <c r="K54" s="1"/>
      <c r="L54" s="20" t="str">
        <f aca="false">IF(E54="","",IFERROR(INDEX(Settings!$D$13:$D$32,MATCH(E54,Settings!$A$13:$A$32,0)),0)*IF(F54="",1,F54))</f>
        <v/>
      </c>
      <c r="M54" s="20" t="str">
        <f aca="false">IF(L54="","",IF(I54="",L54,L54*(1-IF(J54="",Settings!$B$6,J54))))</f>
        <v/>
      </c>
      <c r="N54" s="20" t="str">
        <f aca="false">IF(OR(L54="",I54=""),"",L54-M54)</f>
        <v/>
      </c>
      <c r="O54" s="1"/>
    </row>
    <row r="55" customFormat="false" ht="15" hidden="false" customHeight="false" outlineLevel="0" collapsed="false">
      <c r="A55" s="27"/>
      <c r="B55" s="1"/>
      <c r="C55" s="24" t="str">
        <f aca="false">IF(B55="","",IFERROR(INDEX(Patients!$B$2:$B$501,MATCH(B55,Patients!$A$2:$A$501,0))&amp;"",""))</f>
        <v/>
      </c>
      <c r="D55" s="1"/>
      <c r="E55" s="1"/>
      <c r="F55" s="1"/>
      <c r="G55" s="28"/>
      <c r="H55" s="1"/>
      <c r="I55" s="1"/>
      <c r="J55" s="29"/>
      <c r="K55" s="1"/>
      <c r="L55" s="20" t="str">
        <f aca="false">IF(E55="","",IFERROR(INDEX(Settings!$D$13:$D$32,MATCH(E55,Settings!$A$13:$A$32,0)),0)*IF(F55="",1,F55))</f>
        <v/>
      </c>
      <c r="M55" s="20" t="str">
        <f aca="false">IF(L55="","",IF(I55="",L55,L55*(1-IF(J55="",Settings!$B$6,J55))))</f>
        <v/>
      </c>
      <c r="N55" s="20" t="str">
        <f aca="false">IF(OR(L55="",I55=""),"",L55-M55)</f>
        <v/>
      </c>
      <c r="O55" s="1"/>
    </row>
    <row r="56" customFormat="false" ht="15" hidden="false" customHeight="false" outlineLevel="0" collapsed="false">
      <c r="A56" s="27"/>
      <c r="B56" s="1"/>
      <c r="C56" s="24" t="str">
        <f aca="false">IF(B56="","",IFERROR(INDEX(Patients!$B$2:$B$501,MATCH(B56,Patients!$A$2:$A$501,0))&amp;"",""))</f>
        <v/>
      </c>
      <c r="D56" s="1"/>
      <c r="E56" s="1"/>
      <c r="F56" s="1"/>
      <c r="G56" s="28"/>
      <c r="H56" s="1"/>
      <c r="I56" s="1"/>
      <c r="J56" s="29"/>
      <c r="K56" s="1"/>
      <c r="L56" s="20" t="str">
        <f aca="false">IF(E56="","",IFERROR(INDEX(Settings!$D$13:$D$32,MATCH(E56,Settings!$A$13:$A$32,0)),0)*IF(F56="",1,F56))</f>
        <v/>
      </c>
      <c r="M56" s="20" t="str">
        <f aca="false">IF(L56="","",IF(I56="",L56,L56*(1-IF(J56="",Settings!$B$6,J56))))</f>
        <v/>
      </c>
      <c r="N56" s="20" t="str">
        <f aca="false">IF(OR(L56="",I56=""),"",L56-M56)</f>
        <v/>
      </c>
      <c r="O56" s="1"/>
    </row>
    <row r="57" customFormat="false" ht="15" hidden="false" customHeight="false" outlineLevel="0" collapsed="false">
      <c r="A57" s="27"/>
      <c r="B57" s="1"/>
      <c r="C57" s="24" t="str">
        <f aca="false">IF(B57="","",IFERROR(INDEX(Patients!$B$2:$B$501,MATCH(B57,Patients!$A$2:$A$501,0))&amp;"",""))</f>
        <v/>
      </c>
      <c r="D57" s="1"/>
      <c r="E57" s="1"/>
      <c r="F57" s="1"/>
      <c r="G57" s="28"/>
      <c r="H57" s="1"/>
      <c r="I57" s="1"/>
      <c r="J57" s="29"/>
      <c r="K57" s="1"/>
      <c r="L57" s="20" t="str">
        <f aca="false">IF(E57="","",IFERROR(INDEX(Settings!$D$13:$D$32,MATCH(E57,Settings!$A$13:$A$32,0)),0)*IF(F57="",1,F57))</f>
        <v/>
      </c>
      <c r="M57" s="20" t="str">
        <f aca="false">IF(L57="","",IF(I57="",L57,L57*(1-IF(J57="",Settings!$B$6,J57))))</f>
        <v/>
      </c>
      <c r="N57" s="20" t="str">
        <f aca="false">IF(OR(L57="",I57=""),"",L57-M57)</f>
        <v/>
      </c>
      <c r="O57" s="1"/>
    </row>
    <row r="58" customFormat="false" ht="15" hidden="false" customHeight="false" outlineLevel="0" collapsed="false">
      <c r="A58" s="27"/>
      <c r="B58" s="1"/>
      <c r="C58" s="24" t="str">
        <f aca="false">IF(B58="","",IFERROR(INDEX(Patients!$B$2:$B$501,MATCH(B58,Patients!$A$2:$A$501,0))&amp;"",""))</f>
        <v/>
      </c>
      <c r="D58" s="1"/>
      <c r="E58" s="1"/>
      <c r="F58" s="1"/>
      <c r="G58" s="28"/>
      <c r="H58" s="1"/>
      <c r="I58" s="1"/>
      <c r="J58" s="29"/>
      <c r="K58" s="1"/>
      <c r="L58" s="20" t="str">
        <f aca="false">IF(E58="","",IFERROR(INDEX(Settings!$D$13:$D$32,MATCH(E58,Settings!$A$13:$A$32,0)),0)*IF(F58="",1,F58))</f>
        <v/>
      </c>
      <c r="M58" s="20" t="str">
        <f aca="false">IF(L58="","",IF(I58="",L58,L58*(1-IF(J58="",Settings!$B$6,J58))))</f>
        <v/>
      </c>
      <c r="N58" s="20" t="str">
        <f aca="false">IF(OR(L58="",I58=""),"",L58-M58)</f>
        <v/>
      </c>
      <c r="O58" s="1"/>
    </row>
    <row r="59" customFormat="false" ht="15" hidden="false" customHeight="false" outlineLevel="0" collapsed="false">
      <c r="A59" s="27"/>
      <c r="B59" s="1"/>
      <c r="C59" s="24" t="str">
        <f aca="false">IF(B59="","",IFERROR(INDEX(Patients!$B$2:$B$501,MATCH(B59,Patients!$A$2:$A$501,0))&amp;"",""))</f>
        <v/>
      </c>
      <c r="D59" s="1"/>
      <c r="E59" s="1"/>
      <c r="F59" s="1"/>
      <c r="G59" s="28"/>
      <c r="H59" s="1"/>
      <c r="I59" s="1"/>
      <c r="J59" s="29"/>
      <c r="K59" s="1"/>
      <c r="L59" s="20" t="str">
        <f aca="false">IF(E59="","",IFERROR(INDEX(Settings!$D$13:$D$32,MATCH(E59,Settings!$A$13:$A$32,0)),0)*IF(F59="",1,F59))</f>
        <v/>
      </c>
      <c r="M59" s="20" t="str">
        <f aca="false">IF(L59="","",IF(I59="",L59,L59*(1-IF(J59="",Settings!$B$6,J59))))</f>
        <v/>
      </c>
      <c r="N59" s="20" t="str">
        <f aca="false">IF(OR(L59="",I59=""),"",L59-M59)</f>
        <v/>
      </c>
      <c r="O59" s="1"/>
    </row>
    <row r="60" customFormat="false" ht="15" hidden="false" customHeight="false" outlineLevel="0" collapsed="false">
      <c r="A60" s="27"/>
      <c r="B60" s="1"/>
      <c r="C60" s="24" t="str">
        <f aca="false">IF(B60="","",IFERROR(INDEX(Patients!$B$2:$B$501,MATCH(B60,Patients!$A$2:$A$501,0))&amp;"",""))</f>
        <v/>
      </c>
      <c r="D60" s="1"/>
      <c r="E60" s="1"/>
      <c r="F60" s="1"/>
      <c r="G60" s="28"/>
      <c r="H60" s="1"/>
      <c r="I60" s="1"/>
      <c r="J60" s="29"/>
      <c r="K60" s="1"/>
      <c r="L60" s="20" t="str">
        <f aca="false">IF(E60="","",IFERROR(INDEX(Settings!$D$13:$D$32,MATCH(E60,Settings!$A$13:$A$32,0)),0)*IF(F60="",1,F60))</f>
        <v/>
      </c>
      <c r="M60" s="20" t="str">
        <f aca="false">IF(L60="","",IF(I60="",L60,L60*(1-IF(J60="",Settings!$B$6,J60))))</f>
        <v/>
      </c>
      <c r="N60" s="20" t="str">
        <f aca="false">IF(OR(L60="",I60=""),"",L60-M60)</f>
        <v/>
      </c>
      <c r="O60" s="1"/>
    </row>
    <row r="61" customFormat="false" ht="15" hidden="false" customHeight="false" outlineLevel="0" collapsed="false">
      <c r="A61" s="27"/>
      <c r="B61" s="1"/>
      <c r="C61" s="24" t="str">
        <f aca="false">IF(B61="","",IFERROR(INDEX(Patients!$B$2:$B$501,MATCH(B61,Patients!$A$2:$A$501,0))&amp;"",""))</f>
        <v/>
      </c>
      <c r="D61" s="1"/>
      <c r="E61" s="1"/>
      <c r="F61" s="1"/>
      <c r="G61" s="28"/>
      <c r="H61" s="1"/>
      <c r="I61" s="1"/>
      <c r="J61" s="29"/>
      <c r="K61" s="1"/>
      <c r="L61" s="20" t="str">
        <f aca="false">IF(E61="","",IFERROR(INDEX(Settings!$D$13:$D$32,MATCH(E61,Settings!$A$13:$A$32,0)),0)*IF(F61="",1,F61))</f>
        <v/>
      </c>
      <c r="M61" s="20" t="str">
        <f aca="false">IF(L61="","",IF(I61="",L61,L61*(1-IF(J61="",Settings!$B$6,J61))))</f>
        <v/>
      </c>
      <c r="N61" s="20" t="str">
        <f aca="false">IF(OR(L61="",I61=""),"",L61-M61)</f>
        <v/>
      </c>
      <c r="O61" s="1"/>
    </row>
    <row r="62" customFormat="false" ht="15" hidden="false" customHeight="false" outlineLevel="0" collapsed="false">
      <c r="A62" s="27"/>
      <c r="B62" s="1"/>
      <c r="C62" s="24" t="str">
        <f aca="false">IF(B62="","",IFERROR(INDEX(Patients!$B$2:$B$501,MATCH(B62,Patients!$A$2:$A$501,0))&amp;"",""))</f>
        <v/>
      </c>
      <c r="D62" s="1"/>
      <c r="E62" s="1"/>
      <c r="F62" s="1"/>
      <c r="G62" s="28"/>
      <c r="H62" s="1"/>
      <c r="I62" s="1"/>
      <c r="J62" s="29"/>
      <c r="K62" s="1"/>
      <c r="L62" s="20" t="str">
        <f aca="false">IF(E62="","",IFERROR(INDEX(Settings!$D$13:$D$32,MATCH(E62,Settings!$A$13:$A$32,0)),0)*IF(F62="",1,F62))</f>
        <v/>
      </c>
      <c r="M62" s="20" t="str">
        <f aca="false">IF(L62="","",IF(I62="",L62,L62*(1-IF(J62="",Settings!$B$6,J62))))</f>
        <v/>
      </c>
      <c r="N62" s="20" t="str">
        <f aca="false">IF(OR(L62="",I62=""),"",L62-M62)</f>
        <v/>
      </c>
      <c r="O62" s="1"/>
    </row>
    <row r="63" customFormat="false" ht="15" hidden="false" customHeight="false" outlineLevel="0" collapsed="false">
      <c r="A63" s="27"/>
      <c r="B63" s="1"/>
      <c r="C63" s="24" t="str">
        <f aca="false">IF(B63="","",IFERROR(INDEX(Patients!$B$2:$B$501,MATCH(B63,Patients!$A$2:$A$501,0))&amp;"",""))</f>
        <v/>
      </c>
      <c r="D63" s="1"/>
      <c r="E63" s="1"/>
      <c r="F63" s="1"/>
      <c r="G63" s="28"/>
      <c r="H63" s="1"/>
      <c r="I63" s="1"/>
      <c r="J63" s="29"/>
      <c r="K63" s="1"/>
      <c r="L63" s="20" t="str">
        <f aca="false">IF(E63="","",IFERROR(INDEX(Settings!$D$13:$D$32,MATCH(E63,Settings!$A$13:$A$32,0)),0)*IF(F63="",1,F63))</f>
        <v/>
      </c>
      <c r="M63" s="20" t="str">
        <f aca="false">IF(L63="","",IF(I63="",L63,L63*(1-IF(J63="",Settings!$B$6,J63))))</f>
        <v/>
      </c>
      <c r="N63" s="20" t="str">
        <f aca="false">IF(OR(L63="",I63=""),"",L63-M63)</f>
        <v/>
      </c>
      <c r="O63" s="1"/>
    </row>
    <row r="64" customFormat="false" ht="15" hidden="false" customHeight="false" outlineLevel="0" collapsed="false">
      <c r="A64" s="27"/>
      <c r="B64" s="1"/>
      <c r="C64" s="24" t="str">
        <f aca="false">IF(B64="","",IFERROR(INDEX(Patients!$B$2:$B$501,MATCH(B64,Patients!$A$2:$A$501,0))&amp;"",""))</f>
        <v/>
      </c>
      <c r="D64" s="1"/>
      <c r="E64" s="1"/>
      <c r="F64" s="1"/>
      <c r="G64" s="28"/>
      <c r="H64" s="1"/>
      <c r="I64" s="1"/>
      <c r="J64" s="29"/>
      <c r="K64" s="1"/>
      <c r="L64" s="20" t="str">
        <f aca="false">IF(E64="","",IFERROR(INDEX(Settings!$D$13:$D$32,MATCH(E64,Settings!$A$13:$A$32,0)),0)*IF(F64="",1,F64))</f>
        <v/>
      </c>
      <c r="M64" s="20" t="str">
        <f aca="false">IF(L64="","",IF(I64="",L64,L64*(1-IF(J64="",Settings!$B$6,J64))))</f>
        <v/>
      </c>
      <c r="N64" s="20" t="str">
        <f aca="false">IF(OR(L64="",I64=""),"",L64-M64)</f>
        <v/>
      </c>
      <c r="O64" s="1"/>
    </row>
    <row r="65" customFormat="false" ht="15" hidden="false" customHeight="false" outlineLevel="0" collapsed="false">
      <c r="A65" s="27"/>
      <c r="B65" s="1"/>
      <c r="C65" s="24" t="str">
        <f aca="false">IF(B65="","",IFERROR(INDEX(Patients!$B$2:$B$501,MATCH(B65,Patients!$A$2:$A$501,0))&amp;"",""))</f>
        <v/>
      </c>
      <c r="D65" s="1"/>
      <c r="E65" s="1"/>
      <c r="F65" s="1"/>
      <c r="G65" s="28"/>
      <c r="H65" s="1"/>
      <c r="I65" s="1"/>
      <c r="J65" s="29"/>
      <c r="K65" s="1"/>
      <c r="L65" s="20" t="str">
        <f aca="false">IF(E65="","",IFERROR(INDEX(Settings!$D$13:$D$32,MATCH(E65,Settings!$A$13:$A$32,0)),0)*IF(F65="",1,F65))</f>
        <v/>
      </c>
      <c r="M65" s="20" t="str">
        <f aca="false">IF(L65="","",IF(I65="",L65,L65*(1-IF(J65="",Settings!$B$6,J65))))</f>
        <v/>
      </c>
      <c r="N65" s="20" t="str">
        <f aca="false">IF(OR(L65="",I65=""),"",L65-M65)</f>
        <v/>
      </c>
      <c r="O65" s="1"/>
    </row>
    <row r="66" customFormat="false" ht="15" hidden="false" customHeight="false" outlineLevel="0" collapsed="false">
      <c r="A66" s="27"/>
      <c r="B66" s="1"/>
      <c r="C66" s="24" t="str">
        <f aca="false">IF(B66="","",IFERROR(INDEX(Patients!$B$2:$B$501,MATCH(B66,Patients!$A$2:$A$501,0))&amp;"",""))</f>
        <v/>
      </c>
      <c r="D66" s="1"/>
      <c r="E66" s="1"/>
      <c r="F66" s="1"/>
      <c r="G66" s="28"/>
      <c r="H66" s="1"/>
      <c r="I66" s="1"/>
      <c r="J66" s="29"/>
      <c r="K66" s="1"/>
      <c r="L66" s="20" t="str">
        <f aca="false">IF(E66="","",IFERROR(INDEX(Settings!$D$13:$D$32,MATCH(E66,Settings!$A$13:$A$32,0)),0)*IF(F66="",1,F66))</f>
        <v/>
      </c>
      <c r="M66" s="20" t="str">
        <f aca="false">IF(L66="","",IF(I66="",L66,L66*(1-IF(J66="",Settings!$B$6,J66))))</f>
        <v/>
      </c>
      <c r="N66" s="20" t="str">
        <f aca="false">IF(OR(L66="",I66=""),"",L66-M66)</f>
        <v/>
      </c>
      <c r="O66" s="1"/>
    </row>
    <row r="67" customFormat="false" ht="15" hidden="false" customHeight="false" outlineLevel="0" collapsed="false">
      <c r="A67" s="27"/>
      <c r="B67" s="1"/>
      <c r="C67" s="24" t="str">
        <f aca="false">IF(B67="","",IFERROR(INDEX(Patients!$B$2:$B$501,MATCH(B67,Patients!$A$2:$A$501,0))&amp;"",""))</f>
        <v/>
      </c>
      <c r="D67" s="1"/>
      <c r="E67" s="1"/>
      <c r="F67" s="1"/>
      <c r="G67" s="28"/>
      <c r="H67" s="1"/>
      <c r="I67" s="1"/>
      <c r="J67" s="29"/>
      <c r="K67" s="1"/>
      <c r="L67" s="20" t="str">
        <f aca="false">IF(E67="","",IFERROR(INDEX(Settings!$D$13:$D$32,MATCH(E67,Settings!$A$13:$A$32,0)),0)*IF(F67="",1,F67))</f>
        <v/>
      </c>
      <c r="M67" s="20" t="str">
        <f aca="false">IF(L67="","",IF(I67="",L67,L67*(1-IF(J67="",Settings!$B$6,J67))))</f>
        <v/>
      </c>
      <c r="N67" s="20" t="str">
        <f aca="false">IF(OR(L67="",I67=""),"",L67-M67)</f>
        <v/>
      </c>
      <c r="O67" s="1"/>
    </row>
    <row r="68" customFormat="false" ht="15" hidden="false" customHeight="false" outlineLevel="0" collapsed="false">
      <c r="A68" s="27"/>
      <c r="B68" s="1"/>
      <c r="C68" s="24" t="str">
        <f aca="false">IF(B68="","",IFERROR(INDEX(Patients!$B$2:$B$501,MATCH(B68,Patients!$A$2:$A$501,0))&amp;"",""))</f>
        <v/>
      </c>
      <c r="D68" s="1"/>
      <c r="E68" s="1"/>
      <c r="F68" s="1"/>
      <c r="G68" s="28"/>
      <c r="H68" s="1"/>
      <c r="I68" s="1"/>
      <c r="J68" s="29"/>
      <c r="K68" s="1"/>
      <c r="L68" s="20" t="str">
        <f aca="false">IF(E68="","",IFERROR(INDEX(Settings!$D$13:$D$32,MATCH(E68,Settings!$A$13:$A$32,0)),0)*IF(F68="",1,F68))</f>
        <v/>
      </c>
      <c r="M68" s="20" t="str">
        <f aca="false">IF(L68="","",IF(I68="",L68,L68*(1-IF(J68="",Settings!$B$6,J68))))</f>
        <v/>
      </c>
      <c r="N68" s="20" t="str">
        <f aca="false">IF(OR(L68="",I68=""),"",L68-M68)</f>
        <v/>
      </c>
      <c r="O68" s="1"/>
    </row>
    <row r="69" customFormat="false" ht="15" hidden="false" customHeight="false" outlineLevel="0" collapsed="false">
      <c r="A69" s="27"/>
      <c r="B69" s="1"/>
      <c r="C69" s="24" t="str">
        <f aca="false">IF(B69="","",IFERROR(INDEX(Patients!$B$2:$B$501,MATCH(B69,Patients!$A$2:$A$501,0))&amp;"",""))</f>
        <v/>
      </c>
      <c r="D69" s="1"/>
      <c r="E69" s="1"/>
      <c r="F69" s="1"/>
      <c r="G69" s="28"/>
      <c r="H69" s="1"/>
      <c r="I69" s="1"/>
      <c r="J69" s="29"/>
      <c r="K69" s="1"/>
      <c r="L69" s="20" t="str">
        <f aca="false">IF(E69="","",IFERROR(INDEX(Settings!$D$13:$D$32,MATCH(E69,Settings!$A$13:$A$32,0)),0)*IF(F69="",1,F69))</f>
        <v/>
      </c>
      <c r="M69" s="20" t="str">
        <f aca="false">IF(L69="","",IF(I69="",L69,L69*(1-IF(J69="",Settings!$B$6,J69))))</f>
        <v/>
      </c>
      <c r="N69" s="20" t="str">
        <f aca="false">IF(OR(L69="",I69=""),"",L69-M69)</f>
        <v/>
      </c>
      <c r="O69" s="1"/>
    </row>
    <row r="70" customFormat="false" ht="15" hidden="false" customHeight="false" outlineLevel="0" collapsed="false">
      <c r="A70" s="27"/>
      <c r="B70" s="1"/>
      <c r="C70" s="24" t="str">
        <f aca="false">IF(B70="","",IFERROR(INDEX(Patients!$B$2:$B$501,MATCH(B70,Patients!$A$2:$A$501,0))&amp;"",""))</f>
        <v/>
      </c>
      <c r="D70" s="1"/>
      <c r="E70" s="1"/>
      <c r="F70" s="1"/>
      <c r="G70" s="28"/>
      <c r="H70" s="1"/>
      <c r="I70" s="1"/>
      <c r="J70" s="29"/>
      <c r="K70" s="1"/>
      <c r="L70" s="20" t="str">
        <f aca="false">IF(E70="","",IFERROR(INDEX(Settings!$D$13:$D$32,MATCH(E70,Settings!$A$13:$A$32,0)),0)*IF(F70="",1,F70))</f>
        <v/>
      </c>
      <c r="M70" s="20" t="str">
        <f aca="false">IF(L70="","",IF(I70="",L70,L70*(1-IF(J70="",Settings!$B$6,J70))))</f>
        <v/>
      </c>
      <c r="N70" s="20" t="str">
        <f aca="false">IF(OR(L70="",I70=""),"",L70-M70)</f>
        <v/>
      </c>
      <c r="O70" s="1"/>
    </row>
    <row r="71" customFormat="false" ht="15" hidden="false" customHeight="false" outlineLevel="0" collapsed="false">
      <c r="A71" s="27"/>
      <c r="B71" s="1"/>
      <c r="C71" s="24" t="str">
        <f aca="false">IF(B71="","",IFERROR(INDEX(Patients!$B$2:$B$501,MATCH(B71,Patients!$A$2:$A$501,0))&amp;"",""))</f>
        <v/>
      </c>
      <c r="D71" s="1"/>
      <c r="E71" s="1"/>
      <c r="F71" s="1"/>
      <c r="G71" s="28"/>
      <c r="H71" s="1"/>
      <c r="I71" s="1"/>
      <c r="J71" s="29"/>
      <c r="K71" s="1"/>
      <c r="L71" s="20" t="str">
        <f aca="false">IF(E71="","",IFERROR(INDEX(Settings!$D$13:$D$32,MATCH(E71,Settings!$A$13:$A$32,0)),0)*IF(F71="",1,F71))</f>
        <v/>
      </c>
      <c r="M71" s="20" t="str">
        <f aca="false">IF(L71="","",IF(I71="",L71,L71*(1-IF(J71="",Settings!$B$6,J71))))</f>
        <v/>
      </c>
      <c r="N71" s="20" t="str">
        <f aca="false">IF(OR(L71="",I71=""),"",L71-M71)</f>
        <v/>
      </c>
      <c r="O71" s="1"/>
    </row>
    <row r="72" customFormat="false" ht="15" hidden="false" customHeight="false" outlineLevel="0" collapsed="false">
      <c r="A72" s="27"/>
      <c r="B72" s="1"/>
      <c r="C72" s="24" t="str">
        <f aca="false">IF(B72="","",IFERROR(INDEX(Patients!$B$2:$B$501,MATCH(B72,Patients!$A$2:$A$501,0))&amp;"",""))</f>
        <v/>
      </c>
      <c r="D72" s="1"/>
      <c r="E72" s="1"/>
      <c r="F72" s="1"/>
      <c r="G72" s="28"/>
      <c r="H72" s="1"/>
      <c r="I72" s="1"/>
      <c r="J72" s="29"/>
      <c r="K72" s="1"/>
      <c r="L72" s="20" t="str">
        <f aca="false">IF(E72="","",IFERROR(INDEX(Settings!$D$13:$D$32,MATCH(E72,Settings!$A$13:$A$32,0)),0)*IF(F72="",1,F72))</f>
        <v/>
      </c>
      <c r="M72" s="20" t="str">
        <f aca="false">IF(L72="","",IF(I72="",L72,L72*(1-IF(J72="",Settings!$B$6,J72))))</f>
        <v/>
      </c>
      <c r="N72" s="20" t="str">
        <f aca="false">IF(OR(L72="",I72=""),"",L72-M72)</f>
        <v/>
      </c>
      <c r="O72" s="1"/>
    </row>
    <row r="73" customFormat="false" ht="15" hidden="false" customHeight="false" outlineLevel="0" collapsed="false">
      <c r="A73" s="27"/>
      <c r="B73" s="1"/>
      <c r="C73" s="24" t="str">
        <f aca="false">IF(B73="","",IFERROR(INDEX(Patients!$B$2:$B$501,MATCH(B73,Patients!$A$2:$A$501,0))&amp;"",""))</f>
        <v/>
      </c>
      <c r="D73" s="1"/>
      <c r="E73" s="1"/>
      <c r="F73" s="1"/>
      <c r="G73" s="28"/>
      <c r="H73" s="1"/>
      <c r="I73" s="1"/>
      <c r="J73" s="29"/>
      <c r="K73" s="1"/>
      <c r="L73" s="20" t="str">
        <f aca="false">IF(E73="","",IFERROR(INDEX(Settings!$D$13:$D$32,MATCH(E73,Settings!$A$13:$A$32,0)),0)*IF(F73="",1,F73))</f>
        <v/>
      </c>
      <c r="M73" s="20" t="str">
        <f aca="false">IF(L73="","",IF(I73="",L73,L73*(1-IF(J73="",Settings!$B$6,J73))))</f>
        <v/>
      </c>
      <c r="N73" s="20" t="str">
        <f aca="false">IF(OR(L73="",I73=""),"",L73-M73)</f>
        <v/>
      </c>
      <c r="O73" s="1"/>
    </row>
    <row r="74" customFormat="false" ht="15" hidden="false" customHeight="false" outlineLevel="0" collapsed="false">
      <c r="A74" s="27"/>
      <c r="B74" s="1"/>
      <c r="C74" s="24" t="str">
        <f aca="false">IF(B74="","",IFERROR(INDEX(Patients!$B$2:$B$501,MATCH(B74,Patients!$A$2:$A$501,0))&amp;"",""))</f>
        <v/>
      </c>
      <c r="D74" s="1"/>
      <c r="E74" s="1"/>
      <c r="F74" s="1"/>
      <c r="G74" s="28"/>
      <c r="H74" s="1"/>
      <c r="I74" s="1"/>
      <c r="J74" s="29"/>
      <c r="K74" s="1"/>
      <c r="L74" s="20" t="str">
        <f aca="false">IF(E74="","",IFERROR(INDEX(Settings!$D$13:$D$32,MATCH(E74,Settings!$A$13:$A$32,0)),0)*IF(F74="",1,F74))</f>
        <v/>
      </c>
      <c r="M74" s="20" t="str">
        <f aca="false">IF(L74="","",IF(I74="",L74,L74*(1-IF(J74="",Settings!$B$6,J74))))</f>
        <v/>
      </c>
      <c r="N74" s="20" t="str">
        <f aca="false">IF(OR(L74="",I74=""),"",L74-M74)</f>
        <v/>
      </c>
      <c r="O74" s="1"/>
    </row>
    <row r="75" customFormat="false" ht="15" hidden="false" customHeight="false" outlineLevel="0" collapsed="false">
      <c r="A75" s="27"/>
      <c r="B75" s="1"/>
      <c r="C75" s="24" t="str">
        <f aca="false">IF(B75="","",IFERROR(INDEX(Patients!$B$2:$B$501,MATCH(B75,Patients!$A$2:$A$501,0))&amp;"",""))</f>
        <v/>
      </c>
      <c r="D75" s="1"/>
      <c r="E75" s="1"/>
      <c r="F75" s="1"/>
      <c r="G75" s="28"/>
      <c r="H75" s="1"/>
      <c r="I75" s="1"/>
      <c r="J75" s="29"/>
      <c r="K75" s="1"/>
      <c r="L75" s="20" t="str">
        <f aca="false">IF(E75="","",IFERROR(INDEX(Settings!$D$13:$D$32,MATCH(E75,Settings!$A$13:$A$32,0)),0)*IF(F75="",1,F75))</f>
        <v/>
      </c>
      <c r="M75" s="20" t="str">
        <f aca="false">IF(L75="","",IF(I75="",L75,L75*(1-IF(J75="",Settings!$B$6,J75))))</f>
        <v/>
      </c>
      <c r="N75" s="20" t="str">
        <f aca="false">IF(OR(L75="",I75=""),"",L75-M75)</f>
        <v/>
      </c>
      <c r="O75" s="1"/>
    </row>
    <row r="76" customFormat="false" ht="15" hidden="false" customHeight="false" outlineLevel="0" collapsed="false">
      <c r="A76" s="27"/>
      <c r="B76" s="1"/>
      <c r="C76" s="24" t="str">
        <f aca="false">IF(B76="","",IFERROR(INDEX(Patients!$B$2:$B$501,MATCH(B76,Patients!$A$2:$A$501,0))&amp;"",""))</f>
        <v/>
      </c>
      <c r="D76" s="1"/>
      <c r="E76" s="1"/>
      <c r="F76" s="1"/>
      <c r="G76" s="28"/>
      <c r="H76" s="1"/>
      <c r="I76" s="1"/>
      <c r="J76" s="29"/>
      <c r="K76" s="1"/>
      <c r="L76" s="20" t="str">
        <f aca="false">IF(E76="","",IFERROR(INDEX(Settings!$D$13:$D$32,MATCH(E76,Settings!$A$13:$A$32,0)),0)*IF(F76="",1,F76))</f>
        <v/>
      </c>
      <c r="M76" s="20" t="str">
        <f aca="false">IF(L76="","",IF(I76="",L76,L76*(1-IF(J76="",Settings!$B$6,J76))))</f>
        <v/>
      </c>
      <c r="N76" s="20" t="str">
        <f aca="false">IF(OR(L76="",I76=""),"",L76-M76)</f>
        <v/>
      </c>
      <c r="O76" s="1"/>
    </row>
    <row r="77" customFormat="false" ht="15" hidden="false" customHeight="false" outlineLevel="0" collapsed="false">
      <c r="A77" s="27"/>
      <c r="B77" s="1"/>
      <c r="C77" s="24" t="str">
        <f aca="false">IF(B77="","",IFERROR(INDEX(Patients!$B$2:$B$501,MATCH(B77,Patients!$A$2:$A$501,0))&amp;"",""))</f>
        <v/>
      </c>
      <c r="D77" s="1"/>
      <c r="E77" s="1"/>
      <c r="F77" s="1"/>
      <c r="G77" s="28"/>
      <c r="H77" s="1"/>
      <c r="I77" s="1"/>
      <c r="J77" s="29"/>
      <c r="K77" s="1"/>
      <c r="L77" s="20" t="str">
        <f aca="false">IF(E77="","",IFERROR(INDEX(Settings!$D$13:$D$32,MATCH(E77,Settings!$A$13:$A$32,0)),0)*IF(F77="",1,F77))</f>
        <v/>
      </c>
      <c r="M77" s="20" t="str">
        <f aca="false">IF(L77="","",IF(I77="",L77,L77*(1-IF(J77="",Settings!$B$6,J77))))</f>
        <v/>
      </c>
      <c r="N77" s="20" t="str">
        <f aca="false">IF(OR(L77="",I77=""),"",L77-M77)</f>
        <v/>
      </c>
      <c r="O77" s="1"/>
    </row>
    <row r="78" customFormat="false" ht="15" hidden="false" customHeight="false" outlineLevel="0" collapsed="false">
      <c r="A78" s="27"/>
      <c r="B78" s="1"/>
      <c r="C78" s="24" t="str">
        <f aca="false">IF(B78="","",IFERROR(INDEX(Patients!$B$2:$B$501,MATCH(B78,Patients!$A$2:$A$501,0))&amp;"",""))</f>
        <v/>
      </c>
      <c r="D78" s="1"/>
      <c r="E78" s="1"/>
      <c r="F78" s="1"/>
      <c r="G78" s="28"/>
      <c r="H78" s="1"/>
      <c r="I78" s="1"/>
      <c r="J78" s="29"/>
      <c r="K78" s="1"/>
      <c r="L78" s="20" t="str">
        <f aca="false">IF(E78="","",IFERROR(INDEX(Settings!$D$13:$D$32,MATCH(E78,Settings!$A$13:$A$32,0)),0)*IF(F78="",1,F78))</f>
        <v/>
      </c>
      <c r="M78" s="20" t="str">
        <f aca="false">IF(L78="","",IF(I78="",L78,L78*(1-IF(J78="",Settings!$B$6,J78))))</f>
        <v/>
      </c>
      <c r="N78" s="20" t="str">
        <f aca="false">IF(OR(L78="",I78=""),"",L78-M78)</f>
        <v/>
      </c>
      <c r="O78" s="1"/>
    </row>
    <row r="79" customFormat="false" ht="15" hidden="false" customHeight="false" outlineLevel="0" collapsed="false">
      <c r="A79" s="27"/>
      <c r="B79" s="1"/>
      <c r="C79" s="24" t="str">
        <f aca="false">IF(B79="","",IFERROR(INDEX(Patients!$B$2:$B$501,MATCH(B79,Patients!$A$2:$A$501,0))&amp;"",""))</f>
        <v/>
      </c>
      <c r="D79" s="1"/>
      <c r="E79" s="1"/>
      <c r="F79" s="1"/>
      <c r="G79" s="28"/>
      <c r="H79" s="1"/>
      <c r="I79" s="1"/>
      <c r="J79" s="29"/>
      <c r="K79" s="1"/>
      <c r="L79" s="20" t="str">
        <f aca="false">IF(E79="","",IFERROR(INDEX(Settings!$D$13:$D$32,MATCH(E79,Settings!$A$13:$A$32,0)),0)*IF(F79="",1,F79))</f>
        <v/>
      </c>
      <c r="M79" s="20" t="str">
        <f aca="false">IF(L79="","",IF(I79="",L79,L79*(1-IF(J79="",Settings!$B$6,J79))))</f>
        <v/>
      </c>
      <c r="N79" s="20" t="str">
        <f aca="false">IF(OR(L79="",I79=""),"",L79-M79)</f>
        <v/>
      </c>
      <c r="O79" s="1"/>
    </row>
    <row r="80" customFormat="false" ht="15" hidden="false" customHeight="false" outlineLevel="0" collapsed="false">
      <c r="A80" s="27"/>
      <c r="B80" s="1"/>
      <c r="C80" s="24" t="str">
        <f aca="false">IF(B80="","",IFERROR(INDEX(Patients!$B$2:$B$501,MATCH(B80,Patients!$A$2:$A$501,0))&amp;"",""))</f>
        <v/>
      </c>
      <c r="D80" s="1"/>
      <c r="E80" s="1"/>
      <c r="F80" s="1"/>
      <c r="G80" s="28"/>
      <c r="H80" s="1"/>
      <c r="I80" s="1"/>
      <c r="J80" s="29"/>
      <c r="K80" s="1"/>
      <c r="L80" s="20" t="str">
        <f aca="false">IF(E80="","",IFERROR(INDEX(Settings!$D$13:$D$32,MATCH(E80,Settings!$A$13:$A$32,0)),0)*IF(F80="",1,F80))</f>
        <v/>
      </c>
      <c r="M80" s="20" t="str">
        <f aca="false">IF(L80="","",IF(I80="",L80,L80*(1-IF(J80="",Settings!$B$6,J80))))</f>
        <v/>
      </c>
      <c r="N80" s="20" t="str">
        <f aca="false">IF(OR(L80="",I80=""),"",L80-M80)</f>
        <v/>
      </c>
      <c r="O80" s="1"/>
    </row>
    <row r="81" customFormat="false" ht="15" hidden="false" customHeight="false" outlineLevel="0" collapsed="false">
      <c r="A81" s="27"/>
      <c r="B81" s="1"/>
      <c r="C81" s="24" t="str">
        <f aca="false">IF(B81="","",IFERROR(INDEX(Patients!$B$2:$B$501,MATCH(B81,Patients!$A$2:$A$501,0))&amp;"",""))</f>
        <v/>
      </c>
      <c r="D81" s="1"/>
      <c r="E81" s="1"/>
      <c r="F81" s="1"/>
      <c r="G81" s="28"/>
      <c r="H81" s="1"/>
      <c r="I81" s="1"/>
      <c r="J81" s="29"/>
      <c r="K81" s="1"/>
      <c r="L81" s="20" t="str">
        <f aca="false">IF(E81="","",IFERROR(INDEX(Settings!$D$13:$D$32,MATCH(E81,Settings!$A$13:$A$32,0)),0)*IF(F81="",1,F81))</f>
        <v/>
      </c>
      <c r="M81" s="20" t="str">
        <f aca="false">IF(L81="","",IF(I81="",L81,L81*(1-IF(J81="",Settings!$B$6,J81))))</f>
        <v/>
      </c>
      <c r="N81" s="20" t="str">
        <f aca="false">IF(OR(L81="",I81=""),"",L81-M81)</f>
        <v/>
      </c>
      <c r="O81" s="1"/>
    </row>
    <row r="82" customFormat="false" ht="15" hidden="false" customHeight="false" outlineLevel="0" collapsed="false">
      <c r="A82" s="27"/>
      <c r="B82" s="1"/>
      <c r="C82" s="24" t="str">
        <f aca="false">IF(B82="","",IFERROR(INDEX(Patients!$B$2:$B$501,MATCH(B82,Patients!$A$2:$A$501,0))&amp;"",""))</f>
        <v/>
      </c>
      <c r="D82" s="1"/>
      <c r="E82" s="1"/>
      <c r="F82" s="1"/>
      <c r="G82" s="28"/>
      <c r="H82" s="1"/>
      <c r="I82" s="1"/>
      <c r="J82" s="29"/>
      <c r="K82" s="1"/>
      <c r="L82" s="20" t="str">
        <f aca="false">IF(E82="","",IFERROR(INDEX(Settings!$D$13:$D$32,MATCH(E82,Settings!$A$13:$A$32,0)),0)*IF(F82="",1,F82))</f>
        <v/>
      </c>
      <c r="M82" s="20" t="str">
        <f aca="false">IF(L82="","",IF(I82="",L82,L82*(1-IF(J82="",Settings!$B$6,J82))))</f>
        <v/>
      </c>
      <c r="N82" s="20" t="str">
        <f aca="false">IF(OR(L82="",I82=""),"",L82-M82)</f>
        <v/>
      </c>
      <c r="O82" s="1"/>
    </row>
    <row r="83" customFormat="false" ht="15" hidden="false" customHeight="false" outlineLevel="0" collapsed="false">
      <c r="A83" s="27"/>
      <c r="B83" s="1"/>
      <c r="C83" s="24" t="str">
        <f aca="false">IF(B83="","",IFERROR(INDEX(Patients!$B$2:$B$501,MATCH(B83,Patients!$A$2:$A$501,0))&amp;"",""))</f>
        <v/>
      </c>
      <c r="D83" s="1"/>
      <c r="E83" s="1"/>
      <c r="F83" s="1"/>
      <c r="G83" s="28"/>
      <c r="H83" s="1"/>
      <c r="I83" s="1"/>
      <c r="J83" s="29"/>
      <c r="K83" s="1"/>
      <c r="L83" s="20" t="str">
        <f aca="false">IF(E83="","",IFERROR(INDEX(Settings!$D$13:$D$32,MATCH(E83,Settings!$A$13:$A$32,0)),0)*IF(F83="",1,F83))</f>
        <v/>
      </c>
      <c r="M83" s="20" t="str">
        <f aca="false">IF(L83="","",IF(I83="",L83,L83*(1-IF(J83="",Settings!$B$6,J83))))</f>
        <v/>
      </c>
      <c r="N83" s="20" t="str">
        <f aca="false">IF(OR(L83="",I83=""),"",L83-M83)</f>
        <v/>
      </c>
      <c r="O83" s="1"/>
    </row>
    <row r="84" customFormat="false" ht="15" hidden="false" customHeight="false" outlineLevel="0" collapsed="false">
      <c r="A84" s="27"/>
      <c r="B84" s="1"/>
      <c r="C84" s="24" t="str">
        <f aca="false">IF(B84="","",IFERROR(INDEX(Patients!$B$2:$B$501,MATCH(B84,Patients!$A$2:$A$501,0))&amp;"",""))</f>
        <v/>
      </c>
      <c r="D84" s="1"/>
      <c r="E84" s="1"/>
      <c r="F84" s="1"/>
      <c r="G84" s="28"/>
      <c r="H84" s="1"/>
      <c r="I84" s="1"/>
      <c r="J84" s="29"/>
      <c r="K84" s="1"/>
      <c r="L84" s="20" t="str">
        <f aca="false">IF(E84="","",IFERROR(INDEX(Settings!$D$13:$D$32,MATCH(E84,Settings!$A$13:$A$32,0)),0)*IF(F84="",1,F84))</f>
        <v/>
      </c>
      <c r="M84" s="20" t="str">
        <f aca="false">IF(L84="","",IF(I84="",L84,L84*(1-IF(J84="",Settings!$B$6,J84))))</f>
        <v/>
      </c>
      <c r="N84" s="20" t="str">
        <f aca="false">IF(OR(L84="",I84=""),"",L84-M84)</f>
        <v/>
      </c>
      <c r="O84" s="1"/>
    </row>
    <row r="85" customFormat="false" ht="15" hidden="false" customHeight="false" outlineLevel="0" collapsed="false">
      <c r="A85" s="27"/>
      <c r="B85" s="1"/>
      <c r="C85" s="24" t="str">
        <f aca="false">IF(B85="","",IFERROR(INDEX(Patients!$B$2:$B$501,MATCH(B85,Patients!$A$2:$A$501,0))&amp;"",""))</f>
        <v/>
      </c>
      <c r="D85" s="1"/>
      <c r="E85" s="1"/>
      <c r="F85" s="1"/>
      <c r="G85" s="28"/>
      <c r="H85" s="1"/>
      <c r="I85" s="1"/>
      <c r="J85" s="29"/>
      <c r="K85" s="1"/>
      <c r="L85" s="20" t="str">
        <f aca="false">IF(E85="","",IFERROR(INDEX(Settings!$D$13:$D$32,MATCH(E85,Settings!$A$13:$A$32,0)),0)*IF(F85="",1,F85))</f>
        <v/>
      </c>
      <c r="M85" s="20" t="str">
        <f aca="false">IF(L85="","",IF(I85="",L85,L85*(1-IF(J85="",Settings!$B$6,J85))))</f>
        <v/>
      </c>
      <c r="N85" s="20" t="str">
        <f aca="false">IF(OR(L85="",I85=""),"",L85-M85)</f>
        <v/>
      </c>
      <c r="O85" s="1"/>
    </row>
    <row r="86" customFormat="false" ht="15" hidden="false" customHeight="false" outlineLevel="0" collapsed="false">
      <c r="A86" s="27"/>
      <c r="B86" s="1"/>
      <c r="C86" s="24" t="str">
        <f aca="false">IF(B86="","",IFERROR(INDEX(Patients!$B$2:$B$501,MATCH(B86,Patients!$A$2:$A$501,0))&amp;"",""))</f>
        <v/>
      </c>
      <c r="D86" s="1"/>
      <c r="E86" s="1"/>
      <c r="F86" s="1"/>
      <c r="G86" s="28"/>
      <c r="H86" s="1"/>
      <c r="I86" s="1"/>
      <c r="J86" s="29"/>
      <c r="K86" s="1"/>
      <c r="L86" s="20" t="str">
        <f aca="false">IF(E86="","",IFERROR(INDEX(Settings!$D$13:$D$32,MATCH(E86,Settings!$A$13:$A$32,0)),0)*IF(F86="",1,F86))</f>
        <v/>
      </c>
      <c r="M86" s="20" t="str">
        <f aca="false">IF(L86="","",IF(I86="",L86,L86*(1-IF(J86="",Settings!$B$6,J86))))</f>
        <v/>
      </c>
      <c r="N86" s="20" t="str">
        <f aca="false">IF(OR(L86="",I86=""),"",L86-M86)</f>
        <v/>
      </c>
      <c r="O86" s="1"/>
    </row>
    <row r="87" customFormat="false" ht="15" hidden="false" customHeight="false" outlineLevel="0" collapsed="false">
      <c r="A87" s="27"/>
      <c r="B87" s="1"/>
      <c r="C87" s="24" t="str">
        <f aca="false">IF(B87="","",IFERROR(INDEX(Patients!$B$2:$B$501,MATCH(B87,Patients!$A$2:$A$501,0))&amp;"",""))</f>
        <v/>
      </c>
      <c r="D87" s="1"/>
      <c r="E87" s="1"/>
      <c r="F87" s="1"/>
      <c r="G87" s="28"/>
      <c r="H87" s="1"/>
      <c r="I87" s="1"/>
      <c r="J87" s="29"/>
      <c r="K87" s="1"/>
      <c r="L87" s="20" t="str">
        <f aca="false">IF(E87="","",IFERROR(INDEX(Settings!$D$13:$D$32,MATCH(E87,Settings!$A$13:$A$32,0)),0)*IF(F87="",1,F87))</f>
        <v/>
      </c>
      <c r="M87" s="20" t="str">
        <f aca="false">IF(L87="","",IF(I87="",L87,L87*(1-IF(J87="",Settings!$B$6,J87))))</f>
        <v/>
      </c>
      <c r="N87" s="20" t="str">
        <f aca="false">IF(OR(L87="",I87=""),"",L87-M87)</f>
        <v/>
      </c>
      <c r="O87" s="1"/>
    </row>
    <row r="88" customFormat="false" ht="15" hidden="false" customHeight="false" outlineLevel="0" collapsed="false">
      <c r="A88" s="27"/>
      <c r="B88" s="1"/>
      <c r="C88" s="24" t="str">
        <f aca="false">IF(B88="","",IFERROR(INDEX(Patients!$B$2:$B$501,MATCH(B88,Patients!$A$2:$A$501,0))&amp;"",""))</f>
        <v/>
      </c>
      <c r="D88" s="1"/>
      <c r="E88" s="1"/>
      <c r="F88" s="1"/>
      <c r="G88" s="28"/>
      <c r="H88" s="1"/>
      <c r="I88" s="1"/>
      <c r="J88" s="29"/>
      <c r="K88" s="1"/>
      <c r="L88" s="20" t="str">
        <f aca="false">IF(E88="","",IFERROR(INDEX(Settings!$D$13:$D$32,MATCH(E88,Settings!$A$13:$A$32,0)),0)*IF(F88="",1,F88))</f>
        <v/>
      </c>
      <c r="M88" s="20" t="str">
        <f aca="false">IF(L88="","",IF(I88="",L88,L88*(1-IF(J88="",Settings!$B$6,J88))))</f>
        <v/>
      </c>
      <c r="N88" s="20" t="str">
        <f aca="false">IF(OR(L88="",I88=""),"",L88-M88)</f>
        <v/>
      </c>
      <c r="O88" s="1"/>
    </row>
    <row r="89" customFormat="false" ht="15" hidden="false" customHeight="false" outlineLevel="0" collapsed="false">
      <c r="A89" s="27"/>
      <c r="B89" s="1"/>
      <c r="C89" s="24" t="str">
        <f aca="false">IF(B89="","",IFERROR(INDEX(Patients!$B$2:$B$501,MATCH(B89,Patients!$A$2:$A$501,0))&amp;"",""))</f>
        <v/>
      </c>
      <c r="D89" s="1"/>
      <c r="E89" s="1"/>
      <c r="F89" s="1"/>
      <c r="G89" s="28"/>
      <c r="H89" s="1"/>
      <c r="I89" s="1"/>
      <c r="J89" s="29"/>
      <c r="K89" s="1"/>
      <c r="L89" s="20" t="str">
        <f aca="false">IF(E89="","",IFERROR(INDEX(Settings!$D$13:$D$32,MATCH(E89,Settings!$A$13:$A$32,0)),0)*IF(F89="",1,F89))</f>
        <v/>
      </c>
      <c r="M89" s="20" t="str">
        <f aca="false">IF(L89="","",IF(I89="",L89,L89*(1-IF(J89="",Settings!$B$6,J89))))</f>
        <v/>
      </c>
      <c r="N89" s="20" t="str">
        <f aca="false">IF(OR(L89="",I89=""),"",L89-M89)</f>
        <v/>
      </c>
      <c r="O89" s="1"/>
    </row>
    <row r="90" customFormat="false" ht="15" hidden="false" customHeight="false" outlineLevel="0" collapsed="false">
      <c r="A90" s="27"/>
      <c r="B90" s="1"/>
      <c r="C90" s="24" t="str">
        <f aca="false">IF(B90="","",IFERROR(INDEX(Patients!$B$2:$B$501,MATCH(B90,Patients!$A$2:$A$501,0))&amp;"",""))</f>
        <v/>
      </c>
      <c r="D90" s="1"/>
      <c r="E90" s="1"/>
      <c r="F90" s="1"/>
      <c r="G90" s="28"/>
      <c r="H90" s="1"/>
      <c r="I90" s="1"/>
      <c r="J90" s="29"/>
      <c r="K90" s="1"/>
      <c r="L90" s="20" t="str">
        <f aca="false">IF(E90="","",IFERROR(INDEX(Settings!$D$13:$D$32,MATCH(E90,Settings!$A$13:$A$32,0)),0)*IF(F90="",1,F90))</f>
        <v/>
      </c>
      <c r="M90" s="20" t="str">
        <f aca="false">IF(L90="","",IF(I90="",L90,L90*(1-IF(J90="",Settings!$B$6,J90))))</f>
        <v/>
      </c>
      <c r="N90" s="20" t="str">
        <f aca="false">IF(OR(L90="",I90=""),"",L90-M90)</f>
        <v/>
      </c>
      <c r="O90" s="1"/>
    </row>
    <row r="91" customFormat="false" ht="15" hidden="false" customHeight="false" outlineLevel="0" collapsed="false">
      <c r="A91" s="27"/>
      <c r="B91" s="1"/>
      <c r="C91" s="24" t="str">
        <f aca="false">IF(B91="","",IFERROR(INDEX(Patients!$B$2:$B$501,MATCH(B91,Patients!$A$2:$A$501,0))&amp;"",""))</f>
        <v/>
      </c>
      <c r="D91" s="1"/>
      <c r="E91" s="1"/>
      <c r="F91" s="1"/>
      <c r="G91" s="28"/>
      <c r="H91" s="1"/>
      <c r="I91" s="1"/>
      <c r="J91" s="29"/>
      <c r="K91" s="1"/>
      <c r="L91" s="20" t="str">
        <f aca="false">IF(E91="","",IFERROR(INDEX(Settings!$D$13:$D$32,MATCH(E91,Settings!$A$13:$A$32,0)),0)*IF(F91="",1,F91))</f>
        <v/>
      </c>
      <c r="M91" s="20" t="str">
        <f aca="false">IF(L91="","",IF(I91="",L91,L91*(1-IF(J91="",Settings!$B$6,J91))))</f>
        <v/>
      </c>
      <c r="N91" s="20" t="str">
        <f aca="false">IF(OR(L91="",I91=""),"",L91-M91)</f>
        <v/>
      </c>
      <c r="O91" s="1"/>
    </row>
    <row r="92" customFormat="false" ht="15" hidden="false" customHeight="false" outlineLevel="0" collapsed="false">
      <c r="A92" s="27"/>
      <c r="B92" s="1"/>
      <c r="C92" s="24" t="str">
        <f aca="false">IF(B92="","",IFERROR(INDEX(Patients!$B$2:$B$501,MATCH(B92,Patients!$A$2:$A$501,0))&amp;"",""))</f>
        <v/>
      </c>
      <c r="D92" s="1"/>
      <c r="E92" s="1"/>
      <c r="F92" s="1"/>
      <c r="G92" s="28"/>
      <c r="H92" s="1"/>
      <c r="I92" s="1"/>
      <c r="J92" s="29"/>
      <c r="K92" s="1"/>
      <c r="L92" s="20" t="str">
        <f aca="false">IF(E92="","",IFERROR(INDEX(Settings!$D$13:$D$32,MATCH(E92,Settings!$A$13:$A$32,0)),0)*IF(F92="",1,F92))</f>
        <v/>
      </c>
      <c r="M92" s="20" t="str">
        <f aca="false">IF(L92="","",IF(I92="",L92,L92*(1-IF(J92="",Settings!$B$6,J92))))</f>
        <v/>
      </c>
      <c r="N92" s="20" t="str">
        <f aca="false">IF(OR(L92="",I92=""),"",L92-M92)</f>
        <v/>
      </c>
      <c r="O92" s="1"/>
    </row>
    <row r="93" customFormat="false" ht="15" hidden="false" customHeight="false" outlineLevel="0" collapsed="false">
      <c r="A93" s="27"/>
      <c r="B93" s="1"/>
      <c r="C93" s="24" t="str">
        <f aca="false">IF(B93="","",IFERROR(INDEX(Patients!$B$2:$B$501,MATCH(B93,Patients!$A$2:$A$501,0))&amp;"",""))</f>
        <v/>
      </c>
      <c r="D93" s="1"/>
      <c r="E93" s="1"/>
      <c r="F93" s="1"/>
      <c r="G93" s="28"/>
      <c r="H93" s="1"/>
      <c r="I93" s="1"/>
      <c r="J93" s="29"/>
      <c r="K93" s="1"/>
      <c r="L93" s="20" t="str">
        <f aca="false">IF(E93="","",IFERROR(INDEX(Settings!$D$13:$D$32,MATCH(E93,Settings!$A$13:$A$32,0)),0)*IF(F93="",1,F93))</f>
        <v/>
      </c>
      <c r="M93" s="20" t="str">
        <f aca="false">IF(L93="","",IF(I93="",L93,L93*(1-IF(J93="",Settings!$B$6,J93))))</f>
        <v/>
      </c>
      <c r="N93" s="20" t="str">
        <f aca="false">IF(OR(L93="",I93=""),"",L93-M93)</f>
        <v/>
      </c>
      <c r="O93" s="1"/>
    </row>
    <row r="94" customFormat="false" ht="15" hidden="false" customHeight="false" outlineLevel="0" collapsed="false">
      <c r="A94" s="27"/>
      <c r="B94" s="1"/>
      <c r="C94" s="24" t="str">
        <f aca="false">IF(B94="","",IFERROR(INDEX(Patients!$B$2:$B$501,MATCH(B94,Patients!$A$2:$A$501,0))&amp;"",""))</f>
        <v/>
      </c>
      <c r="D94" s="1"/>
      <c r="E94" s="1"/>
      <c r="F94" s="1"/>
      <c r="G94" s="28"/>
      <c r="H94" s="1"/>
      <c r="I94" s="1"/>
      <c r="J94" s="29"/>
      <c r="K94" s="1"/>
      <c r="L94" s="20" t="str">
        <f aca="false">IF(E94="","",IFERROR(INDEX(Settings!$D$13:$D$32,MATCH(E94,Settings!$A$13:$A$32,0)),0)*IF(F94="",1,F94))</f>
        <v/>
      </c>
      <c r="M94" s="20" t="str">
        <f aca="false">IF(L94="","",IF(I94="",L94,L94*(1-IF(J94="",Settings!$B$6,J94))))</f>
        <v/>
      </c>
      <c r="N94" s="20" t="str">
        <f aca="false">IF(OR(L94="",I94=""),"",L94-M94)</f>
        <v/>
      </c>
      <c r="O94" s="1"/>
    </row>
    <row r="95" customFormat="false" ht="15" hidden="false" customHeight="false" outlineLevel="0" collapsed="false">
      <c r="A95" s="27"/>
      <c r="B95" s="1"/>
      <c r="C95" s="24" t="str">
        <f aca="false">IF(B95="","",IFERROR(INDEX(Patients!$B$2:$B$501,MATCH(B95,Patients!$A$2:$A$501,0))&amp;"",""))</f>
        <v/>
      </c>
      <c r="D95" s="1"/>
      <c r="E95" s="1"/>
      <c r="F95" s="1"/>
      <c r="G95" s="28"/>
      <c r="H95" s="1"/>
      <c r="I95" s="1"/>
      <c r="J95" s="29"/>
      <c r="K95" s="1"/>
      <c r="L95" s="20" t="str">
        <f aca="false">IF(E95="","",IFERROR(INDEX(Settings!$D$13:$D$32,MATCH(E95,Settings!$A$13:$A$32,0)),0)*IF(F95="",1,F95))</f>
        <v/>
      </c>
      <c r="M95" s="20" t="str">
        <f aca="false">IF(L95="","",IF(I95="",L95,L95*(1-IF(J95="",Settings!$B$6,J95))))</f>
        <v/>
      </c>
      <c r="N95" s="20" t="str">
        <f aca="false">IF(OR(L95="",I95=""),"",L95-M95)</f>
        <v/>
      </c>
      <c r="O95" s="1"/>
    </row>
    <row r="96" customFormat="false" ht="15" hidden="false" customHeight="false" outlineLevel="0" collapsed="false">
      <c r="A96" s="27"/>
      <c r="B96" s="1"/>
      <c r="C96" s="24" t="str">
        <f aca="false">IF(B96="","",IFERROR(INDEX(Patients!$B$2:$B$501,MATCH(B96,Patients!$A$2:$A$501,0))&amp;"",""))</f>
        <v/>
      </c>
      <c r="D96" s="1"/>
      <c r="E96" s="1"/>
      <c r="F96" s="1"/>
      <c r="G96" s="28"/>
      <c r="H96" s="1"/>
      <c r="I96" s="1"/>
      <c r="J96" s="29"/>
      <c r="K96" s="1"/>
      <c r="L96" s="20" t="str">
        <f aca="false">IF(E96="","",IFERROR(INDEX(Settings!$D$13:$D$32,MATCH(E96,Settings!$A$13:$A$32,0)),0)*IF(F96="",1,F96))</f>
        <v/>
      </c>
      <c r="M96" s="20" t="str">
        <f aca="false">IF(L96="","",IF(I96="",L96,L96*(1-IF(J96="",Settings!$B$6,J96))))</f>
        <v/>
      </c>
      <c r="N96" s="20" t="str">
        <f aca="false">IF(OR(L96="",I96=""),"",L96-M96)</f>
        <v/>
      </c>
      <c r="O96" s="1"/>
    </row>
    <row r="97" customFormat="false" ht="15" hidden="false" customHeight="false" outlineLevel="0" collapsed="false">
      <c r="A97" s="27"/>
      <c r="B97" s="1"/>
      <c r="C97" s="24" t="str">
        <f aca="false">IF(B97="","",IFERROR(INDEX(Patients!$B$2:$B$501,MATCH(B97,Patients!$A$2:$A$501,0))&amp;"",""))</f>
        <v/>
      </c>
      <c r="D97" s="1"/>
      <c r="E97" s="1"/>
      <c r="F97" s="1"/>
      <c r="G97" s="28"/>
      <c r="H97" s="1"/>
      <c r="I97" s="1"/>
      <c r="J97" s="29"/>
      <c r="K97" s="1"/>
      <c r="L97" s="20" t="str">
        <f aca="false">IF(E97="","",IFERROR(INDEX(Settings!$D$13:$D$32,MATCH(E97,Settings!$A$13:$A$32,0)),0)*IF(F97="",1,F97))</f>
        <v/>
      </c>
      <c r="M97" s="20" t="str">
        <f aca="false">IF(L97="","",IF(I97="",L97,L97*(1-IF(J97="",Settings!$B$6,J97))))</f>
        <v/>
      </c>
      <c r="N97" s="20" t="str">
        <f aca="false">IF(OR(L97="",I97=""),"",L97-M97)</f>
        <v/>
      </c>
      <c r="O97" s="1"/>
    </row>
    <row r="98" customFormat="false" ht="15" hidden="false" customHeight="false" outlineLevel="0" collapsed="false">
      <c r="A98" s="27"/>
      <c r="B98" s="1"/>
      <c r="C98" s="24" t="str">
        <f aca="false">IF(B98="","",IFERROR(INDEX(Patients!$B$2:$B$501,MATCH(B98,Patients!$A$2:$A$501,0))&amp;"",""))</f>
        <v/>
      </c>
      <c r="D98" s="1"/>
      <c r="E98" s="1"/>
      <c r="F98" s="1"/>
      <c r="G98" s="28"/>
      <c r="H98" s="1"/>
      <c r="I98" s="1"/>
      <c r="J98" s="29"/>
      <c r="K98" s="1"/>
      <c r="L98" s="20" t="str">
        <f aca="false">IF(E98="","",IFERROR(INDEX(Settings!$D$13:$D$32,MATCH(E98,Settings!$A$13:$A$32,0)),0)*IF(F98="",1,F98))</f>
        <v/>
      </c>
      <c r="M98" s="20" t="str">
        <f aca="false">IF(L98="","",IF(I98="",L98,L98*(1-IF(J98="",Settings!$B$6,J98))))</f>
        <v/>
      </c>
      <c r="N98" s="20" t="str">
        <f aca="false">IF(OR(L98="",I98=""),"",L98-M98)</f>
        <v/>
      </c>
      <c r="O98" s="1"/>
    </row>
    <row r="99" customFormat="false" ht="15" hidden="false" customHeight="false" outlineLevel="0" collapsed="false">
      <c r="A99" s="27"/>
      <c r="B99" s="1"/>
      <c r="C99" s="24" t="str">
        <f aca="false">IF(B99="","",IFERROR(INDEX(Patients!$B$2:$B$501,MATCH(B99,Patients!$A$2:$A$501,0))&amp;"",""))</f>
        <v/>
      </c>
      <c r="D99" s="1"/>
      <c r="E99" s="1"/>
      <c r="F99" s="1"/>
      <c r="G99" s="28"/>
      <c r="H99" s="1"/>
      <c r="I99" s="1"/>
      <c r="J99" s="29"/>
      <c r="K99" s="1"/>
      <c r="L99" s="20" t="str">
        <f aca="false">IF(E99="","",IFERROR(INDEX(Settings!$D$13:$D$32,MATCH(E99,Settings!$A$13:$A$32,0)),0)*IF(F99="",1,F99))</f>
        <v/>
      </c>
      <c r="M99" s="20" t="str">
        <f aca="false">IF(L99="","",IF(I99="",L99,L99*(1-IF(J99="",Settings!$B$6,J99))))</f>
        <v/>
      </c>
      <c r="N99" s="20" t="str">
        <f aca="false">IF(OR(L99="",I99=""),"",L99-M99)</f>
        <v/>
      </c>
      <c r="O99" s="1"/>
    </row>
    <row r="100" customFormat="false" ht="15" hidden="false" customHeight="false" outlineLevel="0" collapsed="false">
      <c r="A100" s="27"/>
      <c r="B100" s="1"/>
      <c r="C100" s="24" t="str">
        <f aca="false">IF(B100="","",IFERROR(INDEX(Patients!$B$2:$B$501,MATCH(B100,Patients!$A$2:$A$501,0))&amp;"",""))</f>
        <v/>
      </c>
      <c r="D100" s="1"/>
      <c r="E100" s="1"/>
      <c r="F100" s="1"/>
      <c r="G100" s="28"/>
      <c r="H100" s="1"/>
      <c r="I100" s="1"/>
      <c r="J100" s="29"/>
      <c r="K100" s="1"/>
      <c r="L100" s="20" t="str">
        <f aca="false">IF(E100="","",IFERROR(INDEX(Settings!$D$13:$D$32,MATCH(E100,Settings!$A$13:$A$32,0)),0)*IF(F100="",1,F100))</f>
        <v/>
      </c>
      <c r="M100" s="20" t="str">
        <f aca="false">IF(L100="","",IF(I100="",L100,L100*(1-IF(J100="",Settings!$B$6,J100))))</f>
        <v/>
      </c>
      <c r="N100" s="20" t="str">
        <f aca="false">IF(OR(L100="",I100=""),"",L100-M100)</f>
        <v/>
      </c>
      <c r="O100" s="1"/>
    </row>
    <row r="101" customFormat="false" ht="15" hidden="false" customHeight="false" outlineLevel="0" collapsed="false">
      <c r="A101" s="27"/>
      <c r="B101" s="1"/>
      <c r="C101" s="24" t="str">
        <f aca="false">IF(B101="","",IFERROR(INDEX(Patients!$B$2:$B$501,MATCH(B101,Patients!$A$2:$A$501,0))&amp;"",""))</f>
        <v/>
      </c>
      <c r="D101" s="1"/>
      <c r="E101" s="1"/>
      <c r="F101" s="1"/>
      <c r="G101" s="28"/>
      <c r="H101" s="1"/>
      <c r="I101" s="1"/>
      <c r="J101" s="29"/>
      <c r="K101" s="1"/>
      <c r="L101" s="20" t="str">
        <f aca="false">IF(E101="","",IFERROR(INDEX(Settings!$D$13:$D$32,MATCH(E101,Settings!$A$13:$A$32,0)),0)*IF(F101="",1,F101))</f>
        <v/>
      </c>
      <c r="M101" s="20" t="str">
        <f aca="false">IF(L101="","",IF(I101="",L101,L101*(1-IF(J101="",Settings!$B$6,J101))))</f>
        <v/>
      </c>
      <c r="N101" s="20" t="str">
        <f aca="false">IF(OR(L101="",I101=""),"",L101-M101)</f>
        <v/>
      </c>
      <c r="O101" s="1"/>
    </row>
    <row r="102" customFormat="false" ht="15" hidden="false" customHeight="false" outlineLevel="0" collapsed="false">
      <c r="A102" s="27"/>
      <c r="B102" s="1"/>
      <c r="C102" s="24" t="str">
        <f aca="false">IF(B102="","",IFERROR(INDEX(Patients!$B$2:$B$501,MATCH(B102,Patients!$A$2:$A$501,0))&amp;"",""))</f>
        <v/>
      </c>
      <c r="D102" s="1"/>
      <c r="E102" s="1"/>
      <c r="F102" s="1"/>
      <c r="G102" s="28"/>
      <c r="H102" s="1"/>
      <c r="I102" s="1"/>
      <c r="J102" s="29"/>
      <c r="K102" s="1"/>
      <c r="L102" s="20" t="str">
        <f aca="false">IF(E102="","",IFERROR(INDEX(Settings!$D$13:$D$32,MATCH(E102,Settings!$A$13:$A$32,0)),0)*IF(F102="",1,F102))</f>
        <v/>
      </c>
      <c r="M102" s="20" t="str">
        <f aca="false">IF(L102="","",IF(I102="",L102,L102*(1-IF(J102="",Settings!$B$6,J102))))</f>
        <v/>
      </c>
      <c r="N102" s="20" t="str">
        <f aca="false">IF(OR(L102="",I102=""),"",L102-M102)</f>
        <v/>
      </c>
      <c r="O102" s="1"/>
    </row>
    <row r="103" customFormat="false" ht="15" hidden="false" customHeight="false" outlineLevel="0" collapsed="false">
      <c r="A103" s="27"/>
      <c r="B103" s="1"/>
      <c r="C103" s="24" t="str">
        <f aca="false">IF(B103="","",IFERROR(INDEX(Patients!$B$2:$B$501,MATCH(B103,Patients!$A$2:$A$501,0))&amp;"",""))</f>
        <v/>
      </c>
      <c r="D103" s="1"/>
      <c r="E103" s="1"/>
      <c r="F103" s="1"/>
      <c r="G103" s="28"/>
      <c r="H103" s="1"/>
      <c r="I103" s="1"/>
      <c r="J103" s="29"/>
      <c r="K103" s="1"/>
      <c r="L103" s="20" t="str">
        <f aca="false">IF(E103="","",IFERROR(INDEX(Settings!$D$13:$D$32,MATCH(E103,Settings!$A$13:$A$32,0)),0)*IF(F103="",1,F103))</f>
        <v/>
      </c>
      <c r="M103" s="20" t="str">
        <f aca="false">IF(L103="","",IF(I103="",L103,L103*(1-IF(J103="",Settings!$B$6,J103))))</f>
        <v/>
      </c>
      <c r="N103" s="20" t="str">
        <f aca="false">IF(OR(L103="",I103=""),"",L103-M103)</f>
        <v/>
      </c>
      <c r="O103" s="1"/>
    </row>
    <row r="104" customFormat="false" ht="15" hidden="false" customHeight="false" outlineLevel="0" collapsed="false">
      <c r="A104" s="27"/>
      <c r="B104" s="1"/>
      <c r="C104" s="24" t="str">
        <f aca="false">IF(B104="","",IFERROR(INDEX(Patients!$B$2:$B$501,MATCH(B104,Patients!$A$2:$A$501,0))&amp;"",""))</f>
        <v/>
      </c>
      <c r="D104" s="1"/>
      <c r="E104" s="1"/>
      <c r="F104" s="1"/>
      <c r="G104" s="28"/>
      <c r="H104" s="1"/>
      <c r="I104" s="1"/>
      <c r="J104" s="29"/>
      <c r="K104" s="1"/>
      <c r="L104" s="20" t="str">
        <f aca="false">IF(E104="","",IFERROR(INDEX(Settings!$D$13:$D$32,MATCH(E104,Settings!$A$13:$A$32,0)),0)*IF(F104="",1,F104))</f>
        <v/>
      </c>
      <c r="M104" s="20" t="str">
        <f aca="false">IF(L104="","",IF(I104="",L104,L104*(1-IF(J104="",Settings!$B$6,J104))))</f>
        <v/>
      </c>
      <c r="N104" s="20" t="str">
        <f aca="false">IF(OR(L104="",I104=""),"",L104-M104)</f>
        <v/>
      </c>
      <c r="O104" s="1"/>
    </row>
    <row r="105" customFormat="false" ht="15" hidden="false" customHeight="false" outlineLevel="0" collapsed="false">
      <c r="A105" s="27"/>
      <c r="B105" s="1"/>
      <c r="C105" s="24" t="str">
        <f aca="false">IF(B105="","",IFERROR(INDEX(Patients!$B$2:$B$501,MATCH(B105,Patients!$A$2:$A$501,0))&amp;"",""))</f>
        <v/>
      </c>
      <c r="D105" s="1"/>
      <c r="E105" s="1"/>
      <c r="F105" s="1"/>
      <c r="G105" s="28"/>
      <c r="H105" s="1"/>
      <c r="I105" s="1"/>
      <c r="J105" s="29"/>
      <c r="K105" s="1"/>
      <c r="L105" s="20" t="str">
        <f aca="false">IF(E105="","",IFERROR(INDEX(Settings!$D$13:$D$32,MATCH(E105,Settings!$A$13:$A$32,0)),0)*IF(F105="",1,F105))</f>
        <v/>
      </c>
      <c r="M105" s="20" t="str">
        <f aca="false">IF(L105="","",IF(I105="",L105,L105*(1-IF(J105="",Settings!$B$6,J105))))</f>
        <v/>
      </c>
      <c r="N105" s="20" t="str">
        <f aca="false">IF(OR(L105="",I105=""),"",L105-M105)</f>
        <v/>
      </c>
      <c r="O105" s="1"/>
    </row>
    <row r="106" customFormat="false" ht="15" hidden="false" customHeight="false" outlineLevel="0" collapsed="false">
      <c r="A106" s="27"/>
      <c r="B106" s="1"/>
      <c r="C106" s="24" t="str">
        <f aca="false">IF(B106="","",IFERROR(INDEX(Patients!$B$2:$B$501,MATCH(B106,Patients!$A$2:$A$501,0))&amp;"",""))</f>
        <v/>
      </c>
      <c r="D106" s="1"/>
      <c r="E106" s="1"/>
      <c r="F106" s="1"/>
      <c r="G106" s="28"/>
      <c r="H106" s="1"/>
      <c r="I106" s="1"/>
      <c r="J106" s="29"/>
      <c r="K106" s="1"/>
      <c r="L106" s="20" t="str">
        <f aca="false">IF(E106="","",IFERROR(INDEX(Settings!$D$13:$D$32,MATCH(E106,Settings!$A$13:$A$32,0)),0)*IF(F106="",1,F106))</f>
        <v/>
      </c>
      <c r="M106" s="20" t="str">
        <f aca="false">IF(L106="","",IF(I106="",L106,L106*(1-IF(J106="",Settings!$B$6,J106))))</f>
        <v/>
      </c>
      <c r="N106" s="20" t="str">
        <f aca="false">IF(OR(L106="",I106=""),"",L106-M106)</f>
        <v/>
      </c>
      <c r="O106" s="1"/>
    </row>
    <row r="107" customFormat="false" ht="15" hidden="false" customHeight="false" outlineLevel="0" collapsed="false">
      <c r="A107" s="27"/>
      <c r="B107" s="1"/>
      <c r="C107" s="24" t="str">
        <f aca="false">IF(B107="","",IFERROR(INDEX(Patients!$B$2:$B$501,MATCH(B107,Patients!$A$2:$A$501,0))&amp;"",""))</f>
        <v/>
      </c>
      <c r="D107" s="1"/>
      <c r="E107" s="1"/>
      <c r="F107" s="1"/>
      <c r="G107" s="28"/>
      <c r="H107" s="1"/>
      <c r="I107" s="1"/>
      <c r="J107" s="29"/>
      <c r="K107" s="1"/>
      <c r="L107" s="20" t="str">
        <f aca="false">IF(E107="","",IFERROR(INDEX(Settings!$D$13:$D$32,MATCH(E107,Settings!$A$13:$A$32,0)),0)*IF(F107="",1,F107))</f>
        <v/>
      </c>
      <c r="M107" s="20" t="str">
        <f aca="false">IF(L107="","",IF(I107="",L107,L107*(1-IF(J107="",Settings!$B$6,J107))))</f>
        <v/>
      </c>
      <c r="N107" s="20" t="str">
        <f aca="false">IF(OR(L107="",I107=""),"",L107-M107)</f>
        <v/>
      </c>
      <c r="O107" s="1"/>
    </row>
    <row r="108" customFormat="false" ht="15" hidden="false" customHeight="false" outlineLevel="0" collapsed="false">
      <c r="A108" s="27"/>
      <c r="B108" s="1"/>
      <c r="C108" s="24" t="str">
        <f aca="false">IF(B108="","",IFERROR(INDEX(Patients!$B$2:$B$501,MATCH(B108,Patients!$A$2:$A$501,0))&amp;"",""))</f>
        <v/>
      </c>
      <c r="D108" s="1"/>
      <c r="E108" s="1"/>
      <c r="F108" s="1"/>
      <c r="G108" s="28"/>
      <c r="H108" s="1"/>
      <c r="I108" s="1"/>
      <c r="J108" s="29"/>
      <c r="K108" s="1"/>
      <c r="L108" s="20" t="str">
        <f aca="false">IF(E108="","",IFERROR(INDEX(Settings!$D$13:$D$32,MATCH(E108,Settings!$A$13:$A$32,0)),0)*IF(F108="",1,F108))</f>
        <v/>
      </c>
      <c r="M108" s="20" t="str">
        <f aca="false">IF(L108="","",IF(I108="",L108,L108*(1-IF(J108="",Settings!$B$6,J108))))</f>
        <v/>
      </c>
      <c r="N108" s="20" t="str">
        <f aca="false">IF(OR(L108="",I108=""),"",L108-M108)</f>
        <v/>
      </c>
      <c r="O108" s="1"/>
    </row>
    <row r="109" customFormat="false" ht="15" hidden="false" customHeight="false" outlineLevel="0" collapsed="false">
      <c r="A109" s="27"/>
      <c r="B109" s="1"/>
      <c r="C109" s="24" t="str">
        <f aca="false">IF(B109="","",IFERROR(INDEX(Patients!$B$2:$B$501,MATCH(B109,Patients!$A$2:$A$501,0))&amp;"",""))</f>
        <v/>
      </c>
      <c r="D109" s="1"/>
      <c r="E109" s="1"/>
      <c r="F109" s="1"/>
      <c r="G109" s="28"/>
      <c r="H109" s="1"/>
      <c r="I109" s="1"/>
      <c r="J109" s="29"/>
      <c r="K109" s="1"/>
      <c r="L109" s="20" t="str">
        <f aca="false">IF(E109="","",IFERROR(INDEX(Settings!$D$13:$D$32,MATCH(E109,Settings!$A$13:$A$32,0)),0)*IF(F109="",1,F109))</f>
        <v/>
      </c>
      <c r="M109" s="20" t="str">
        <f aca="false">IF(L109="","",IF(I109="",L109,L109*(1-IF(J109="",Settings!$B$6,J109))))</f>
        <v/>
      </c>
      <c r="N109" s="20" t="str">
        <f aca="false">IF(OR(L109="",I109=""),"",L109-M109)</f>
        <v/>
      </c>
      <c r="O109" s="1"/>
    </row>
    <row r="110" customFormat="false" ht="15" hidden="false" customHeight="false" outlineLevel="0" collapsed="false">
      <c r="A110" s="27"/>
      <c r="B110" s="1"/>
      <c r="C110" s="24" t="str">
        <f aca="false">IF(B110="","",IFERROR(INDEX(Patients!$B$2:$B$501,MATCH(B110,Patients!$A$2:$A$501,0))&amp;"",""))</f>
        <v/>
      </c>
      <c r="D110" s="1"/>
      <c r="E110" s="1"/>
      <c r="F110" s="1"/>
      <c r="G110" s="28"/>
      <c r="H110" s="1"/>
      <c r="I110" s="1"/>
      <c r="J110" s="29"/>
      <c r="K110" s="1"/>
      <c r="L110" s="20" t="str">
        <f aca="false">IF(E110="","",IFERROR(INDEX(Settings!$D$13:$D$32,MATCH(E110,Settings!$A$13:$A$32,0)),0)*IF(F110="",1,F110))</f>
        <v/>
      </c>
      <c r="M110" s="20" t="str">
        <f aca="false">IF(L110="","",IF(I110="",L110,L110*(1-IF(J110="",Settings!$B$6,J110))))</f>
        <v/>
      </c>
      <c r="N110" s="20" t="str">
        <f aca="false">IF(OR(L110="",I110=""),"",L110-M110)</f>
        <v/>
      </c>
      <c r="O110" s="1"/>
    </row>
    <row r="111" customFormat="false" ht="15" hidden="false" customHeight="false" outlineLevel="0" collapsed="false">
      <c r="A111" s="27"/>
      <c r="B111" s="1"/>
      <c r="C111" s="24" t="str">
        <f aca="false">IF(B111="","",IFERROR(INDEX(Patients!$B$2:$B$501,MATCH(B111,Patients!$A$2:$A$501,0))&amp;"",""))</f>
        <v/>
      </c>
      <c r="D111" s="1"/>
      <c r="E111" s="1"/>
      <c r="F111" s="1"/>
      <c r="G111" s="28"/>
      <c r="H111" s="1"/>
      <c r="I111" s="1"/>
      <c r="J111" s="29"/>
      <c r="K111" s="1"/>
      <c r="L111" s="20" t="str">
        <f aca="false">IF(E111="","",IFERROR(INDEX(Settings!$D$13:$D$32,MATCH(E111,Settings!$A$13:$A$32,0)),0)*IF(F111="",1,F111))</f>
        <v/>
      </c>
      <c r="M111" s="20" t="str">
        <f aca="false">IF(L111="","",IF(I111="",L111,L111*(1-IF(J111="",Settings!$B$6,J111))))</f>
        <v/>
      </c>
      <c r="N111" s="20" t="str">
        <f aca="false">IF(OR(L111="",I111=""),"",L111-M111)</f>
        <v/>
      </c>
      <c r="O111" s="1"/>
    </row>
    <row r="112" customFormat="false" ht="15" hidden="false" customHeight="false" outlineLevel="0" collapsed="false">
      <c r="A112" s="27"/>
      <c r="B112" s="1"/>
      <c r="C112" s="24" t="str">
        <f aca="false">IF(B112="","",IFERROR(INDEX(Patients!$B$2:$B$501,MATCH(B112,Patients!$A$2:$A$501,0))&amp;"",""))</f>
        <v/>
      </c>
      <c r="D112" s="1"/>
      <c r="E112" s="1"/>
      <c r="F112" s="1"/>
      <c r="G112" s="28"/>
      <c r="H112" s="1"/>
      <c r="I112" s="1"/>
      <c r="J112" s="29"/>
      <c r="K112" s="1"/>
      <c r="L112" s="20" t="str">
        <f aca="false">IF(E112="","",IFERROR(INDEX(Settings!$D$13:$D$32,MATCH(E112,Settings!$A$13:$A$32,0)),0)*IF(F112="",1,F112))</f>
        <v/>
      </c>
      <c r="M112" s="20" t="str">
        <f aca="false">IF(L112="","",IF(I112="",L112,L112*(1-IF(J112="",Settings!$B$6,J112))))</f>
        <v/>
      </c>
      <c r="N112" s="20" t="str">
        <f aca="false">IF(OR(L112="",I112=""),"",L112-M112)</f>
        <v/>
      </c>
      <c r="O112" s="1"/>
    </row>
    <row r="113" customFormat="false" ht="15" hidden="false" customHeight="false" outlineLevel="0" collapsed="false">
      <c r="A113" s="27"/>
      <c r="B113" s="1"/>
      <c r="C113" s="24" t="str">
        <f aca="false">IF(B113="","",IFERROR(INDEX(Patients!$B$2:$B$501,MATCH(B113,Patients!$A$2:$A$501,0))&amp;"",""))</f>
        <v/>
      </c>
      <c r="D113" s="1"/>
      <c r="E113" s="1"/>
      <c r="F113" s="1"/>
      <c r="G113" s="28"/>
      <c r="H113" s="1"/>
      <c r="I113" s="1"/>
      <c r="J113" s="29"/>
      <c r="K113" s="1"/>
      <c r="L113" s="20" t="str">
        <f aca="false">IF(E113="","",IFERROR(INDEX(Settings!$D$13:$D$32,MATCH(E113,Settings!$A$13:$A$32,0)),0)*IF(F113="",1,F113))</f>
        <v/>
      </c>
      <c r="M113" s="20" t="str">
        <f aca="false">IF(L113="","",IF(I113="",L113,L113*(1-IF(J113="",Settings!$B$6,J113))))</f>
        <v/>
      </c>
      <c r="N113" s="20" t="str">
        <f aca="false">IF(OR(L113="",I113=""),"",L113-M113)</f>
        <v/>
      </c>
      <c r="O113" s="1"/>
    </row>
    <row r="114" customFormat="false" ht="15" hidden="false" customHeight="false" outlineLevel="0" collapsed="false">
      <c r="A114" s="27"/>
      <c r="B114" s="1"/>
      <c r="C114" s="24" t="str">
        <f aca="false">IF(B114="","",IFERROR(INDEX(Patients!$B$2:$B$501,MATCH(B114,Patients!$A$2:$A$501,0))&amp;"",""))</f>
        <v/>
      </c>
      <c r="D114" s="1"/>
      <c r="E114" s="1"/>
      <c r="F114" s="1"/>
      <c r="G114" s="28"/>
      <c r="H114" s="1"/>
      <c r="I114" s="1"/>
      <c r="J114" s="29"/>
      <c r="K114" s="1"/>
      <c r="L114" s="20" t="str">
        <f aca="false">IF(E114="","",IFERROR(INDEX(Settings!$D$13:$D$32,MATCH(E114,Settings!$A$13:$A$32,0)),0)*IF(F114="",1,F114))</f>
        <v/>
      </c>
      <c r="M114" s="20" t="str">
        <f aca="false">IF(L114="","",IF(I114="",L114,L114*(1-IF(J114="",Settings!$B$6,J114))))</f>
        <v/>
      </c>
      <c r="N114" s="20" t="str">
        <f aca="false">IF(OR(L114="",I114=""),"",L114-M114)</f>
        <v/>
      </c>
      <c r="O114" s="1"/>
    </row>
    <row r="115" customFormat="false" ht="15" hidden="false" customHeight="false" outlineLevel="0" collapsed="false">
      <c r="A115" s="27"/>
      <c r="B115" s="1"/>
      <c r="C115" s="24" t="str">
        <f aca="false">IF(B115="","",IFERROR(INDEX(Patients!$B$2:$B$501,MATCH(B115,Patients!$A$2:$A$501,0))&amp;"",""))</f>
        <v/>
      </c>
      <c r="D115" s="1"/>
      <c r="E115" s="1"/>
      <c r="F115" s="1"/>
      <c r="G115" s="28"/>
      <c r="H115" s="1"/>
      <c r="I115" s="1"/>
      <c r="J115" s="29"/>
      <c r="K115" s="1"/>
      <c r="L115" s="20" t="str">
        <f aca="false">IF(E115="","",IFERROR(INDEX(Settings!$D$13:$D$32,MATCH(E115,Settings!$A$13:$A$32,0)),0)*IF(F115="",1,F115))</f>
        <v/>
      </c>
      <c r="M115" s="20" t="str">
        <f aca="false">IF(L115="","",IF(I115="",L115,L115*(1-IF(J115="",Settings!$B$6,J115))))</f>
        <v/>
      </c>
      <c r="N115" s="20" t="str">
        <f aca="false">IF(OR(L115="",I115=""),"",L115-M115)</f>
        <v/>
      </c>
      <c r="O115" s="1"/>
    </row>
    <row r="116" customFormat="false" ht="15" hidden="false" customHeight="false" outlineLevel="0" collapsed="false">
      <c r="A116" s="27"/>
      <c r="B116" s="1"/>
      <c r="C116" s="24" t="str">
        <f aca="false">IF(B116="","",IFERROR(INDEX(Patients!$B$2:$B$501,MATCH(B116,Patients!$A$2:$A$501,0))&amp;"",""))</f>
        <v/>
      </c>
      <c r="D116" s="1"/>
      <c r="E116" s="1"/>
      <c r="F116" s="1"/>
      <c r="G116" s="28"/>
      <c r="H116" s="1"/>
      <c r="I116" s="1"/>
      <c r="J116" s="29"/>
      <c r="K116" s="1"/>
      <c r="L116" s="20" t="str">
        <f aca="false">IF(E116="","",IFERROR(INDEX(Settings!$D$13:$D$32,MATCH(E116,Settings!$A$13:$A$32,0)),0)*IF(F116="",1,F116))</f>
        <v/>
      </c>
      <c r="M116" s="20" t="str">
        <f aca="false">IF(L116="","",IF(I116="",L116,L116*(1-IF(J116="",Settings!$B$6,J116))))</f>
        <v/>
      </c>
      <c r="N116" s="20" t="str">
        <f aca="false">IF(OR(L116="",I116=""),"",L116-M116)</f>
        <v/>
      </c>
      <c r="O116" s="1"/>
    </row>
    <row r="117" customFormat="false" ht="15" hidden="false" customHeight="false" outlineLevel="0" collapsed="false">
      <c r="A117" s="27"/>
      <c r="B117" s="1"/>
      <c r="C117" s="24" t="str">
        <f aca="false">IF(B117="","",IFERROR(INDEX(Patients!$B$2:$B$501,MATCH(B117,Patients!$A$2:$A$501,0))&amp;"",""))</f>
        <v/>
      </c>
      <c r="D117" s="1"/>
      <c r="E117" s="1"/>
      <c r="F117" s="1"/>
      <c r="G117" s="28"/>
      <c r="H117" s="1"/>
      <c r="I117" s="1"/>
      <c r="J117" s="29"/>
      <c r="K117" s="1"/>
      <c r="L117" s="20" t="str">
        <f aca="false">IF(E117="","",IFERROR(INDEX(Settings!$D$13:$D$32,MATCH(E117,Settings!$A$13:$A$32,0)),0)*IF(F117="",1,F117))</f>
        <v/>
      </c>
      <c r="M117" s="20" t="str">
        <f aca="false">IF(L117="","",IF(I117="",L117,L117*(1-IF(J117="",Settings!$B$6,J117))))</f>
        <v/>
      </c>
      <c r="N117" s="20" t="str">
        <f aca="false">IF(OR(L117="",I117=""),"",L117-M117)</f>
        <v/>
      </c>
      <c r="O117" s="1"/>
    </row>
    <row r="118" customFormat="false" ht="15" hidden="false" customHeight="false" outlineLevel="0" collapsed="false">
      <c r="A118" s="27"/>
      <c r="B118" s="1"/>
      <c r="C118" s="24" t="str">
        <f aca="false">IF(B118="","",IFERROR(INDEX(Patients!$B$2:$B$501,MATCH(B118,Patients!$A$2:$A$501,0))&amp;"",""))</f>
        <v/>
      </c>
      <c r="D118" s="1"/>
      <c r="E118" s="1"/>
      <c r="F118" s="1"/>
      <c r="G118" s="28"/>
      <c r="H118" s="1"/>
      <c r="I118" s="1"/>
      <c r="J118" s="29"/>
      <c r="K118" s="1"/>
      <c r="L118" s="20" t="str">
        <f aca="false">IF(E118="","",IFERROR(INDEX(Settings!$D$13:$D$32,MATCH(E118,Settings!$A$13:$A$32,0)),0)*IF(F118="",1,F118))</f>
        <v/>
      </c>
      <c r="M118" s="20" t="str">
        <f aca="false">IF(L118="","",IF(I118="",L118,L118*(1-IF(J118="",Settings!$B$6,J118))))</f>
        <v/>
      </c>
      <c r="N118" s="20" t="str">
        <f aca="false">IF(OR(L118="",I118=""),"",L118-M118)</f>
        <v/>
      </c>
      <c r="O118" s="1"/>
    </row>
    <row r="119" customFormat="false" ht="15" hidden="false" customHeight="false" outlineLevel="0" collapsed="false">
      <c r="A119" s="27"/>
      <c r="B119" s="1"/>
      <c r="C119" s="24" t="str">
        <f aca="false">IF(B119="","",IFERROR(INDEX(Patients!$B$2:$B$501,MATCH(B119,Patients!$A$2:$A$501,0))&amp;"",""))</f>
        <v/>
      </c>
      <c r="D119" s="1"/>
      <c r="E119" s="1"/>
      <c r="F119" s="1"/>
      <c r="G119" s="28"/>
      <c r="H119" s="1"/>
      <c r="I119" s="1"/>
      <c r="J119" s="29"/>
      <c r="K119" s="1"/>
      <c r="L119" s="20" t="str">
        <f aca="false">IF(E119="","",IFERROR(INDEX(Settings!$D$13:$D$32,MATCH(E119,Settings!$A$13:$A$32,0)),0)*IF(F119="",1,F119))</f>
        <v/>
      </c>
      <c r="M119" s="20" t="str">
        <f aca="false">IF(L119="","",IF(I119="",L119,L119*(1-IF(J119="",Settings!$B$6,J119))))</f>
        <v/>
      </c>
      <c r="N119" s="20" t="str">
        <f aca="false">IF(OR(L119="",I119=""),"",L119-M119)</f>
        <v/>
      </c>
      <c r="O119" s="1"/>
    </row>
    <row r="120" customFormat="false" ht="15" hidden="false" customHeight="false" outlineLevel="0" collapsed="false">
      <c r="A120" s="27"/>
      <c r="B120" s="1"/>
      <c r="C120" s="24" t="str">
        <f aca="false">IF(B120="","",IFERROR(INDEX(Patients!$B$2:$B$501,MATCH(B120,Patients!$A$2:$A$501,0))&amp;"",""))</f>
        <v/>
      </c>
      <c r="D120" s="1"/>
      <c r="E120" s="1"/>
      <c r="F120" s="1"/>
      <c r="G120" s="28"/>
      <c r="H120" s="1"/>
      <c r="I120" s="1"/>
      <c r="J120" s="29"/>
      <c r="K120" s="1"/>
      <c r="L120" s="20" t="str">
        <f aca="false">IF(E120="","",IFERROR(INDEX(Settings!$D$13:$D$32,MATCH(E120,Settings!$A$13:$A$32,0)),0)*IF(F120="",1,F120))</f>
        <v/>
      </c>
      <c r="M120" s="20" t="str">
        <f aca="false">IF(L120="","",IF(I120="",L120,L120*(1-IF(J120="",Settings!$B$6,J120))))</f>
        <v/>
      </c>
      <c r="N120" s="20" t="str">
        <f aca="false">IF(OR(L120="",I120=""),"",L120-M120)</f>
        <v/>
      </c>
      <c r="O120" s="1"/>
    </row>
    <row r="121" customFormat="false" ht="15" hidden="false" customHeight="false" outlineLevel="0" collapsed="false">
      <c r="A121" s="27"/>
      <c r="B121" s="1"/>
      <c r="C121" s="24" t="str">
        <f aca="false">IF(B121="","",IFERROR(INDEX(Patients!$B$2:$B$501,MATCH(B121,Patients!$A$2:$A$501,0))&amp;"",""))</f>
        <v/>
      </c>
      <c r="D121" s="1"/>
      <c r="E121" s="1"/>
      <c r="F121" s="1"/>
      <c r="G121" s="28"/>
      <c r="H121" s="1"/>
      <c r="I121" s="1"/>
      <c r="J121" s="29"/>
      <c r="K121" s="1"/>
      <c r="L121" s="20" t="str">
        <f aca="false">IF(E121="","",IFERROR(INDEX(Settings!$D$13:$D$32,MATCH(E121,Settings!$A$13:$A$32,0)),0)*IF(F121="",1,F121))</f>
        <v/>
      </c>
      <c r="M121" s="20" t="str">
        <f aca="false">IF(L121="","",IF(I121="",L121,L121*(1-IF(J121="",Settings!$B$6,J121))))</f>
        <v/>
      </c>
      <c r="N121" s="20" t="str">
        <f aca="false">IF(OR(L121="",I121=""),"",L121-M121)</f>
        <v/>
      </c>
      <c r="O121" s="1"/>
    </row>
    <row r="122" customFormat="false" ht="15" hidden="false" customHeight="false" outlineLevel="0" collapsed="false">
      <c r="A122" s="27"/>
      <c r="B122" s="1"/>
      <c r="C122" s="24" t="str">
        <f aca="false">IF(B122="","",IFERROR(INDEX(Patients!$B$2:$B$501,MATCH(B122,Patients!$A$2:$A$501,0))&amp;"",""))</f>
        <v/>
      </c>
      <c r="D122" s="1"/>
      <c r="E122" s="1"/>
      <c r="F122" s="1"/>
      <c r="G122" s="28"/>
      <c r="H122" s="1"/>
      <c r="I122" s="1"/>
      <c r="J122" s="29"/>
      <c r="K122" s="1"/>
      <c r="L122" s="20" t="str">
        <f aca="false">IF(E122="","",IFERROR(INDEX(Settings!$D$13:$D$32,MATCH(E122,Settings!$A$13:$A$32,0)),0)*IF(F122="",1,F122))</f>
        <v/>
      </c>
      <c r="M122" s="20" t="str">
        <f aca="false">IF(L122="","",IF(I122="",L122,L122*(1-IF(J122="",Settings!$B$6,J122))))</f>
        <v/>
      </c>
      <c r="N122" s="20" t="str">
        <f aca="false">IF(OR(L122="",I122=""),"",L122-M122)</f>
        <v/>
      </c>
      <c r="O122" s="1"/>
    </row>
    <row r="123" customFormat="false" ht="15" hidden="false" customHeight="false" outlineLevel="0" collapsed="false">
      <c r="A123" s="27"/>
      <c r="B123" s="1"/>
      <c r="C123" s="24" t="str">
        <f aca="false">IF(B123="","",IFERROR(INDEX(Patients!$B$2:$B$501,MATCH(B123,Patients!$A$2:$A$501,0))&amp;"",""))</f>
        <v/>
      </c>
      <c r="D123" s="1"/>
      <c r="E123" s="1"/>
      <c r="F123" s="1"/>
      <c r="G123" s="28"/>
      <c r="H123" s="1"/>
      <c r="I123" s="1"/>
      <c r="J123" s="29"/>
      <c r="K123" s="1"/>
      <c r="L123" s="20" t="str">
        <f aca="false">IF(E123="","",IFERROR(INDEX(Settings!$D$13:$D$32,MATCH(E123,Settings!$A$13:$A$32,0)),0)*IF(F123="",1,F123))</f>
        <v/>
      </c>
      <c r="M123" s="20" t="str">
        <f aca="false">IF(L123="","",IF(I123="",L123,L123*(1-IF(J123="",Settings!$B$6,J123))))</f>
        <v/>
      </c>
      <c r="N123" s="20" t="str">
        <f aca="false">IF(OR(L123="",I123=""),"",L123-M123)</f>
        <v/>
      </c>
      <c r="O123" s="1"/>
    </row>
    <row r="124" customFormat="false" ht="15" hidden="false" customHeight="false" outlineLevel="0" collapsed="false">
      <c r="A124" s="27"/>
      <c r="B124" s="1"/>
      <c r="C124" s="24" t="str">
        <f aca="false">IF(B124="","",IFERROR(INDEX(Patients!$B$2:$B$501,MATCH(B124,Patients!$A$2:$A$501,0))&amp;"",""))</f>
        <v/>
      </c>
      <c r="D124" s="1"/>
      <c r="E124" s="1"/>
      <c r="F124" s="1"/>
      <c r="G124" s="28"/>
      <c r="H124" s="1"/>
      <c r="I124" s="1"/>
      <c r="J124" s="29"/>
      <c r="K124" s="1"/>
      <c r="L124" s="20" t="str">
        <f aca="false">IF(E124="","",IFERROR(INDEX(Settings!$D$13:$D$32,MATCH(E124,Settings!$A$13:$A$32,0)),0)*IF(F124="",1,F124))</f>
        <v/>
      </c>
      <c r="M124" s="20" t="str">
        <f aca="false">IF(L124="","",IF(I124="",L124,L124*(1-IF(J124="",Settings!$B$6,J124))))</f>
        <v/>
      </c>
      <c r="N124" s="20" t="str">
        <f aca="false">IF(OR(L124="",I124=""),"",L124-M124)</f>
        <v/>
      </c>
      <c r="O124" s="1"/>
    </row>
    <row r="125" customFormat="false" ht="15" hidden="false" customHeight="false" outlineLevel="0" collapsed="false">
      <c r="A125" s="27"/>
      <c r="B125" s="1"/>
      <c r="C125" s="24" t="str">
        <f aca="false">IF(B125="","",IFERROR(INDEX(Patients!$B$2:$B$501,MATCH(B125,Patients!$A$2:$A$501,0))&amp;"",""))</f>
        <v/>
      </c>
      <c r="D125" s="1"/>
      <c r="E125" s="1"/>
      <c r="F125" s="1"/>
      <c r="G125" s="28"/>
      <c r="H125" s="1"/>
      <c r="I125" s="1"/>
      <c r="J125" s="29"/>
      <c r="K125" s="1"/>
      <c r="L125" s="20" t="str">
        <f aca="false">IF(E125="","",IFERROR(INDEX(Settings!$D$13:$D$32,MATCH(E125,Settings!$A$13:$A$32,0)),0)*IF(F125="",1,F125))</f>
        <v/>
      </c>
      <c r="M125" s="20" t="str">
        <f aca="false">IF(L125="","",IF(I125="",L125,L125*(1-IF(J125="",Settings!$B$6,J125))))</f>
        <v/>
      </c>
      <c r="N125" s="20" t="str">
        <f aca="false">IF(OR(L125="",I125=""),"",L125-M125)</f>
        <v/>
      </c>
      <c r="O125" s="1"/>
    </row>
    <row r="126" customFormat="false" ht="15" hidden="false" customHeight="false" outlineLevel="0" collapsed="false">
      <c r="A126" s="27"/>
      <c r="B126" s="1"/>
      <c r="C126" s="24" t="str">
        <f aca="false">IF(B126="","",IFERROR(INDEX(Patients!$B$2:$B$501,MATCH(B126,Patients!$A$2:$A$501,0))&amp;"",""))</f>
        <v/>
      </c>
      <c r="D126" s="1"/>
      <c r="E126" s="1"/>
      <c r="F126" s="1"/>
      <c r="G126" s="28"/>
      <c r="H126" s="1"/>
      <c r="I126" s="1"/>
      <c r="J126" s="29"/>
      <c r="K126" s="1"/>
      <c r="L126" s="20" t="str">
        <f aca="false">IF(E126="","",IFERROR(INDEX(Settings!$D$13:$D$32,MATCH(E126,Settings!$A$13:$A$32,0)),0)*IF(F126="",1,F126))</f>
        <v/>
      </c>
      <c r="M126" s="20" t="str">
        <f aca="false">IF(L126="","",IF(I126="",L126,L126*(1-IF(J126="",Settings!$B$6,J126))))</f>
        <v/>
      </c>
      <c r="N126" s="20" t="str">
        <f aca="false">IF(OR(L126="",I126=""),"",L126-M126)</f>
        <v/>
      </c>
      <c r="O126" s="1"/>
    </row>
    <row r="127" customFormat="false" ht="15" hidden="false" customHeight="false" outlineLevel="0" collapsed="false">
      <c r="A127" s="27"/>
      <c r="B127" s="1"/>
      <c r="C127" s="24" t="str">
        <f aca="false">IF(B127="","",IFERROR(INDEX(Patients!$B$2:$B$501,MATCH(B127,Patients!$A$2:$A$501,0))&amp;"",""))</f>
        <v/>
      </c>
      <c r="D127" s="1"/>
      <c r="E127" s="1"/>
      <c r="F127" s="1"/>
      <c r="G127" s="28"/>
      <c r="H127" s="1"/>
      <c r="I127" s="1"/>
      <c r="J127" s="29"/>
      <c r="K127" s="1"/>
      <c r="L127" s="20" t="str">
        <f aca="false">IF(E127="","",IFERROR(INDEX(Settings!$D$13:$D$32,MATCH(E127,Settings!$A$13:$A$32,0)),0)*IF(F127="",1,F127))</f>
        <v/>
      </c>
      <c r="M127" s="20" t="str">
        <f aca="false">IF(L127="","",IF(I127="",L127,L127*(1-IF(J127="",Settings!$B$6,J127))))</f>
        <v/>
      </c>
      <c r="N127" s="20" t="str">
        <f aca="false">IF(OR(L127="",I127=""),"",L127-M127)</f>
        <v/>
      </c>
      <c r="O127" s="1"/>
    </row>
    <row r="128" customFormat="false" ht="15" hidden="false" customHeight="false" outlineLevel="0" collapsed="false">
      <c r="A128" s="27"/>
      <c r="B128" s="1"/>
      <c r="C128" s="24" t="str">
        <f aca="false">IF(B128="","",IFERROR(INDEX(Patients!$B$2:$B$501,MATCH(B128,Patients!$A$2:$A$501,0))&amp;"",""))</f>
        <v/>
      </c>
      <c r="D128" s="1"/>
      <c r="E128" s="1"/>
      <c r="F128" s="1"/>
      <c r="G128" s="28"/>
      <c r="H128" s="1"/>
      <c r="I128" s="1"/>
      <c r="J128" s="29"/>
      <c r="K128" s="1"/>
      <c r="L128" s="20" t="str">
        <f aca="false">IF(E128="","",IFERROR(INDEX(Settings!$D$13:$D$32,MATCH(E128,Settings!$A$13:$A$32,0)),0)*IF(F128="",1,F128))</f>
        <v/>
      </c>
      <c r="M128" s="20" t="str">
        <f aca="false">IF(L128="","",IF(I128="",L128,L128*(1-IF(J128="",Settings!$B$6,J128))))</f>
        <v/>
      </c>
      <c r="N128" s="20" t="str">
        <f aca="false">IF(OR(L128="",I128=""),"",L128-M128)</f>
        <v/>
      </c>
      <c r="O128" s="1"/>
    </row>
    <row r="129" customFormat="false" ht="15" hidden="false" customHeight="false" outlineLevel="0" collapsed="false">
      <c r="A129" s="27"/>
      <c r="B129" s="1"/>
      <c r="C129" s="24" t="str">
        <f aca="false">IF(B129="","",IFERROR(INDEX(Patients!$B$2:$B$501,MATCH(B129,Patients!$A$2:$A$501,0))&amp;"",""))</f>
        <v/>
      </c>
      <c r="D129" s="1"/>
      <c r="E129" s="1"/>
      <c r="F129" s="1"/>
      <c r="G129" s="28"/>
      <c r="H129" s="1"/>
      <c r="I129" s="1"/>
      <c r="J129" s="29"/>
      <c r="K129" s="1"/>
      <c r="L129" s="20" t="str">
        <f aca="false">IF(E129="","",IFERROR(INDEX(Settings!$D$13:$D$32,MATCH(E129,Settings!$A$13:$A$32,0)),0)*IF(F129="",1,F129))</f>
        <v/>
      </c>
      <c r="M129" s="20" t="str">
        <f aca="false">IF(L129="","",IF(I129="",L129,L129*(1-IF(J129="",Settings!$B$6,J129))))</f>
        <v/>
      </c>
      <c r="N129" s="20" t="str">
        <f aca="false">IF(OR(L129="",I129=""),"",L129-M129)</f>
        <v/>
      </c>
      <c r="O129" s="1"/>
    </row>
    <row r="130" customFormat="false" ht="15" hidden="false" customHeight="false" outlineLevel="0" collapsed="false">
      <c r="A130" s="27"/>
      <c r="B130" s="1"/>
      <c r="C130" s="24" t="str">
        <f aca="false">IF(B130="","",IFERROR(INDEX(Patients!$B$2:$B$501,MATCH(B130,Patients!$A$2:$A$501,0))&amp;"",""))</f>
        <v/>
      </c>
      <c r="D130" s="1"/>
      <c r="E130" s="1"/>
      <c r="F130" s="1"/>
      <c r="G130" s="28"/>
      <c r="H130" s="1"/>
      <c r="I130" s="1"/>
      <c r="J130" s="29"/>
      <c r="K130" s="1"/>
      <c r="L130" s="20" t="str">
        <f aca="false">IF(E130="","",IFERROR(INDEX(Settings!$D$13:$D$32,MATCH(E130,Settings!$A$13:$A$32,0)),0)*IF(F130="",1,F130))</f>
        <v/>
      </c>
      <c r="M130" s="20" t="str">
        <f aca="false">IF(L130="","",IF(I130="",L130,L130*(1-IF(J130="",Settings!$B$6,J130))))</f>
        <v/>
      </c>
      <c r="N130" s="20" t="str">
        <f aca="false">IF(OR(L130="",I130=""),"",L130-M130)</f>
        <v/>
      </c>
      <c r="O130" s="1"/>
    </row>
    <row r="131" customFormat="false" ht="15" hidden="false" customHeight="false" outlineLevel="0" collapsed="false">
      <c r="A131" s="27"/>
      <c r="B131" s="1"/>
      <c r="C131" s="24" t="str">
        <f aca="false">IF(B131="","",IFERROR(INDEX(Patients!$B$2:$B$501,MATCH(B131,Patients!$A$2:$A$501,0))&amp;"",""))</f>
        <v/>
      </c>
      <c r="D131" s="1"/>
      <c r="E131" s="1"/>
      <c r="F131" s="1"/>
      <c r="G131" s="28"/>
      <c r="H131" s="1"/>
      <c r="I131" s="1"/>
      <c r="J131" s="29"/>
      <c r="K131" s="1"/>
      <c r="L131" s="20" t="str">
        <f aca="false">IF(E131="","",IFERROR(INDEX(Settings!$D$13:$D$32,MATCH(E131,Settings!$A$13:$A$32,0)),0)*IF(F131="",1,F131))</f>
        <v/>
      </c>
      <c r="M131" s="20" t="str">
        <f aca="false">IF(L131="","",IF(I131="",L131,L131*(1-IF(J131="",Settings!$B$6,J131))))</f>
        <v/>
      </c>
      <c r="N131" s="20" t="str">
        <f aca="false">IF(OR(L131="",I131=""),"",L131-M131)</f>
        <v/>
      </c>
      <c r="O131" s="1"/>
    </row>
    <row r="132" customFormat="false" ht="15" hidden="false" customHeight="false" outlineLevel="0" collapsed="false">
      <c r="A132" s="27"/>
      <c r="B132" s="1"/>
      <c r="C132" s="24" t="str">
        <f aca="false">IF(B132="","",IFERROR(INDEX(Patients!$B$2:$B$501,MATCH(B132,Patients!$A$2:$A$501,0))&amp;"",""))</f>
        <v/>
      </c>
      <c r="D132" s="1"/>
      <c r="E132" s="1"/>
      <c r="F132" s="1"/>
      <c r="G132" s="28"/>
      <c r="H132" s="1"/>
      <c r="I132" s="1"/>
      <c r="J132" s="29"/>
      <c r="K132" s="1"/>
      <c r="L132" s="20" t="str">
        <f aca="false">IF(E132="","",IFERROR(INDEX(Settings!$D$13:$D$32,MATCH(E132,Settings!$A$13:$A$32,0)),0)*IF(F132="",1,F132))</f>
        <v/>
      </c>
      <c r="M132" s="20" t="str">
        <f aca="false">IF(L132="","",IF(I132="",L132,L132*(1-IF(J132="",Settings!$B$6,J132))))</f>
        <v/>
      </c>
      <c r="N132" s="20" t="str">
        <f aca="false">IF(OR(L132="",I132=""),"",L132-M132)</f>
        <v/>
      </c>
      <c r="O132" s="1"/>
    </row>
    <row r="133" customFormat="false" ht="15" hidden="false" customHeight="false" outlineLevel="0" collapsed="false">
      <c r="A133" s="27"/>
      <c r="B133" s="1"/>
      <c r="C133" s="24" t="str">
        <f aca="false">IF(B133="","",IFERROR(INDEX(Patients!$B$2:$B$501,MATCH(B133,Patients!$A$2:$A$501,0))&amp;"",""))</f>
        <v/>
      </c>
      <c r="D133" s="1"/>
      <c r="E133" s="1"/>
      <c r="F133" s="1"/>
      <c r="G133" s="28"/>
      <c r="H133" s="1"/>
      <c r="I133" s="1"/>
      <c r="J133" s="29"/>
      <c r="K133" s="1"/>
      <c r="L133" s="20" t="str">
        <f aca="false">IF(E133="","",IFERROR(INDEX(Settings!$D$13:$D$32,MATCH(E133,Settings!$A$13:$A$32,0)),0)*IF(F133="",1,F133))</f>
        <v/>
      </c>
      <c r="M133" s="20" t="str">
        <f aca="false">IF(L133="","",IF(I133="",L133,L133*(1-IF(J133="",Settings!$B$6,J133))))</f>
        <v/>
      </c>
      <c r="N133" s="20" t="str">
        <f aca="false">IF(OR(L133="",I133=""),"",L133-M133)</f>
        <v/>
      </c>
      <c r="O133" s="1"/>
    </row>
    <row r="134" customFormat="false" ht="15" hidden="false" customHeight="false" outlineLevel="0" collapsed="false">
      <c r="A134" s="27"/>
      <c r="B134" s="1"/>
      <c r="C134" s="24" t="str">
        <f aca="false">IF(B134="","",IFERROR(INDEX(Patients!$B$2:$B$501,MATCH(B134,Patients!$A$2:$A$501,0))&amp;"",""))</f>
        <v/>
      </c>
      <c r="D134" s="1"/>
      <c r="E134" s="1"/>
      <c r="F134" s="1"/>
      <c r="G134" s="28"/>
      <c r="H134" s="1"/>
      <c r="I134" s="1"/>
      <c r="J134" s="29"/>
      <c r="K134" s="1"/>
      <c r="L134" s="20" t="str">
        <f aca="false">IF(E134="","",IFERROR(INDEX(Settings!$D$13:$D$32,MATCH(E134,Settings!$A$13:$A$32,0)),0)*IF(F134="",1,F134))</f>
        <v/>
      </c>
      <c r="M134" s="20" t="str">
        <f aca="false">IF(L134="","",IF(I134="",L134,L134*(1-IF(J134="",Settings!$B$6,J134))))</f>
        <v/>
      </c>
      <c r="N134" s="20" t="str">
        <f aca="false">IF(OR(L134="",I134=""),"",L134-M134)</f>
        <v/>
      </c>
      <c r="O134" s="1"/>
    </row>
    <row r="135" customFormat="false" ht="15" hidden="false" customHeight="false" outlineLevel="0" collapsed="false">
      <c r="A135" s="27"/>
      <c r="B135" s="1"/>
      <c r="C135" s="24" t="str">
        <f aca="false">IF(B135="","",IFERROR(INDEX(Patients!$B$2:$B$501,MATCH(B135,Patients!$A$2:$A$501,0))&amp;"",""))</f>
        <v/>
      </c>
      <c r="D135" s="1"/>
      <c r="E135" s="1"/>
      <c r="F135" s="1"/>
      <c r="G135" s="28"/>
      <c r="H135" s="1"/>
      <c r="I135" s="1"/>
      <c r="J135" s="29"/>
      <c r="K135" s="1"/>
      <c r="L135" s="20" t="str">
        <f aca="false">IF(E135="","",IFERROR(INDEX(Settings!$D$13:$D$32,MATCH(E135,Settings!$A$13:$A$32,0)),0)*IF(F135="",1,F135))</f>
        <v/>
      </c>
      <c r="M135" s="20" t="str">
        <f aca="false">IF(L135="","",IF(I135="",L135,L135*(1-IF(J135="",Settings!$B$6,J135))))</f>
        <v/>
      </c>
      <c r="N135" s="20" t="str">
        <f aca="false">IF(OR(L135="",I135=""),"",L135-M135)</f>
        <v/>
      </c>
      <c r="O135" s="1"/>
    </row>
    <row r="136" customFormat="false" ht="15" hidden="false" customHeight="false" outlineLevel="0" collapsed="false">
      <c r="A136" s="27"/>
      <c r="B136" s="1"/>
      <c r="C136" s="24" t="str">
        <f aca="false">IF(B136="","",IFERROR(INDEX(Patients!$B$2:$B$501,MATCH(B136,Patients!$A$2:$A$501,0))&amp;"",""))</f>
        <v/>
      </c>
      <c r="D136" s="1"/>
      <c r="E136" s="1"/>
      <c r="F136" s="1"/>
      <c r="G136" s="28"/>
      <c r="H136" s="1"/>
      <c r="I136" s="1"/>
      <c r="J136" s="29"/>
      <c r="K136" s="1"/>
      <c r="L136" s="20" t="str">
        <f aca="false">IF(E136="","",IFERROR(INDEX(Settings!$D$13:$D$32,MATCH(E136,Settings!$A$13:$A$32,0)),0)*IF(F136="",1,F136))</f>
        <v/>
      </c>
      <c r="M136" s="20" t="str">
        <f aca="false">IF(L136="","",IF(I136="",L136,L136*(1-IF(J136="",Settings!$B$6,J136))))</f>
        <v/>
      </c>
      <c r="N136" s="20" t="str">
        <f aca="false">IF(OR(L136="",I136=""),"",L136-M136)</f>
        <v/>
      </c>
      <c r="O136" s="1"/>
    </row>
    <row r="137" customFormat="false" ht="15" hidden="false" customHeight="false" outlineLevel="0" collapsed="false">
      <c r="A137" s="27"/>
      <c r="B137" s="1"/>
      <c r="C137" s="24" t="str">
        <f aca="false">IF(B137="","",IFERROR(INDEX(Patients!$B$2:$B$501,MATCH(B137,Patients!$A$2:$A$501,0))&amp;"",""))</f>
        <v/>
      </c>
      <c r="D137" s="1"/>
      <c r="E137" s="1"/>
      <c r="F137" s="1"/>
      <c r="G137" s="28"/>
      <c r="H137" s="1"/>
      <c r="I137" s="1"/>
      <c r="J137" s="29"/>
      <c r="K137" s="1"/>
      <c r="L137" s="20" t="str">
        <f aca="false">IF(E137="","",IFERROR(INDEX(Settings!$D$13:$D$32,MATCH(E137,Settings!$A$13:$A$32,0)),0)*IF(F137="",1,F137))</f>
        <v/>
      </c>
      <c r="M137" s="20" t="str">
        <f aca="false">IF(L137="","",IF(I137="",L137,L137*(1-IF(J137="",Settings!$B$6,J137))))</f>
        <v/>
      </c>
      <c r="N137" s="20" t="str">
        <f aca="false">IF(OR(L137="",I137=""),"",L137-M137)</f>
        <v/>
      </c>
      <c r="O137" s="1"/>
    </row>
    <row r="138" customFormat="false" ht="15" hidden="false" customHeight="false" outlineLevel="0" collapsed="false">
      <c r="A138" s="27"/>
      <c r="B138" s="1"/>
      <c r="C138" s="24" t="str">
        <f aca="false">IF(B138="","",IFERROR(INDEX(Patients!$B$2:$B$501,MATCH(B138,Patients!$A$2:$A$501,0))&amp;"",""))</f>
        <v/>
      </c>
      <c r="D138" s="1"/>
      <c r="E138" s="1"/>
      <c r="F138" s="1"/>
      <c r="G138" s="28"/>
      <c r="H138" s="1"/>
      <c r="I138" s="1"/>
      <c r="J138" s="29"/>
      <c r="K138" s="1"/>
      <c r="L138" s="20" t="str">
        <f aca="false">IF(E138="","",IFERROR(INDEX(Settings!$D$13:$D$32,MATCH(E138,Settings!$A$13:$A$32,0)),0)*IF(F138="",1,F138))</f>
        <v/>
      </c>
      <c r="M138" s="20" t="str">
        <f aca="false">IF(L138="","",IF(I138="",L138,L138*(1-IF(J138="",Settings!$B$6,J138))))</f>
        <v/>
      </c>
      <c r="N138" s="20" t="str">
        <f aca="false">IF(OR(L138="",I138=""),"",L138-M138)</f>
        <v/>
      </c>
      <c r="O138" s="1"/>
    </row>
    <row r="139" customFormat="false" ht="15" hidden="false" customHeight="false" outlineLevel="0" collapsed="false">
      <c r="A139" s="27"/>
      <c r="B139" s="1"/>
      <c r="C139" s="24" t="str">
        <f aca="false">IF(B139="","",IFERROR(INDEX(Patients!$B$2:$B$501,MATCH(B139,Patients!$A$2:$A$501,0))&amp;"",""))</f>
        <v/>
      </c>
      <c r="D139" s="1"/>
      <c r="E139" s="1"/>
      <c r="F139" s="1"/>
      <c r="G139" s="28"/>
      <c r="H139" s="1"/>
      <c r="I139" s="1"/>
      <c r="J139" s="29"/>
      <c r="K139" s="1"/>
      <c r="L139" s="20" t="str">
        <f aca="false">IF(E139="","",IFERROR(INDEX(Settings!$D$13:$D$32,MATCH(E139,Settings!$A$13:$A$32,0)),0)*IF(F139="",1,F139))</f>
        <v/>
      </c>
      <c r="M139" s="20" t="str">
        <f aca="false">IF(L139="","",IF(I139="",L139,L139*(1-IF(J139="",Settings!$B$6,J139))))</f>
        <v/>
      </c>
      <c r="N139" s="20" t="str">
        <f aca="false">IF(OR(L139="",I139=""),"",L139-M139)</f>
        <v/>
      </c>
      <c r="O139" s="1"/>
    </row>
    <row r="140" customFormat="false" ht="15" hidden="false" customHeight="false" outlineLevel="0" collapsed="false">
      <c r="A140" s="27"/>
      <c r="B140" s="1"/>
      <c r="C140" s="24" t="str">
        <f aca="false">IF(B140="","",IFERROR(INDEX(Patients!$B$2:$B$501,MATCH(B140,Patients!$A$2:$A$501,0))&amp;"",""))</f>
        <v/>
      </c>
      <c r="D140" s="1"/>
      <c r="E140" s="1"/>
      <c r="F140" s="1"/>
      <c r="G140" s="28"/>
      <c r="H140" s="1"/>
      <c r="I140" s="1"/>
      <c r="J140" s="29"/>
      <c r="K140" s="1"/>
      <c r="L140" s="20" t="str">
        <f aca="false">IF(E140="","",IFERROR(INDEX(Settings!$D$13:$D$32,MATCH(E140,Settings!$A$13:$A$32,0)),0)*IF(F140="",1,F140))</f>
        <v/>
      </c>
      <c r="M140" s="20" t="str">
        <f aca="false">IF(L140="","",IF(I140="",L140,L140*(1-IF(J140="",Settings!$B$6,J140))))</f>
        <v/>
      </c>
      <c r="N140" s="20" t="str">
        <f aca="false">IF(OR(L140="",I140=""),"",L140-M140)</f>
        <v/>
      </c>
      <c r="O140" s="1"/>
    </row>
    <row r="141" customFormat="false" ht="15" hidden="false" customHeight="false" outlineLevel="0" collapsed="false">
      <c r="A141" s="27"/>
      <c r="B141" s="1"/>
      <c r="C141" s="24" t="str">
        <f aca="false">IF(B141="","",IFERROR(INDEX(Patients!$B$2:$B$501,MATCH(B141,Patients!$A$2:$A$501,0))&amp;"",""))</f>
        <v/>
      </c>
      <c r="D141" s="1"/>
      <c r="E141" s="1"/>
      <c r="F141" s="1"/>
      <c r="G141" s="28"/>
      <c r="H141" s="1"/>
      <c r="I141" s="1"/>
      <c r="J141" s="29"/>
      <c r="K141" s="1"/>
      <c r="L141" s="20" t="str">
        <f aca="false">IF(E141="","",IFERROR(INDEX(Settings!$D$13:$D$32,MATCH(E141,Settings!$A$13:$A$32,0)),0)*IF(F141="",1,F141))</f>
        <v/>
      </c>
      <c r="M141" s="20" t="str">
        <f aca="false">IF(L141="","",IF(I141="",L141,L141*(1-IF(J141="",Settings!$B$6,J141))))</f>
        <v/>
      </c>
      <c r="N141" s="20" t="str">
        <f aca="false">IF(OR(L141="",I141=""),"",L141-M141)</f>
        <v/>
      </c>
      <c r="O141" s="1"/>
    </row>
    <row r="142" customFormat="false" ht="15" hidden="false" customHeight="false" outlineLevel="0" collapsed="false">
      <c r="A142" s="27"/>
      <c r="B142" s="1"/>
      <c r="C142" s="24" t="str">
        <f aca="false">IF(B142="","",IFERROR(INDEX(Patients!$B$2:$B$501,MATCH(B142,Patients!$A$2:$A$501,0))&amp;"",""))</f>
        <v/>
      </c>
      <c r="D142" s="1"/>
      <c r="E142" s="1"/>
      <c r="F142" s="1"/>
      <c r="G142" s="28"/>
      <c r="H142" s="1"/>
      <c r="I142" s="1"/>
      <c r="J142" s="29"/>
      <c r="K142" s="1"/>
      <c r="L142" s="20" t="str">
        <f aca="false">IF(E142="","",IFERROR(INDEX(Settings!$D$13:$D$32,MATCH(E142,Settings!$A$13:$A$32,0)),0)*IF(F142="",1,F142))</f>
        <v/>
      </c>
      <c r="M142" s="20" t="str">
        <f aca="false">IF(L142="","",IF(I142="",L142,L142*(1-IF(J142="",Settings!$B$6,J142))))</f>
        <v/>
      </c>
      <c r="N142" s="20" t="str">
        <f aca="false">IF(OR(L142="",I142=""),"",L142-M142)</f>
        <v/>
      </c>
      <c r="O142" s="1"/>
    </row>
    <row r="143" customFormat="false" ht="15" hidden="false" customHeight="false" outlineLevel="0" collapsed="false">
      <c r="A143" s="27"/>
      <c r="B143" s="1"/>
      <c r="C143" s="24" t="str">
        <f aca="false">IF(B143="","",IFERROR(INDEX(Patients!$B$2:$B$501,MATCH(B143,Patients!$A$2:$A$501,0))&amp;"",""))</f>
        <v/>
      </c>
      <c r="D143" s="1"/>
      <c r="E143" s="1"/>
      <c r="F143" s="1"/>
      <c r="G143" s="28"/>
      <c r="H143" s="1"/>
      <c r="I143" s="1"/>
      <c r="J143" s="29"/>
      <c r="K143" s="1"/>
      <c r="L143" s="20" t="str">
        <f aca="false">IF(E143="","",IFERROR(INDEX(Settings!$D$13:$D$32,MATCH(E143,Settings!$A$13:$A$32,0)),0)*IF(F143="",1,F143))</f>
        <v/>
      </c>
      <c r="M143" s="20" t="str">
        <f aca="false">IF(L143="","",IF(I143="",L143,L143*(1-IF(J143="",Settings!$B$6,J143))))</f>
        <v/>
      </c>
      <c r="N143" s="20" t="str">
        <f aca="false">IF(OR(L143="",I143=""),"",L143-M143)</f>
        <v/>
      </c>
      <c r="O143" s="1"/>
    </row>
    <row r="144" customFormat="false" ht="15" hidden="false" customHeight="false" outlineLevel="0" collapsed="false">
      <c r="A144" s="27"/>
      <c r="B144" s="1"/>
      <c r="C144" s="24" t="str">
        <f aca="false">IF(B144="","",IFERROR(INDEX(Patients!$B$2:$B$501,MATCH(B144,Patients!$A$2:$A$501,0))&amp;"",""))</f>
        <v/>
      </c>
      <c r="D144" s="1"/>
      <c r="E144" s="1"/>
      <c r="F144" s="1"/>
      <c r="G144" s="28"/>
      <c r="H144" s="1"/>
      <c r="I144" s="1"/>
      <c r="J144" s="29"/>
      <c r="K144" s="1"/>
      <c r="L144" s="20" t="str">
        <f aca="false">IF(E144="","",IFERROR(INDEX(Settings!$D$13:$D$32,MATCH(E144,Settings!$A$13:$A$32,0)),0)*IF(F144="",1,F144))</f>
        <v/>
      </c>
      <c r="M144" s="20" t="str">
        <f aca="false">IF(L144="","",IF(I144="",L144,L144*(1-IF(J144="",Settings!$B$6,J144))))</f>
        <v/>
      </c>
      <c r="N144" s="20" t="str">
        <f aca="false">IF(OR(L144="",I144=""),"",L144-M144)</f>
        <v/>
      </c>
      <c r="O144" s="1"/>
    </row>
    <row r="145" customFormat="false" ht="15" hidden="false" customHeight="false" outlineLevel="0" collapsed="false">
      <c r="A145" s="27"/>
      <c r="B145" s="1"/>
      <c r="C145" s="24" t="str">
        <f aca="false">IF(B145="","",IFERROR(INDEX(Patients!$B$2:$B$501,MATCH(B145,Patients!$A$2:$A$501,0))&amp;"",""))</f>
        <v/>
      </c>
      <c r="D145" s="1"/>
      <c r="E145" s="1"/>
      <c r="F145" s="1"/>
      <c r="G145" s="28"/>
      <c r="H145" s="1"/>
      <c r="I145" s="1"/>
      <c r="J145" s="29"/>
      <c r="K145" s="1"/>
      <c r="L145" s="20" t="str">
        <f aca="false">IF(E145="","",IFERROR(INDEX(Settings!$D$13:$D$32,MATCH(E145,Settings!$A$13:$A$32,0)),0)*IF(F145="",1,F145))</f>
        <v/>
      </c>
      <c r="M145" s="20" t="str">
        <f aca="false">IF(L145="","",IF(I145="",L145,L145*(1-IF(J145="",Settings!$B$6,J145))))</f>
        <v/>
      </c>
      <c r="N145" s="20" t="str">
        <f aca="false">IF(OR(L145="",I145=""),"",L145-M145)</f>
        <v/>
      </c>
      <c r="O145" s="1"/>
    </row>
    <row r="146" customFormat="false" ht="15" hidden="false" customHeight="false" outlineLevel="0" collapsed="false">
      <c r="A146" s="27"/>
      <c r="B146" s="1"/>
      <c r="C146" s="24" t="str">
        <f aca="false">IF(B146="","",IFERROR(INDEX(Patients!$B$2:$B$501,MATCH(B146,Patients!$A$2:$A$501,0))&amp;"",""))</f>
        <v/>
      </c>
      <c r="D146" s="1"/>
      <c r="E146" s="1"/>
      <c r="F146" s="1"/>
      <c r="G146" s="28"/>
      <c r="H146" s="1"/>
      <c r="I146" s="1"/>
      <c r="J146" s="29"/>
      <c r="K146" s="1"/>
      <c r="L146" s="20" t="str">
        <f aca="false">IF(E146="","",IFERROR(INDEX(Settings!$D$13:$D$32,MATCH(E146,Settings!$A$13:$A$32,0)),0)*IF(F146="",1,F146))</f>
        <v/>
      </c>
      <c r="M146" s="20" t="str">
        <f aca="false">IF(L146="","",IF(I146="",L146,L146*(1-IF(J146="",Settings!$B$6,J146))))</f>
        <v/>
      </c>
      <c r="N146" s="20" t="str">
        <f aca="false">IF(OR(L146="",I146=""),"",L146-M146)</f>
        <v/>
      </c>
      <c r="O146" s="1"/>
    </row>
    <row r="147" customFormat="false" ht="15" hidden="false" customHeight="false" outlineLevel="0" collapsed="false">
      <c r="A147" s="27"/>
      <c r="B147" s="1"/>
      <c r="C147" s="24" t="str">
        <f aca="false">IF(B147="","",IFERROR(INDEX(Patients!$B$2:$B$501,MATCH(B147,Patients!$A$2:$A$501,0))&amp;"",""))</f>
        <v/>
      </c>
      <c r="D147" s="1"/>
      <c r="E147" s="1"/>
      <c r="F147" s="1"/>
      <c r="G147" s="28"/>
      <c r="H147" s="1"/>
      <c r="I147" s="1"/>
      <c r="J147" s="29"/>
      <c r="K147" s="1"/>
      <c r="L147" s="20" t="str">
        <f aca="false">IF(E147="","",IFERROR(INDEX(Settings!$D$13:$D$32,MATCH(E147,Settings!$A$13:$A$32,0)),0)*IF(F147="",1,F147))</f>
        <v/>
      </c>
      <c r="M147" s="20" t="str">
        <f aca="false">IF(L147="","",IF(I147="",L147,L147*(1-IF(J147="",Settings!$B$6,J147))))</f>
        <v/>
      </c>
      <c r="N147" s="20" t="str">
        <f aca="false">IF(OR(L147="",I147=""),"",L147-M147)</f>
        <v/>
      </c>
      <c r="O147" s="1"/>
    </row>
    <row r="148" customFormat="false" ht="15" hidden="false" customHeight="false" outlineLevel="0" collapsed="false">
      <c r="A148" s="27"/>
      <c r="B148" s="1"/>
      <c r="C148" s="24" t="str">
        <f aca="false">IF(B148="","",IFERROR(INDEX(Patients!$B$2:$B$501,MATCH(B148,Patients!$A$2:$A$501,0))&amp;"",""))</f>
        <v/>
      </c>
      <c r="D148" s="1"/>
      <c r="E148" s="1"/>
      <c r="F148" s="1"/>
      <c r="G148" s="28"/>
      <c r="H148" s="1"/>
      <c r="I148" s="1"/>
      <c r="J148" s="29"/>
      <c r="K148" s="1"/>
      <c r="L148" s="20" t="str">
        <f aca="false">IF(E148="","",IFERROR(INDEX(Settings!$D$13:$D$32,MATCH(E148,Settings!$A$13:$A$32,0)),0)*IF(F148="",1,F148))</f>
        <v/>
      </c>
      <c r="M148" s="20" t="str">
        <f aca="false">IF(L148="","",IF(I148="",L148,L148*(1-IF(J148="",Settings!$B$6,J148))))</f>
        <v/>
      </c>
      <c r="N148" s="20" t="str">
        <f aca="false">IF(OR(L148="",I148=""),"",L148-M148)</f>
        <v/>
      </c>
      <c r="O148" s="1"/>
    </row>
    <row r="149" customFormat="false" ht="15" hidden="false" customHeight="false" outlineLevel="0" collapsed="false">
      <c r="A149" s="27"/>
      <c r="B149" s="1"/>
      <c r="C149" s="24" t="str">
        <f aca="false">IF(B149="","",IFERROR(INDEX(Patients!$B$2:$B$501,MATCH(B149,Patients!$A$2:$A$501,0))&amp;"",""))</f>
        <v/>
      </c>
      <c r="D149" s="1"/>
      <c r="E149" s="1"/>
      <c r="F149" s="1"/>
      <c r="G149" s="28"/>
      <c r="H149" s="1"/>
      <c r="I149" s="1"/>
      <c r="J149" s="29"/>
      <c r="K149" s="1"/>
      <c r="L149" s="20" t="str">
        <f aca="false">IF(E149="","",IFERROR(INDEX(Settings!$D$13:$D$32,MATCH(E149,Settings!$A$13:$A$32,0)),0)*IF(F149="",1,F149))</f>
        <v/>
      </c>
      <c r="M149" s="20" t="str">
        <f aca="false">IF(L149="","",IF(I149="",L149,L149*(1-IF(J149="",Settings!$B$6,J149))))</f>
        <v/>
      </c>
      <c r="N149" s="20" t="str">
        <f aca="false">IF(OR(L149="",I149=""),"",L149-M149)</f>
        <v/>
      </c>
      <c r="O149" s="1"/>
    </row>
    <row r="150" customFormat="false" ht="15" hidden="false" customHeight="false" outlineLevel="0" collapsed="false">
      <c r="A150" s="27"/>
      <c r="B150" s="1"/>
      <c r="C150" s="24" t="str">
        <f aca="false">IF(B150="","",IFERROR(INDEX(Patients!$B$2:$B$501,MATCH(B150,Patients!$A$2:$A$501,0))&amp;"",""))</f>
        <v/>
      </c>
      <c r="D150" s="1"/>
      <c r="E150" s="1"/>
      <c r="F150" s="1"/>
      <c r="G150" s="28"/>
      <c r="H150" s="1"/>
      <c r="I150" s="1"/>
      <c r="J150" s="29"/>
      <c r="K150" s="1"/>
      <c r="L150" s="20" t="str">
        <f aca="false">IF(E150="","",IFERROR(INDEX(Settings!$D$13:$D$32,MATCH(E150,Settings!$A$13:$A$32,0)),0)*IF(F150="",1,F150))</f>
        <v/>
      </c>
      <c r="M150" s="20" t="str">
        <f aca="false">IF(L150="","",IF(I150="",L150,L150*(1-IF(J150="",Settings!$B$6,J150))))</f>
        <v/>
      </c>
      <c r="N150" s="20" t="str">
        <f aca="false">IF(OR(L150="",I150=""),"",L150-M150)</f>
        <v/>
      </c>
      <c r="O150" s="1"/>
    </row>
    <row r="151" customFormat="false" ht="15" hidden="false" customHeight="false" outlineLevel="0" collapsed="false">
      <c r="A151" s="27"/>
      <c r="B151" s="1"/>
      <c r="C151" s="24" t="str">
        <f aca="false">IF(B151="","",IFERROR(INDEX(Patients!$B$2:$B$501,MATCH(B151,Patients!$A$2:$A$501,0))&amp;"",""))</f>
        <v/>
      </c>
      <c r="D151" s="1"/>
      <c r="E151" s="1"/>
      <c r="F151" s="1"/>
      <c r="G151" s="28"/>
      <c r="H151" s="1"/>
      <c r="I151" s="1"/>
      <c r="J151" s="29"/>
      <c r="K151" s="1"/>
      <c r="L151" s="20" t="str">
        <f aca="false">IF(E151="","",IFERROR(INDEX(Settings!$D$13:$D$32,MATCH(E151,Settings!$A$13:$A$32,0)),0)*IF(F151="",1,F151))</f>
        <v/>
      </c>
      <c r="M151" s="20" t="str">
        <f aca="false">IF(L151="","",IF(I151="",L151,L151*(1-IF(J151="",Settings!$B$6,J151))))</f>
        <v/>
      </c>
      <c r="N151" s="20" t="str">
        <f aca="false">IF(OR(L151="",I151=""),"",L151-M151)</f>
        <v/>
      </c>
      <c r="O151" s="1"/>
    </row>
    <row r="152" customFormat="false" ht="15" hidden="false" customHeight="false" outlineLevel="0" collapsed="false">
      <c r="A152" s="27"/>
      <c r="B152" s="1"/>
      <c r="C152" s="24" t="str">
        <f aca="false">IF(B152="","",IFERROR(INDEX(Patients!$B$2:$B$501,MATCH(B152,Patients!$A$2:$A$501,0))&amp;"",""))</f>
        <v/>
      </c>
      <c r="D152" s="1"/>
      <c r="E152" s="1"/>
      <c r="F152" s="1"/>
      <c r="G152" s="28"/>
      <c r="H152" s="1"/>
      <c r="I152" s="1"/>
      <c r="J152" s="29"/>
      <c r="K152" s="1"/>
      <c r="L152" s="20" t="str">
        <f aca="false">IF(E152="","",IFERROR(INDEX(Settings!$D$13:$D$32,MATCH(E152,Settings!$A$13:$A$32,0)),0)*IF(F152="",1,F152))</f>
        <v/>
      </c>
      <c r="M152" s="20" t="str">
        <f aca="false">IF(L152="","",IF(I152="",L152,L152*(1-IF(J152="",Settings!$B$6,J152))))</f>
        <v/>
      </c>
      <c r="N152" s="20" t="str">
        <f aca="false">IF(OR(L152="",I152=""),"",L152-M152)</f>
        <v/>
      </c>
      <c r="O152" s="1"/>
    </row>
    <row r="153" customFormat="false" ht="15" hidden="false" customHeight="false" outlineLevel="0" collapsed="false">
      <c r="A153" s="27"/>
      <c r="B153" s="1"/>
      <c r="C153" s="24" t="str">
        <f aca="false">IF(B153="","",IFERROR(INDEX(Patients!$B$2:$B$501,MATCH(B153,Patients!$A$2:$A$501,0))&amp;"",""))</f>
        <v/>
      </c>
      <c r="D153" s="1"/>
      <c r="E153" s="1"/>
      <c r="F153" s="1"/>
      <c r="G153" s="28"/>
      <c r="H153" s="1"/>
      <c r="I153" s="1"/>
      <c r="J153" s="29"/>
      <c r="K153" s="1"/>
      <c r="L153" s="20" t="str">
        <f aca="false">IF(E153="","",IFERROR(INDEX(Settings!$D$13:$D$32,MATCH(E153,Settings!$A$13:$A$32,0)),0)*IF(F153="",1,F153))</f>
        <v/>
      </c>
      <c r="M153" s="20" t="str">
        <f aca="false">IF(L153="","",IF(I153="",L153,L153*(1-IF(J153="",Settings!$B$6,J153))))</f>
        <v/>
      </c>
      <c r="N153" s="20" t="str">
        <f aca="false">IF(OR(L153="",I153=""),"",L153-M153)</f>
        <v/>
      </c>
      <c r="O153" s="1"/>
    </row>
    <row r="154" customFormat="false" ht="15" hidden="false" customHeight="false" outlineLevel="0" collapsed="false">
      <c r="A154" s="27"/>
      <c r="B154" s="1"/>
      <c r="C154" s="24" t="str">
        <f aca="false">IF(B154="","",IFERROR(INDEX(Patients!$B$2:$B$501,MATCH(B154,Patients!$A$2:$A$501,0))&amp;"",""))</f>
        <v/>
      </c>
      <c r="D154" s="1"/>
      <c r="E154" s="1"/>
      <c r="F154" s="1"/>
      <c r="G154" s="28"/>
      <c r="H154" s="1"/>
      <c r="I154" s="1"/>
      <c r="J154" s="29"/>
      <c r="K154" s="1"/>
      <c r="L154" s="20" t="str">
        <f aca="false">IF(E154="","",IFERROR(INDEX(Settings!$D$13:$D$32,MATCH(E154,Settings!$A$13:$A$32,0)),0)*IF(F154="",1,F154))</f>
        <v/>
      </c>
      <c r="M154" s="20" t="str">
        <f aca="false">IF(L154="","",IF(I154="",L154,L154*(1-IF(J154="",Settings!$B$6,J154))))</f>
        <v/>
      </c>
      <c r="N154" s="20" t="str">
        <f aca="false">IF(OR(L154="",I154=""),"",L154-M154)</f>
        <v/>
      </c>
      <c r="O154" s="1"/>
    </row>
    <row r="155" customFormat="false" ht="15" hidden="false" customHeight="false" outlineLevel="0" collapsed="false">
      <c r="A155" s="27"/>
      <c r="B155" s="1"/>
      <c r="C155" s="24" t="str">
        <f aca="false">IF(B155="","",IFERROR(INDEX(Patients!$B$2:$B$501,MATCH(B155,Patients!$A$2:$A$501,0))&amp;"",""))</f>
        <v/>
      </c>
      <c r="D155" s="1"/>
      <c r="E155" s="1"/>
      <c r="F155" s="1"/>
      <c r="G155" s="28"/>
      <c r="H155" s="1"/>
      <c r="I155" s="1"/>
      <c r="J155" s="29"/>
      <c r="K155" s="1"/>
      <c r="L155" s="20" t="str">
        <f aca="false">IF(E155="","",IFERROR(INDEX(Settings!$D$13:$D$32,MATCH(E155,Settings!$A$13:$A$32,0)),0)*IF(F155="",1,F155))</f>
        <v/>
      </c>
      <c r="M155" s="20" t="str">
        <f aca="false">IF(L155="","",IF(I155="",L155,L155*(1-IF(J155="",Settings!$B$6,J155))))</f>
        <v/>
      </c>
      <c r="N155" s="20" t="str">
        <f aca="false">IF(OR(L155="",I155=""),"",L155-M155)</f>
        <v/>
      </c>
      <c r="O155" s="1"/>
    </row>
    <row r="156" customFormat="false" ht="15" hidden="false" customHeight="false" outlineLevel="0" collapsed="false">
      <c r="A156" s="27"/>
      <c r="B156" s="1"/>
      <c r="C156" s="24" t="str">
        <f aca="false">IF(B156="","",IFERROR(INDEX(Patients!$B$2:$B$501,MATCH(B156,Patients!$A$2:$A$501,0))&amp;"",""))</f>
        <v/>
      </c>
      <c r="D156" s="1"/>
      <c r="E156" s="1"/>
      <c r="F156" s="1"/>
      <c r="G156" s="28"/>
      <c r="H156" s="1"/>
      <c r="I156" s="1"/>
      <c r="J156" s="29"/>
      <c r="K156" s="1"/>
      <c r="L156" s="20" t="str">
        <f aca="false">IF(E156="","",IFERROR(INDEX(Settings!$D$13:$D$32,MATCH(E156,Settings!$A$13:$A$32,0)),0)*IF(F156="",1,F156))</f>
        <v/>
      </c>
      <c r="M156" s="20" t="str">
        <f aca="false">IF(L156="","",IF(I156="",L156,L156*(1-IF(J156="",Settings!$B$6,J156))))</f>
        <v/>
      </c>
      <c r="N156" s="20" t="str">
        <f aca="false">IF(OR(L156="",I156=""),"",L156-M156)</f>
        <v/>
      </c>
      <c r="O156" s="1"/>
    </row>
    <row r="157" customFormat="false" ht="15" hidden="false" customHeight="false" outlineLevel="0" collapsed="false">
      <c r="A157" s="27"/>
      <c r="B157" s="1"/>
      <c r="C157" s="24" t="str">
        <f aca="false">IF(B157="","",IFERROR(INDEX(Patients!$B$2:$B$501,MATCH(B157,Patients!$A$2:$A$501,0))&amp;"",""))</f>
        <v/>
      </c>
      <c r="D157" s="1"/>
      <c r="E157" s="1"/>
      <c r="F157" s="1"/>
      <c r="G157" s="28"/>
      <c r="H157" s="1"/>
      <c r="I157" s="1"/>
      <c r="J157" s="29"/>
      <c r="K157" s="1"/>
      <c r="L157" s="20" t="str">
        <f aca="false">IF(E157="","",IFERROR(INDEX(Settings!$D$13:$D$32,MATCH(E157,Settings!$A$13:$A$32,0)),0)*IF(F157="",1,F157))</f>
        <v/>
      </c>
      <c r="M157" s="20" t="str">
        <f aca="false">IF(L157="","",IF(I157="",L157,L157*(1-IF(J157="",Settings!$B$6,J157))))</f>
        <v/>
      </c>
      <c r="N157" s="20" t="str">
        <f aca="false">IF(OR(L157="",I157=""),"",L157-M157)</f>
        <v/>
      </c>
      <c r="O157" s="1"/>
    </row>
    <row r="158" customFormat="false" ht="15" hidden="false" customHeight="false" outlineLevel="0" collapsed="false">
      <c r="A158" s="27"/>
      <c r="B158" s="1"/>
      <c r="C158" s="24" t="str">
        <f aca="false">IF(B158="","",IFERROR(INDEX(Patients!$B$2:$B$501,MATCH(B158,Patients!$A$2:$A$501,0))&amp;"",""))</f>
        <v/>
      </c>
      <c r="D158" s="1"/>
      <c r="E158" s="1"/>
      <c r="F158" s="1"/>
      <c r="G158" s="28"/>
      <c r="H158" s="1"/>
      <c r="I158" s="1"/>
      <c r="J158" s="29"/>
      <c r="K158" s="1"/>
      <c r="L158" s="20" t="str">
        <f aca="false">IF(E158="","",IFERROR(INDEX(Settings!$D$13:$D$32,MATCH(E158,Settings!$A$13:$A$32,0)),0)*IF(F158="",1,F158))</f>
        <v/>
      </c>
      <c r="M158" s="20" t="str">
        <f aca="false">IF(L158="","",IF(I158="",L158,L158*(1-IF(J158="",Settings!$B$6,J158))))</f>
        <v/>
      </c>
      <c r="N158" s="20" t="str">
        <f aca="false">IF(OR(L158="",I158=""),"",L158-M158)</f>
        <v/>
      </c>
      <c r="O158" s="1"/>
    </row>
    <row r="159" customFormat="false" ht="15" hidden="false" customHeight="false" outlineLevel="0" collapsed="false">
      <c r="A159" s="27"/>
      <c r="B159" s="1"/>
      <c r="C159" s="24" t="str">
        <f aca="false">IF(B159="","",IFERROR(INDEX(Patients!$B$2:$B$501,MATCH(B159,Patients!$A$2:$A$501,0))&amp;"",""))</f>
        <v/>
      </c>
      <c r="D159" s="1"/>
      <c r="E159" s="1"/>
      <c r="F159" s="1"/>
      <c r="G159" s="28"/>
      <c r="H159" s="1"/>
      <c r="I159" s="1"/>
      <c r="J159" s="29"/>
      <c r="K159" s="1"/>
      <c r="L159" s="20" t="str">
        <f aca="false">IF(E159="","",IFERROR(INDEX(Settings!$D$13:$D$32,MATCH(E159,Settings!$A$13:$A$32,0)),0)*IF(F159="",1,F159))</f>
        <v/>
      </c>
      <c r="M159" s="20" t="str">
        <f aca="false">IF(L159="","",IF(I159="",L159,L159*(1-IF(J159="",Settings!$B$6,J159))))</f>
        <v/>
      </c>
      <c r="N159" s="20" t="str">
        <f aca="false">IF(OR(L159="",I159=""),"",L159-M159)</f>
        <v/>
      </c>
      <c r="O159" s="1"/>
    </row>
    <row r="160" customFormat="false" ht="15" hidden="false" customHeight="false" outlineLevel="0" collapsed="false">
      <c r="A160" s="27"/>
      <c r="B160" s="1"/>
      <c r="C160" s="24" t="str">
        <f aca="false">IF(B160="","",IFERROR(INDEX(Patients!$B$2:$B$501,MATCH(B160,Patients!$A$2:$A$501,0))&amp;"",""))</f>
        <v/>
      </c>
      <c r="D160" s="1"/>
      <c r="E160" s="1"/>
      <c r="F160" s="1"/>
      <c r="G160" s="28"/>
      <c r="H160" s="1"/>
      <c r="I160" s="1"/>
      <c r="J160" s="29"/>
      <c r="K160" s="1"/>
      <c r="L160" s="20" t="str">
        <f aca="false">IF(E160="","",IFERROR(INDEX(Settings!$D$13:$D$32,MATCH(E160,Settings!$A$13:$A$32,0)),0)*IF(F160="",1,F160))</f>
        <v/>
      </c>
      <c r="M160" s="20" t="str">
        <f aca="false">IF(L160="","",IF(I160="",L160,L160*(1-IF(J160="",Settings!$B$6,J160))))</f>
        <v/>
      </c>
      <c r="N160" s="20" t="str">
        <f aca="false">IF(OR(L160="",I160=""),"",L160-M160)</f>
        <v/>
      </c>
      <c r="O160" s="1"/>
    </row>
    <row r="161" customFormat="false" ht="15" hidden="false" customHeight="false" outlineLevel="0" collapsed="false">
      <c r="A161" s="27"/>
      <c r="B161" s="1"/>
      <c r="C161" s="24" t="str">
        <f aca="false">IF(B161="","",IFERROR(INDEX(Patients!$B$2:$B$501,MATCH(B161,Patients!$A$2:$A$501,0))&amp;"",""))</f>
        <v/>
      </c>
      <c r="D161" s="1"/>
      <c r="E161" s="1"/>
      <c r="F161" s="1"/>
      <c r="G161" s="28"/>
      <c r="H161" s="1"/>
      <c r="I161" s="1"/>
      <c r="J161" s="29"/>
      <c r="K161" s="1"/>
      <c r="L161" s="20" t="str">
        <f aca="false">IF(E161="","",IFERROR(INDEX(Settings!$D$13:$D$32,MATCH(E161,Settings!$A$13:$A$32,0)),0)*IF(F161="",1,F161))</f>
        <v/>
      </c>
      <c r="M161" s="20" t="str">
        <f aca="false">IF(L161="","",IF(I161="",L161,L161*(1-IF(J161="",Settings!$B$6,J161))))</f>
        <v/>
      </c>
      <c r="N161" s="20" t="str">
        <f aca="false">IF(OR(L161="",I161=""),"",L161-M161)</f>
        <v/>
      </c>
      <c r="O161" s="1"/>
    </row>
    <row r="162" customFormat="false" ht="15" hidden="false" customHeight="false" outlineLevel="0" collapsed="false">
      <c r="A162" s="27"/>
      <c r="B162" s="1"/>
      <c r="C162" s="24" t="str">
        <f aca="false">IF(B162="","",IFERROR(INDEX(Patients!$B$2:$B$501,MATCH(B162,Patients!$A$2:$A$501,0))&amp;"",""))</f>
        <v/>
      </c>
      <c r="D162" s="1"/>
      <c r="E162" s="1"/>
      <c r="F162" s="1"/>
      <c r="G162" s="28"/>
      <c r="H162" s="1"/>
      <c r="I162" s="1"/>
      <c r="J162" s="29"/>
      <c r="K162" s="1"/>
      <c r="L162" s="20" t="str">
        <f aca="false">IF(E162="","",IFERROR(INDEX(Settings!$D$13:$D$32,MATCH(E162,Settings!$A$13:$A$32,0)),0)*IF(F162="",1,F162))</f>
        <v/>
      </c>
      <c r="M162" s="20" t="str">
        <f aca="false">IF(L162="","",IF(I162="",L162,L162*(1-IF(J162="",Settings!$B$6,J162))))</f>
        <v/>
      </c>
      <c r="N162" s="20" t="str">
        <f aca="false">IF(OR(L162="",I162=""),"",L162-M162)</f>
        <v/>
      </c>
      <c r="O162" s="1"/>
    </row>
    <row r="163" customFormat="false" ht="15" hidden="false" customHeight="false" outlineLevel="0" collapsed="false">
      <c r="A163" s="27"/>
      <c r="B163" s="1"/>
      <c r="C163" s="24" t="str">
        <f aca="false">IF(B163="","",IFERROR(INDEX(Patients!$B$2:$B$501,MATCH(B163,Patients!$A$2:$A$501,0))&amp;"",""))</f>
        <v/>
      </c>
      <c r="D163" s="1"/>
      <c r="E163" s="1"/>
      <c r="F163" s="1"/>
      <c r="G163" s="28"/>
      <c r="H163" s="1"/>
      <c r="I163" s="1"/>
      <c r="J163" s="29"/>
      <c r="K163" s="1"/>
      <c r="L163" s="20" t="str">
        <f aca="false">IF(E163="","",IFERROR(INDEX(Settings!$D$13:$D$32,MATCH(E163,Settings!$A$13:$A$32,0)),0)*IF(F163="",1,F163))</f>
        <v/>
      </c>
      <c r="M163" s="20" t="str">
        <f aca="false">IF(L163="","",IF(I163="",L163,L163*(1-IF(J163="",Settings!$B$6,J163))))</f>
        <v/>
      </c>
      <c r="N163" s="20" t="str">
        <f aca="false">IF(OR(L163="",I163=""),"",L163-M163)</f>
        <v/>
      </c>
      <c r="O163" s="1"/>
    </row>
    <row r="164" customFormat="false" ht="15" hidden="false" customHeight="false" outlineLevel="0" collapsed="false">
      <c r="A164" s="27"/>
      <c r="B164" s="1"/>
      <c r="C164" s="24" t="str">
        <f aca="false">IF(B164="","",IFERROR(INDEX(Patients!$B$2:$B$501,MATCH(B164,Patients!$A$2:$A$501,0))&amp;"",""))</f>
        <v/>
      </c>
      <c r="D164" s="1"/>
      <c r="E164" s="1"/>
      <c r="F164" s="1"/>
      <c r="G164" s="28"/>
      <c r="H164" s="1"/>
      <c r="I164" s="1"/>
      <c r="J164" s="29"/>
      <c r="K164" s="1"/>
      <c r="L164" s="20" t="str">
        <f aca="false">IF(E164="","",IFERROR(INDEX(Settings!$D$13:$D$32,MATCH(E164,Settings!$A$13:$A$32,0)),0)*IF(F164="",1,F164))</f>
        <v/>
      </c>
      <c r="M164" s="20" t="str">
        <f aca="false">IF(L164="","",IF(I164="",L164,L164*(1-IF(J164="",Settings!$B$6,J164))))</f>
        <v/>
      </c>
      <c r="N164" s="20" t="str">
        <f aca="false">IF(OR(L164="",I164=""),"",L164-M164)</f>
        <v/>
      </c>
      <c r="O164" s="1"/>
    </row>
    <row r="165" customFormat="false" ht="15" hidden="false" customHeight="false" outlineLevel="0" collapsed="false">
      <c r="A165" s="27"/>
      <c r="B165" s="1"/>
      <c r="C165" s="24" t="str">
        <f aca="false">IF(B165="","",IFERROR(INDEX(Patients!$B$2:$B$501,MATCH(B165,Patients!$A$2:$A$501,0))&amp;"",""))</f>
        <v/>
      </c>
      <c r="D165" s="1"/>
      <c r="E165" s="1"/>
      <c r="F165" s="1"/>
      <c r="G165" s="28"/>
      <c r="H165" s="1"/>
      <c r="I165" s="1"/>
      <c r="J165" s="29"/>
      <c r="K165" s="1"/>
      <c r="L165" s="20" t="str">
        <f aca="false">IF(E165="","",IFERROR(INDEX(Settings!$D$13:$D$32,MATCH(E165,Settings!$A$13:$A$32,0)),0)*IF(F165="",1,F165))</f>
        <v/>
      </c>
      <c r="M165" s="20" t="str">
        <f aca="false">IF(L165="","",IF(I165="",L165,L165*(1-IF(J165="",Settings!$B$6,J165))))</f>
        <v/>
      </c>
      <c r="N165" s="20" t="str">
        <f aca="false">IF(OR(L165="",I165=""),"",L165-M165)</f>
        <v/>
      </c>
      <c r="O165" s="1"/>
    </row>
    <row r="166" customFormat="false" ht="15" hidden="false" customHeight="false" outlineLevel="0" collapsed="false">
      <c r="A166" s="27"/>
      <c r="B166" s="1"/>
      <c r="C166" s="24" t="str">
        <f aca="false">IF(B166="","",IFERROR(INDEX(Patients!$B$2:$B$501,MATCH(B166,Patients!$A$2:$A$501,0))&amp;"",""))</f>
        <v/>
      </c>
      <c r="D166" s="1"/>
      <c r="E166" s="1"/>
      <c r="F166" s="1"/>
      <c r="G166" s="28"/>
      <c r="H166" s="1"/>
      <c r="I166" s="1"/>
      <c r="J166" s="29"/>
      <c r="K166" s="1"/>
      <c r="L166" s="20" t="str">
        <f aca="false">IF(E166="","",IFERROR(INDEX(Settings!$D$13:$D$32,MATCH(E166,Settings!$A$13:$A$32,0)),0)*IF(F166="",1,F166))</f>
        <v/>
      </c>
      <c r="M166" s="20" t="str">
        <f aca="false">IF(L166="","",IF(I166="",L166,L166*(1-IF(J166="",Settings!$B$6,J166))))</f>
        <v/>
      </c>
      <c r="N166" s="20" t="str">
        <f aca="false">IF(OR(L166="",I166=""),"",L166-M166)</f>
        <v/>
      </c>
      <c r="O166" s="1"/>
    </row>
    <row r="167" customFormat="false" ht="15" hidden="false" customHeight="false" outlineLevel="0" collapsed="false">
      <c r="A167" s="27"/>
      <c r="B167" s="1"/>
      <c r="C167" s="24" t="str">
        <f aca="false">IF(B167="","",IFERROR(INDEX(Patients!$B$2:$B$501,MATCH(B167,Patients!$A$2:$A$501,0))&amp;"",""))</f>
        <v/>
      </c>
      <c r="D167" s="1"/>
      <c r="E167" s="1"/>
      <c r="F167" s="1"/>
      <c r="G167" s="28"/>
      <c r="H167" s="1"/>
      <c r="I167" s="1"/>
      <c r="J167" s="29"/>
      <c r="K167" s="1"/>
      <c r="L167" s="20" t="str">
        <f aca="false">IF(E167="","",IFERROR(INDEX(Settings!$D$13:$D$32,MATCH(E167,Settings!$A$13:$A$32,0)),0)*IF(F167="",1,F167))</f>
        <v/>
      </c>
      <c r="M167" s="20" t="str">
        <f aca="false">IF(L167="","",IF(I167="",L167,L167*(1-IF(J167="",Settings!$B$6,J167))))</f>
        <v/>
      </c>
      <c r="N167" s="20" t="str">
        <f aca="false">IF(OR(L167="",I167=""),"",L167-M167)</f>
        <v/>
      </c>
      <c r="O167" s="1"/>
    </row>
    <row r="168" customFormat="false" ht="15" hidden="false" customHeight="false" outlineLevel="0" collapsed="false">
      <c r="A168" s="27"/>
      <c r="B168" s="1"/>
      <c r="C168" s="24" t="str">
        <f aca="false">IF(B168="","",IFERROR(INDEX(Patients!$B$2:$B$501,MATCH(B168,Patients!$A$2:$A$501,0))&amp;"",""))</f>
        <v/>
      </c>
      <c r="D168" s="1"/>
      <c r="E168" s="1"/>
      <c r="F168" s="1"/>
      <c r="G168" s="28"/>
      <c r="H168" s="1"/>
      <c r="I168" s="1"/>
      <c r="J168" s="29"/>
      <c r="K168" s="1"/>
      <c r="L168" s="20" t="str">
        <f aca="false">IF(E168="","",IFERROR(INDEX(Settings!$D$13:$D$32,MATCH(E168,Settings!$A$13:$A$32,0)),0)*IF(F168="",1,F168))</f>
        <v/>
      </c>
      <c r="M168" s="20" t="str">
        <f aca="false">IF(L168="","",IF(I168="",L168,L168*(1-IF(J168="",Settings!$B$6,J168))))</f>
        <v/>
      </c>
      <c r="N168" s="20" t="str">
        <f aca="false">IF(OR(L168="",I168=""),"",L168-M168)</f>
        <v/>
      </c>
      <c r="O168" s="1"/>
    </row>
    <row r="169" customFormat="false" ht="15" hidden="false" customHeight="false" outlineLevel="0" collapsed="false">
      <c r="A169" s="27"/>
      <c r="B169" s="1"/>
      <c r="C169" s="24" t="str">
        <f aca="false">IF(B169="","",IFERROR(INDEX(Patients!$B$2:$B$501,MATCH(B169,Patients!$A$2:$A$501,0))&amp;"",""))</f>
        <v/>
      </c>
      <c r="D169" s="1"/>
      <c r="E169" s="1"/>
      <c r="F169" s="1"/>
      <c r="G169" s="28"/>
      <c r="H169" s="1"/>
      <c r="I169" s="1"/>
      <c r="J169" s="29"/>
      <c r="K169" s="1"/>
      <c r="L169" s="20" t="str">
        <f aca="false">IF(E169="","",IFERROR(INDEX(Settings!$D$13:$D$32,MATCH(E169,Settings!$A$13:$A$32,0)),0)*IF(F169="",1,F169))</f>
        <v/>
      </c>
      <c r="M169" s="20" t="str">
        <f aca="false">IF(L169="","",IF(I169="",L169,L169*(1-IF(J169="",Settings!$B$6,J169))))</f>
        <v/>
      </c>
      <c r="N169" s="20" t="str">
        <f aca="false">IF(OR(L169="",I169=""),"",L169-M169)</f>
        <v/>
      </c>
      <c r="O169" s="1"/>
    </row>
    <row r="170" customFormat="false" ht="15" hidden="false" customHeight="false" outlineLevel="0" collapsed="false">
      <c r="A170" s="27"/>
      <c r="B170" s="1"/>
      <c r="C170" s="24" t="str">
        <f aca="false">IF(B170="","",IFERROR(INDEX(Patients!$B$2:$B$501,MATCH(B170,Patients!$A$2:$A$501,0))&amp;"",""))</f>
        <v/>
      </c>
      <c r="D170" s="1"/>
      <c r="E170" s="1"/>
      <c r="F170" s="1"/>
      <c r="G170" s="28"/>
      <c r="H170" s="1"/>
      <c r="I170" s="1"/>
      <c r="J170" s="29"/>
      <c r="K170" s="1"/>
      <c r="L170" s="20" t="str">
        <f aca="false">IF(E170="","",IFERROR(INDEX(Settings!$D$13:$D$32,MATCH(E170,Settings!$A$13:$A$32,0)),0)*IF(F170="",1,F170))</f>
        <v/>
      </c>
      <c r="M170" s="20" t="str">
        <f aca="false">IF(L170="","",IF(I170="",L170,L170*(1-IF(J170="",Settings!$B$6,J170))))</f>
        <v/>
      </c>
      <c r="N170" s="20" t="str">
        <f aca="false">IF(OR(L170="",I170=""),"",L170-M170)</f>
        <v/>
      </c>
      <c r="O170" s="1"/>
    </row>
    <row r="171" customFormat="false" ht="15" hidden="false" customHeight="false" outlineLevel="0" collapsed="false">
      <c r="A171" s="27"/>
      <c r="B171" s="1"/>
      <c r="C171" s="24" t="str">
        <f aca="false">IF(B171="","",IFERROR(INDEX(Patients!$B$2:$B$501,MATCH(B171,Patients!$A$2:$A$501,0))&amp;"",""))</f>
        <v/>
      </c>
      <c r="D171" s="1"/>
      <c r="E171" s="1"/>
      <c r="F171" s="1"/>
      <c r="G171" s="28"/>
      <c r="H171" s="1"/>
      <c r="I171" s="1"/>
      <c r="J171" s="29"/>
      <c r="K171" s="1"/>
      <c r="L171" s="20" t="str">
        <f aca="false">IF(E171="","",IFERROR(INDEX(Settings!$D$13:$D$32,MATCH(E171,Settings!$A$13:$A$32,0)),0)*IF(F171="",1,F171))</f>
        <v/>
      </c>
      <c r="M171" s="20" t="str">
        <f aca="false">IF(L171="","",IF(I171="",L171,L171*(1-IF(J171="",Settings!$B$6,J171))))</f>
        <v/>
      </c>
      <c r="N171" s="20" t="str">
        <f aca="false">IF(OR(L171="",I171=""),"",L171-M171)</f>
        <v/>
      </c>
      <c r="O171" s="1"/>
    </row>
    <row r="172" customFormat="false" ht="15" hidden="false" customHeight="false" outlineLevel="0" collapsed="false">
      <c r="A172" s="27"/>
      <c r="B172" s="1"/>
      <c r="C172" s="24" t="str">
        <f aca="false">IF(B172="","",IFERROR(INDEX(Patients!$B$2:$B$501,MATCH(B172,Patients!$A$2:$A$501,0))&amp;"",""))</f>
        <v/>
      </c>
      <c r="D172" s="1"/>
      <c r="E172" s="1"/>
      <c r="F172" s="1"/>
      <c r="G172" s="28"/>
      <c r="H172" s="1"/>
      <c r="I172" s="1"/>
      <c r="J172" s="29"/>
      <c r="K172" s="1"/>
      <c r="L172" s="20" t="str">
        <f aca="false">IF(E172="","",IFERROR(INDEX(Settings!$D$13:$D$32,MATCH(E172,Settings!$A$13:$A$32,0)),0)*IF(F172="",1,F172))</f>
        <v/>
      </c>
      <c r="M172" s="20" t="str">
        <f aca="false">IF(L172="","",IF(I172="",L172,L172*(1-IF(J172="",Settings!$B$6,J172))))</f>
        <v/>
      </c>
      <c r="N172" s="20" t="str">
        <f aca="false">IF(OR(L172="",I172=""),"",L172-M172)</f>
        <v/>
      </c>
      <c r="O172" s="1"/>
    </row>
    <row r="173" customFormat="false" ht="15" hidden="false" customHeight="false" outlineLevel="0" collapsed="false">
      <c r="A173" s="27"/>
      <c r="B173" s="1"/>
      <c r="C173" s="24" t="str">
        <f aca="false">IF(B173="","",IFERROR(INDEX(Patients!$B$2:$B$501,MATCH(B173,Patients!$A$2:$A$501,0))&amp;"",""))</f>
        <v/>
      </c>
      <c r="D173" s="1"/>
      <c r="E173" s="1"/>
      <c r="F173" s="1"/>
      <c r="G173" s="28"/>
      <c r="H173" s="1"/>
      <c r="I173" s="1"/>
      <c r="J173" s="29"/>
      <c r="K173" s="1"/>
      <c r="L173" s="20" t="str">
        <f aca="false">IF(E173="","",IFERROR(INDEX(Settings!$D$13:$D$32,MATCH(E173,Settings!$A$13:$A$32,0)),0)*IF(F173="",1,F173))</f>
        <v/>
      </c>
      <c r="M173" s="20" t="str">
        <f aca="false">IF(L173="","",IF(I173="",L173,L173*(1-IF(J173="",Settings!$B$6,J173))))</f>
        <v/>
      </c>
      <c r="N173" s="20" t="str">
        <f aca="false">IF(OR(L173="",I173=""),"",L173-M173)</f>
        <v/>
      </c>
      <c r="O173" s="1"/>
    </row>
    <row r="174" customFormat="false" ht="15" hidden="false" customHeight="false" outlineLevel="0" collapsed="false">
      <c r="A174" s="27"/>
      <c r="B174" s="1"/>
      <c r="C174" s="24" t="str">
        <f aca="false">IF(B174="","",IFERROR(INDEX(Patients!$B$2:$B$501,MATCH(B174,Patients!$A$2:$A$501,0))&amp;"",""))</f>
        <v/>
      </c>
      <c r="D174" s="1"/>
      <c r="E174" s="1"/>
      <c r="F174" s="1"/>
      <c r="G174" s="28"/>
      <c r="H174" s="1"/>
      <c r="I174" s="1"/>
      <c r="J174" s="29"/>
      <c r="K174" s="1"/>
      <c r="L174" s="20" t="str">
        <f aca="false">IF(E174="","",IFERROR(INDEX(Settings!$D$13:$D$32,MATCH(E174,Settings!$A$13:$A$32,0)),0)*IF(F174="",1,F174))</f>
        <v/>
      </c>
      <c r="M174" s="20" t="str">
        <f aca="false">IF(L174="","",IF(I174="",L174,L174*(1-IF(J174="",Settings!$B$6,J174))))</f>
        <v/>
      </c>
      <c r="N174" s="20" t="str">
        <f aca="false">IF(OR(L174="",I174=""),"",L174-M174)</f>
        <v/>
      </c>
      <c r="O174" s="1"/>
    </row>
    <row r="175" customFormat="false" ht="15" hidden="false" customHeight="false" outlineLevel="0" collapsed="false">
      <c r="A175" s="27"/>
      <c r="B175" s="1"/>
      <c r="C175" s="24" t="str">
        <f aca="false">IF(B175="","",IFERROR(INDEX(Patients!$B$2:$B$501,MATCH(B175,Patients!$A$2:$A$501,0))&amp;"",""))</f>
        <v/>
      </c>
      <c r="D175" s="1"/>
      <c r="E175" s="1"/>
      <c r="F175" s="1"/>
      <c r="G175" s="28"/>
      <c r="H175" s="1"/>
      <c r="I175" s="1"/>
      <c r="J175" s="29"/>
      <c r="K175" s="1"/>
      <c r="L175" s="20" t="str">
        <f aca="false">IF(E175="","",IFERROR(INDEX(Settings!$D$13:$D$32,MATCH(E175,Settings!$A$13:$A$32,0)),0)*IF(F175="",1,F175))</f>
        <v/>
      </c>
      <c r="M175" s="20" t="str">
        <f aca="false">IF(L175="","",IF(I175="",L175,L175*(1-IF(J175="",Settings!$B$6,J175))))</f>
        <v/>
      </c>
      <c r="N175" s="20" t="str">
        <f aca="false">IF(OR(L175="",I175=""),"",L175-M175)</f>
        <v/>
      </c>
      <c r="O175" s="1"/>
    </row>
    <row r="176" customFormat="false" ht="15" hidden="false" customHeight="false" outlineLevel="0" collapsed="false">
      <c r="A176" s="27"/>
      <c r="B176" s="1"/>
      <c r="C176" s="24" t="str">
        <f aca="false">IF(B176="","",IFERROR(INDEX(Patients!$B$2:$B$501,MATCH(B176,Patients!$A$2:$A$501,0))&amp;"",""))</f>
        <v/>
      </c>
      <c r="D176" s="1"/>
      <c r="E176" s="1"/>
      <c r="F176" s="1"/>
      <c r="G176" s="28"/>
      <c r="H176" s="1"/>
      <c r="I176" s="1"/>
      <c r="J176" s="29"/>
      <c r="K176" s="1"/>
      <c r="L176" s="20" t="str">
        <f aca="false">IF(E176="","",IFERROR(INDEX(Settings!$D$13:$D$32,MATCH(E176,Settings!$A$13:$A$32,0)),0)*IF(F176="",1,F176))</f>
        <v/>
      </c>
      <c r="M176" s="20" t="str">
        <f aca="false">IF(L176="","",IF(I176="",L176,L176*(1-IF(J176="",Settings!$B$6,J176))))</f>
        <v/>
      </c>
      <c r="N176" s="20" t="str">
        <f aca="false">IF(OR(L176="",I176=""),"",L176-M176)</f>
        <v/>
      </c>
      <c r="O176" s="1"/>
    </row>
    <row r="177" customFormat="false" ht="15" hidden="false" customHeight="false" outlineLevel="0" collapsed="false">
      <c r="A177" s="27"/>
      <c r="B177" s="1"/>
      <c r="C177" s="24" t="str">
        <f aca="false">IF(B177="","",IFERROR(INDEX(Patients!$B$2:$B$501,MATCH(B177,Patients!$A$2:$A$501,0))&amp;"",""))</f>
        <v/>
      </c>
      <c r="D177" s="1"/>
      <c r="E177" s="1"/>
      <c r="F177" s="1"/>
      <c r="G177" s="28"/>
      <c r="H177" s="1"/>
      <c r="I177" s="1"/>
      <c r="J177" s="29"/>
      <c r="K177" s="1"/>
      <c r="L177" s="20" t="str">
        <f aca="false">IF(E177="","",IFERROR(INDEX(Settings!$D$13:$D$32,MATCH(E177,Settings!$A$13:$A$32,0)),0)*IF(F177="",1,F177))</f>
        <v/>
      </c>
      <c r="M177" s="20" t="str">
        <f aca="false">IF(L177="","",IF(I177="",L177,L177*(1-IF(J177="",Settings!$B$6,J177))))</f>
        <v/>
      </c>
      <c r="N177" s="20" t="str">
        <f aca="false">IF(OR(L177="",I177=""),"",L177-M177)</f>
        <v/>
      </c>
      <c r="O177" s="1"/>
    </row>
    <row r="178" customFormat="false" ht="15" hidden="false" customHeight="false" outlineLevel="0" collapsed="false">
      <c r="A178" s="27"/>
      <c r="B178" s="1"/>
      <c r="C178" s="24" t="str">
        <f aca="false">IF(B178="","",IFERROR(INDEX(Patients!$B$2:$B$501,MATCH(B178,Patients!$A$2:$A$501,0))&amp;"",""))</f>
        <v/>
      </c>
      <c r="D178" s="1"/>
      <c r="E178" s="1"/>
      <c r="F178" s="1"/>
      <c r="G178" s="28"/>
      <c r="H178" s="1"/>
      <c r="I178" s="1"/>
      <c r="J178" s="29"/>
      <c r="K178" s="1"/>
      <c r="L178" s="20" t="str">
        <f aca="false">IF(E178="","",IFERROR(INDEX(Settings!$D$13:$D$32,MATCH(E178,Settings!$A$13:$A$32,0)),0)*IF(F178="",1,F178))</f>
        <v/>
      </c>
      <c r="M178" s="20" t="str">
        <f aca="false">IF(L178="","",IF(I178="",L178,L178*(1-IF(J178="",Settings!$B$6,J178))))</f>
        <v/>
      </c>
      <c r="N178" s="20" t="str">
        <f aca="false">IF(OR(L178="",I178=""),"",L178-M178)</f>
        <v/>
      </c>
      <c r="O178" s="1"/>
    </row>
    <row r="179" customFormat="false" ht="15" hidden="false" customHeight="false" outlineLevel="0" collapsed="false">
      <c r="A179" s="27"/>
      <c r="B179" s="1"/>
      <c r="C179" s="24" t="str">
        <f aca="false">IF(B179="","",IFERROR(INDEX(Patients!$B$2:$B$501,MATCH(B179,Patients!$A$2:$A$501,0))&amp;"",""))</f>
        <v/>
      </c>
      <c r="D179" s="1"/>
      <c r="E179" s="1"/>
      <c r="F179" s="1"/>
      <c r="G179" s="28"/>
      <c r="H179" s="1"/>
      <c r="I179" s="1"/>
      <c r="J179" s="29"/>
      <c r="K179" s="1"/>
      <c r="L179" s="20" t="str">
        <f aca="false">IF(E179="","",IFERROR(INDEX(Settings!$D$13:$D$32,MATCH(E179,Settings!$A$13:$A$32,0)),0)*IF(F179="",1,F179))</f>
        <v/>
      </c>
      <c r="M179" s="20" t="str">
        <f aca="false">IF(L179="","",IF(I179="",L179,L179*(1-IF(J179="",Settings!$B$6,J179))))</f>
        <v/>
      </c>
      <c r="N179" s="20" t="str">
        <f aca="false">IF(OR(L179="",I179=""),"",L179-M179)</f>
        <v/>
      </c>
      <c r="O179" s="1"/>
    </row>
    <row r="180" customFormat="false" ht="15" hidden="false" customHeight="false" outlineLevel="0" collapsed="false">
      <c r="A180" s="27"/>
      <c r="B180" s="1"/>
      <c r="C180" s="24" t="str">
        <f aca="false">IF(B180="","",IFERROR(INDEX(Patients!$B$2:$B$501,MATCH(B180,Patients!$A$2:$A$501,0))&amp;"",""))</f>
        <v/>
      </c>
      <c r="D180" s="1"/>
      <c r="E180" s="1"/>
      <c r="F180" s="1"/>
      <c r="G180" s="28"/>
      <c r="H180" s="1"/>
      <c r="I180" s="1"/>
      <c r="J180" s="29"/>
      <c r="K180" s="1"/>
      <c r="L180" s="20" t="str">
        <f aca="false">IF(E180="","",IFERROR(INDEX(Settings!$D$13:$D$32,MATCH(E180,Settings!$A$13:$A$32,0)),0)*IF(F180="",1,F180))</f>
        <v/>
      </c>
      <c r="M180" s="20" t="str">
        <f aca="false">IF(L180="","",IF(I180="",L180,L180*(1-IF(J180="",Settings!$B$6,J180))))</f>
        <v/>
      </c>
      <c r="N180" s="20" t="str">
        <f aca="false">IF(OR(L180="",I180=""),"",L180-M180)</f>
        <v/>
      </c>
      <c r="O180" s="1"/>
    </row>
    <row r="181" customFormat="false" ht="15" hidden="false" customHeight="false" outlineLevel="0" collapsed="false">
      <c r="A181" s="27"/>
      <c r="B181" s="1"/>
      <c r="C181" s="24" t="str">
        <f aca="false">IF(B181="","",IFERROR(INDEX(Patients!$B$2:$B$501,MATCH(B181,Patients!$A$2:$A$501,0))&amp;"",""))</f>
        <v/>
      </c>
      <c r="D181" s="1"/>
      <c r="E181" s="1"/>
      <c r="F181" s="1"/>
      <c r="G181" s="28"/>
      <c r="H181" s="1"/>
      <c r="I181" s="1"/>
      <c r="J181" s="29"/>
      <c r="K181" s="1"/>
      <c r="L181" s="20" t="str">
        <f aca="false">IF(E181="","",IFERROR(INDEX(Settings!$D$13:$D$32,MATCH(E181,Settings!$A$13:$A$32,0)),0)*IF(F181="",1,F181))</f>
        <v/>
      </c>
      <c r="M181" s="20" t="str">
        <f aca="false">IF(L181="","",IF(I181="",L181,L181*(1-IF(J181="",Settings!$B$6,J181))))</f>
        <v/>
      </c>
      <c r="N181" s="20" t="str">
        <f aca="false">IF(OR(L181="",I181=""),"",L181-M181)</f>
        <v/>
      </c>
      <c r="O181" s="1"/>
    </row>
    <row r="182" customFormat="false" ht="15" hidden="false" customHeight="false" outlineLevel="0" collapsed="false">
      <c r="A182" s="27"/>
      <c r="B182" s="1"/>
      <c r="C182" s="24" t="str">
        <f aca="false">IF(B182="","",IFERROR(INDEX(Patients!$B$2:$B$501,MATCH(B182,Patients!$A$2:$A$501,0))&amp;"",""))</f>
        <v/>
      </c>
      <c r="D182" s="1"/>
      <c r="E182" s="1"/>
      <c r="F182" s="1"/>
      <c r="G182" s="28"/>
      <c r="H182" s="1"/>
      <c r="I182" s="1"/>
      <c r="J182" s="29"/>
      <c r="K182" s="1"/>
      <c r="L182" s="20" t="str">
        <f aca="false">IF(E182="","",IFERROR(INDEX(Settings!$D$13:$D$32,MATCH(E182,Settings!$A$13:$A$32,0)),0)*IF(F182="",1,F182))</f>
        <v/>
      </c>
      <c r="M182" s="20" t="str">
        <f aca="false">IF(L182="","",IF(I182="",L182,L182*(1-IF(J182="",Settings!$B$6,J182))))</f>
        <v/>
      </c>
      <c r="N182" s="20" t="str">
        <f aca="false">IF(OR(L182="",I182=""),"",L182-M182)</f>
        <v/>
      </c>
      <c r="O182" s="1"/>
    </row>
    <row r="183" customFormat="false" ht="15" hidden="false" customHeight="false" outlineLevel="0" collapsed="false">
      <c r="A183" s="27"/>
      <c r="B183" s="1"/>
      <c r="C183" s="24" t="str">
        <f aca="false">IF(B183="","",IFERROR(INDEX(Patients!$B$2:$B$501,MATCH(B183,Patients!$A$2:$A$501,0))&amp;"",""))</f>
        <v/>
      </c>
      <c r="D183" s="1"/>
      <c r="E183" s="1"/>
      <c r="F183" s="1"/>
      <c r="G183" s="28"/>
      <c r="H183" s="1"/>
      <c r="I183" s="1"/>
      <c r="J183" s="29"/>
      <c r="K183" s="1"/>
      <c r="L183" s="20" t="str">
        <f aca="false">IF(E183="","",IFERROR(INDEX(Settings!$D$13:$D$32,MATCH(E183,Settings!$A$13:$A$32,0)),0)*IF(F183="",1,F183))</f>
        <v/>
      </c>
      <c r="M183" s="20" t="str">
        <f aca="false">IF(L183="","",IF(I183="",L183,L183*(1-IF(J183="",Settings!$B$6,J183))))</f>
        <v/>
      </c>
      <c r="N183" s="20" t="str">
        <f aca="false">IF(OR(L183="",I183=""),"",L183-M183)</f>
        <v/>
      </c>
      <c r="O183" s="1"/>
    </row>
    <row r="184" customFormat="false" ht="15" hidden="false" customHeight="false" outlineLevel="0" collapsed="false">
      <c r="A184" s="27"/>
      <c r="B184" s="1"/>
      <c r="C184" s="24" t="str">
        <f aca="false">IF(B184="","",IFERROR(INDEX(Patients!$B$2:$B$501,MATCH(B184,Patients!$A$2:$A$501,0))&amp;"",""))</f>
        <v/>
      </c>
      <c r="D184" s="1"/>
      <c r="E184" s="1"/>
      <c r="F184" s="1"/>
      <c r="G184" s="28"/>
      <c r="H184" s="1"/>
      <c r="I184" s="1"/>
      <c r="J184" s="29"/>
      <c r="K184" s="1"/>
      <c r="L184" s="20" t="str">
        <f aca="false">IF(E184="","",IFERROR(INDEX(Settings!$D$13:$D$32,MATCH(E184,Settings!$A$13:$A$32,0)),0)*IF(F184="",1,F184))</f>
        <v/>
      </c>
      <c r="M184" s="20" t="str">
        <f aca="false">IF(L184="","",IF(I184="",L184,L184*(1-IF(J184="",Settings!$B$6,J184))))</f>
        <v/>
      </c>
      <c r="N184" s="20" t="str">
        <f aca="false">IF(OR(L184="",I184=""),"",L184-M184)</f>
        <v/>
      </c>
      <c r="O184" s="1"/>
    </row>
    <row r="185" customFormat="false" ht="15" hidden="false" customHeight="false" outlineLevel="0" collapsed="false">
      <c r="A185" s="27"/>
      <c r="B185" s="1"/>
      <c r="C185" s="24" t="str">
        <f aca="false">IF(B185="","",IFERROR(INDEX(Patients!$B$2:$B$501,MATCH(B185,Patients!$A$2:$A$501,0))&amp;"",""))</f>
        <v/>
      </c>
      <c r="D185" s="1"/>
      <c r="E185" s="1"/>
      <c r="F185" s="1"/>
      <c r="G185" s="28"/>
      <c r="H185" s="1"/>
      <c r="I185" s="1"/>
      <c r="J185" s="29"/>
      <c r="K185" s="1"/>
      <c r="L185" s="20" t="str">
        <f aca="false">IF(E185="","",IFERROR(INDEX(Settings!$D$13:$D$32,MATCH(E185,Settings!$A$13:$A$32,0)),0)*IF(F185="",1,F185))</f>
        <v/>
      </c>
      <c r="M185" s="20" t="str">
        <f aca="false">IF(L185="","",IF(I185="",L185,L185*(1-IF(J185="",Settings!$B$6,J185))))</f>
        <v/>
      </c>
      <c r="N185" s="20" t="str">
        <f aca="false">IF(OR(L185="",I185=""),"",L185-M185)</f>
        <v/>
      </c>
      <c r="O185" s="1"/>
    </row>
    <row r="186" customFormat="false" ht="15" hidden="false" customHeight="false" outlineLevel="0" collapsed="false">
      <c r="A186" s="27"/>
      <c r="B186" s="1"/>
      <c r="C186" s="24" t="str">
        <f aca="false">IF(B186="","",IFERROR(INDEX(Patients!$B$2:$B$501,MATCH(B186,Patients!$A$2:$A$501,0))&amp;"",""))</f>
        <v/>
      </c>
      <c r="D186" s="1"/>
      <c r="E186" s="1"/>
      <c r="F186" s="1"/>
      <c r="G186" s="28"/>
      <c r="H186" s="1"/>
      <c r="I186" s="1"/>
      <c r="J186" s="29"/>
      <c r="K186" s="1"/>
      <c r="L186" s="20" t="str">
        <f aca="false">IF(E186="","",IFERROR(INDEX(Settings!$D$13:$D$32,MATCH(E186,Settings!$A$13:$A$32,0)),0)*IF(F186="",1,F186))</f>
        <v/>
      </c>
      <c r="M186" s="20" t="str">
        <f aca="false">IF(L186="","",IF(I186="",L186,L186*(1-IF(J186="",Settings!$B$6,J186))))</f>
        <v/>
      </c>
      <c r="N186" s="20" t="str">
        <f aca="false">IF(OR(L186="",I186=""),"",L186-M186)</f>
        <v/>
      </c>
      <c r="O186" s="1"/>
    </row>
    <row r="187" customFormat="false" ht="15" hidden="false" customHeight="false" outlineLevel="0" collapsed="false">
      <c r="A187" s="27"/>
      <c r="B187" s="1"/>
      <c r="C187" s="24" t="str">
        <f aca="false">IF(B187="","",IFERROR(INDEX(Patients!$B$2:$B$501,MATCH(B187,Patients!$A$2:$A$501,0))&amp;"",""))</f>
        <v/>
      </c>
      <c r="D187" s="1"/>
      <c r="E187" s="1"/>
      <c r="F187" s="1"/>
      <c r="G187" s="28"/>
      <c r="H187" s="1"/>
      <c r="I187" s="1"/>
      <c r="J187" s="29"/>
      <c r="K187" s="1"/>
      <c r="L187" s="20" t="str">
        <f aca="false">IF(E187="","",IFERROR(INDEX(Settings!$D$13:$D$32,MATCH(E187,Settings!$A$13:$A$32,0)),0)*IF(F187="",1,F187))</f>
        <v/>
      </c>
      <c r="M187" s="20" t="str">
        <f aca="false">IF(L187="","",IF(I187="",L187,L187*(1-IF(J187="",Settings!$B$6,J187))))</f>
        <v/>
      </c>
      <c r="N187" s="20" t="str">
        <f aca="false">IF(OR(L187="",I187=""),"",L187-M187)</f>
        <v/>
      </c>
      <c r="O187" s="1"/>
    </row>
    <row r="188" customFormat="false" ht="15" hidden="false" customHeight="false" outlineLevel="0" collapsed="false">
      <c r="A188" s="27"/>
      <c r="B188" s="1"/>
      <c r="C188" s="24" t="str">
        <f aca="false">IF(B188="","",IFERROR(INDEX(Patients!$B$2:$B$501,MATCH(B188,Patients!$A$2:$A$501,0))&amp;"",""))</f>
        <v/>
      </c>
      <c r="D188" s="1"/>
      <c r="E188" s="1"/>
      <c r="F188" s="1"/>
      <c r="G188" s="28"/>
      <c r="H188" s="1"/>
      <c r="I188" s="1"/>
      <c r="J188" s="29"/>
      <c r="K188" s="1"/>
      <c r="L188" s="20" t="str">
        <f aca="false">IF(E188="","",IFERROR(INDEX(Settings!$D$13:$D$32,MATCH(E188,Settings!$A$13:$A$32,0)),0)*IF(F188="",1,F188))</f>
        <v/>
      </c>
      <c r="M188" s="20" t="str">
        <f aca="false">IF(L188="","",IF(I188="",L188,L188*(1-IF(J188="",Settings!$B$6,J188))))</f>
        <v/>
      </c>
      <c r="N188" s="20" t="str">
        <f aca="false">IF(OR(L188="",I188=""),"",L188-M188)</f>
        <v/>
      </c>
      <c r="O188" s="1"/>
    </row>
    <row r="189" customFormat="false" ht="15" hidden="false" customHeight="false" outlineLevel="0" collapsed="false">
      <c r="A189" s="27"/>
      <c r="B189" s="1"/>
      <c r="C189" s="24" t="str">
        <f aca="false">IF(B189="","",IFERROR(INDEX(Patients!$B$2:$B$501,MATCH(B189,Patients!$A$2:$A$501,0))&amp;"",""))</f>
        <v/>
      </c>
      <c r="D189" s="1"/>
      <c r="E189" s="1"/>
      <c r="F189" s="1"/>
      <c r="G189" s="28"/>
      <c r="H189" s="1"/>
      <c r="I189" s="1"/>
      <c r="J189" s="29"/>
      <c r="K189" s="1"/>
      <c r="L189" s="20" t="str">
        <f aca="false">IF(E189="","",IFERROR(INDEX(Settings!$D$13:$D$32,MATCH(E189,Settings!$A$13:$A$32,0)),0)*IF(F189="",1,F189))</f>
        <v/>
      </c>
      <c r="M189" s="20" t="str">
        <f aca="false">IF(L189="","",IF(I189="",L189,L189*(1-IF(J189="",Settings!$B$6,J189))))</f>
        <v/>
      </c>
      <c r="N189" s="20" t="str">
        <f aca="false">IF(OR(L189="",I189=""),"",L189-M189)</f>
        <v/>
      </c>
      <c r="O189" s="1"/>
    </row>
    <row r="190" customFormat="false" ht="15" hidden="false" customHeight="false" outlineLevel="0" collapsed="false">
      <c r="A190" s="27"/>
      <c r="B190" s="1"/>
      <c r="C190" s="24" t="str">
        <f aca="false">IF(B190="","",IFERROR(INDEX(Patients!$B$2:$B$501,MATCH(B190,Patients!$A$2:$A$501,0))&amp;"",""))</f>
        <v/>
      </c>
      <c r="D190" s="1"/>
      <c r="E190" s="1"/>
      <c r="F190" s="1"/>
      <c r="G190" s="28"/>
      <c r="H190" s="1"/>
      <c r="I190" s="1"/>
      <c r="J190" s="29"/>
      <c r="K190" s="1"/>
      <c r="L190" s="20" t="str">
        <f aca="false">IF(E190="","",IFERROR(INDEX(Settings!$D$13:$D$32,MATCH(E190,Settings!$A$13:$A$32,0)),0)*IF(F190="",1,F190))</f>
        <v/>
      </c>
      <c r="M190" s="20" t="str">
        <f aca="false">IF(L190="","",IF(I190="",L190,L190*(1-IF(J190="",Settings!$B$6,J190))))</f>
        <v/>
      </c>
      <c r="N190" s="20" t="str">
        <f aca="false">IF(OR(L190="",I190=""),"",L190-M190)</f>
        <v/>
      </c>
      <c r="O190" s="1"/>
    </row>
    <row r="191" customFormat="false" ht="15" hidden="false" customHeight="false" outlineLevel="0" collapsed="false">
      <c r="A191" s="27"/>
      <c r="B191" s="1"/>
      <c r="C191" s="24" t="str">
        <f aca="false">IF(B191="","",IFERROR(INDEX(Patients!$B$2:$B$501,MATCH(B191,Patients!$A$2:$A$501,0))&amp;"",""))</f>
        <v/>
      </c>
      <c r="D191" s="1"/>
      <c r="E191" s="1"/>
      <c r="F191" s="1"/>
      <c r="G191" s="28"/>
      <c r="H191" s="1"/>
      <c r="I191" s="1"/>
      <c r="J191" s="29"/>
      <c r="K191" s="1"/>
      <c r="L191" s="20" t="str">
        <f aca="false">IF(E191="","",IFERROR(INDEX(Settings!$D$13:$D$32,MATCH(E191,Settings!$A$13:$A$32,0)),0)*IF(F191="",1,F191))</f>
        <v/>
      </c>
      <c r="M191" s="20" t="str">
        <f aca="false">IF(L191="","",IF(I191="",L191,L191*(1-IF(J191="",Settings!$B$6,J191))))</f>
        <v/>
      </c>
      <c r="N191" s="20" t="str">
        <f aca="false">IF(OR(L191="",I191=""),"",L191-M191)</f>
        <v/>
      </c>
      <c r="O191" s="1"/>
    </row>
    <row r="192" customFormat="false" ht="15" hidden="false" customHeight="false" outlineLevel="0" collapsed="false">
      <c r="A192" s="27"/>
      <c r="B192" s="1"/>
      <c r="C192" s="24" t="str">
        <f aca="false">IF(B192="","",IFERROR(INDEX(Patients!$B$2:$B$501,MATCH(B192,Patients!$A$2:$A$501,0))&amp;"",""))</f>
        <v/>
      </c>
      <c r="D192" s="1"/>
      <c r="E192" s="1"/>
      <c r="F192" s="1"/>
      <c r="G192" s="28"/>
      <c r="H192" s="1"/>
      <c r="I192" s="1"/>
      <c r="J192" s="29"/>
      <c r="K192" s="1"/>
      <c r="L192" s="20" t="str">
        <f aca="false">IF(E192="","",IFERROR(INDEX(Settings!$D$13:$D$32,MATCH(E192,Settings!$A$13:$A$32,0)),0)*IF(F192="",1,F192))</f>
        <v/>
      </c>
      <c r="M192" s="20" t="str">
        <f aca="false">IF(L192="","",IF(I192="",L192,L192*(1-IF(J192="",Settings!$B$6,J192))))</f>
        <v/>
      </c>
      <c r="N192" s="20" t="str">
        <f aca="false">IF(OR(L192="",I192=""),"",L192-M192)</f>
        <v/>
      </c>
      <c r="O192" s="1"/>
    </row>
    <row r="193" customFormat="false" ht="15" hidden="false" customHeight="false" outlineLevel="0" collapsed="false">
      <c r="A193" s="27"/>
      <c r="B193" s="1"/>
      <c r="C193" s="24" t="str">
        <f aca="false">IF(B193="","",IFERROR(INDEX(Patients!$B$2:$B$501,MATCH(B193,Patients!$A$2:$A$501,0))&amp;"",""))</f>
        <v/>
      </c>
      <c r="D193" s="1"/>
      <c r="E193" s="1"/>
      <c r="F193" s="1"/>
      <c r="G193" s="28"/>
      <c r="H193" s="1"/>
      <c r="I193" s="1"/>
      <c r="J193" s="29"/>
      <c r="K193" s="1"/>
      <c r="L193" s="20" t="str">
        <f aca="false">IF(E193="","",IFERROR(INDEX(Settings!$D$13:$D$32,MATCH(E193,Settings!$A$13:$A$32,0)),0)*IF(F193="",1,F193))</f>
        <v/>
      </c>
      <c r="M193" s="20" t="str">
        <f aca="false">IF(L193="","",IF(I193="",L193,L193*(1-IF(J193="",Settings!$B$6,J193))))</f>
        <v/>
      </c>
      <c r="N193" s="20" t="str">
        <f aca="false">IF(OR(L193="",I193=""),"",L193-M193)</f>
        <v/>
      </c>
      <c r="O193" s="1"/>
    </row>
    <row r="194" customFormat="false" ht="15" hidden="false" customHeight="false" outlineLevel="0" collapsed="false">
      <c r="A194" s="27"/>
      <c r="B194" s="1"/>
      <c r="C194" s="24" t="str">
        <f aca="false">IF(B194="","",IFERROR(INDEX(Patients!$B$2:$B$501,MATCH(B194,Patients!$A$2:$A$501,0))&amp;"",""))</f>
        <v/>
      </c>
      <c r="D194" s="1"/>
      <c r="E194" s="1"/>
      <c r="F194" s="1"/>
      <c r="G194" s="28"/>
      <c r="H194" s="1"/>
      <c r="I194" s="1"/>
      <c r="J194" s="29"/>
      <c r="K194" s="1"/>
      <c r="L194" s="20" t="str">
        <f aca="false">IF(E194="","",IFERROR(INDEX(Settings!$D$13:$D$32,MATCH(E194,Settings!$A$13:$A$32,0)),0)*IF(F194="",1,F194))</f>
        <v/>
      </c>
      <c r="M194" s="20" t="str">
        <f aca="false">IF(L194="","",IF(I194="",L194,L194*(1-IF(J194="",Settings!$B$6,J194))))</f>
        <v/>
      </c>
      <c r="N194" s="20" t="str">
        <f aca="false">IF(OR(L194="",I194=""),"",L194-M194)</f>
        <v/>
      </c>
      <c r="O194" s="1"/>
    </row>
    <row r="195" customFormat="false" ht="15" hidden="false" customHeight="false" outlineLevel="0" collapsed="false">
      <c r="A195" s="27"/>
      <c r="B195" s="1"/>
      <c r="C195" s="24" t="str">
        <f aca="false">IF(B195="","",IFERROR(INDEX(Patients!$B$2:$B$501,MATCH(B195,Patients!$A$2:$A$501,0))&amp;"",""))</f>
        <v/>
      </c>
      <c r="D195" s="1"/>
      <c r="E195" s="1"/>
      <c r="F195" s="1"/>
      <c r="G195" s="28"/>
      <c r="H195" s="1"/>
      <c r="I195" s="1"/>
      <c r="J195" s="29"/>
      <c r="K195" s="1"/>
      <c r="L195" s="20" t="str">
        <f aca="false">IF(E195="","",IFERROR(INDEX(Settings!$D$13:$D$32,MATCH(E195,Settings!$A$13:$A$32,0)),0)*IF(F195="",1,F195))</f>
        <v/>
      </c>
      <c r="M195" s="20" t="str">
        <f aca="false">IF(L195="","",IF(I195="",L195,L195*(1-IF(J195="",Settings!$B$6,J195))))</f>
        <v/>
      </c>
      <c r="N195" s="20" t="str">
        <f aca="false">IF(OR(L195="",I195=""),"",L195-M195)</f>
        <v/>
      </c>
      <c r="O195" s="1"/>
    </row>
    <row r="196" customFormat="false" ht="15" hidden="false" customHeight="false" outlineLevel="0" collapsed="false">
      <c r="A196" s="27"/>
      <c r="B196" s="1"/>
      <c r="C196" s="24" t="str">
        <f aca="false">IF(B196="","",IFERROR(INDEX(Patients!$B$2:$B$501,MATCH(B196,Patients!$A$2:$A$501,0))&amp;"",""))</f>
        <v/>
      </c>
      <c r="D196" s="1"/>
      <c r="E196" s="1"/>
      <c r="F196" s="1"/>
      <c r="G196" s="28"/>
      <c r="H196" s="1"/>
      <c r="I196" s="1"/>
      <c r="J196" s="29"/>
      <c r="K196" s="1"/>
      <c r="L196" s="20" t="str">
        <f aca="false">IF(E196="","",IFERROR(INDEX(Settings!$D$13:$D$32,MATCH(E196,Settings!$A$13:$A$32,0)),0)*IF(F196="",1,F196))</f>
        <v/>
      </c>
      <c r="M196" s="20" t="str">
        <f aca="false">IF(L196="","",IF(I196="",L196,L196*(1-IF(J196="",Settings!$B$6,J196))))</f>
        <v/>
      </c>
      <c r="N196" s="20" t="str">
        <f aca="false">IF(OR(L196="",I196=""),"",L196-M196)</f>
        <v/>
      </c>
      <c r="O196" s="1"/>
    </row>
    <row r="197" customFormat="false" ht="15" hidden="false" customHeight="false" outlineLevel="0" collapsed="false">
      <c r="A197" s="27"/>
      <c r="B197" s="1"/>
      <c r="C197" s="24" t="str">
        <f aca="false">IF(B197="","",IFERROR(INDEX(Patients!$B$2:$B$501,MATCH(B197,Patients!$A$2:$A$501,0))&amp;"",""))</f>
        <v/>
      </c>
      <c r="D197" s="1"/>
      <c r="E197" s="1"/>
      <c r="F197" s="1"/>
      <c r="G197" s="28"/>
      <c r="H197" s="1"/>
      <c r="I197" s="1"/>
      <c r="J197" s="29"/>
      <c r="K197" s="1"/>
      <c r="L197" s="20" t="str">
        <f aca="false">IF(E197="","",IFERROR(INDEX(Settings!$D$13:$D$32,MATCH(E197,Settings!$A$13:$A$32,0)),0)*IF(F197="",1,F197))</f>
        <v/>
      </c>
      <c r="M197" s="20" t="str">
        <f aca="false">IF(L197="","",IF(I197="",L197,L197*(1-IF(J197="",Settings!$B$6,J197))))</f>
        <v/>
      </c>
      <c r="N197" s="20" t="str">
        <f aca="false">IF(OR(L197="",I197=""),"",L197-M197)</f>
        <v/>
      </c>
      <c r="O197" s="1"/>
    </row>
    <row r="198" customFormat="false" ht="15" hidden="false" customHeight="false" outlineLevel="0" collapsed="false">
      <c r="A198" s="27"/>
      <c r="B198" s="1"/>
      <c r="C198" s="24" t="str">
        <f aca="false">IF(B198="","",IFERROR(INDEX(Patients!$B$2:$B$501,MATCH(B198,Patients!$A$2:$A$501,0))&amp;"",""))</f>
        <v/>
      </c>
      <c r="D198" s="1"/>
      <c r="E198" s="1"/>
      <c r="F198" s="1"/>
      <c r="G198" s="28"/>
      <c r="H198" s="1"/>
      <c r="I198" s="1"/>
      <c r="J198" s="29"/>
      <c r="K198" s="1"/>
      <c r="L198" s="20" t="str">
        <f aca="false">IF(E198="","",IFERROR(INDEX(Settings!$D$13:$D$32,MATCH(E198,Settings!$A$13:$A$32,0)),0)*IF(F198="",1,F198))</f>
        <v/>
      </c>
      <c r="M198" s="20" t="str">
        <f aca="false">IF(L198="","",IF(I198="",L198,L198*(1-IF(J198="",Settings!$B$6,J198))))</f>
        <v/>
      </c>
      <c r="N198" s="20" t="str">
        <f aca="false">IF(OR(L198="",I198=""),"",L198-M198)</f>
        <v/>
      </c>
      <c r="O198" s="1"/>
    </row>
    <row r="199" customFormat="false" ht="15" hidden="false" customHeight="false" outlineLevel="0" collapsed="false">
      <c r="A199" s="27"/>
      <c r="B199" s="1"/>
      <c r="C199" s="24" t="str">
        <f aca="false">IF(B199="","",IFERROR(INDEX(Patients!$B$2:$B$501,MATCH(B199,Patients!$A$2:$A$501,0))&amp;"",""))</f>
        <v/>
      </c>
      <c r="D199" s="1"/>
      <c r="E199" s="1"/>
      <c r="F199" s="1"/>
      <c r="G199" s="28"/>
      <c r="H199" s="1"/>
      <c r="I199" s="1"/>
      <c r="J199" s="29"/>
      <c r="K199" s="1"/>
      <c r="L199" s="20" t="str">
        <f aca="false">IF(E199="","",IFERROR(INDEX(Settings!$D$13:$D$32,MATCH(E199,Settings!$A$13:$A$32,0)),0)*IF(F199="",1,F199))</f>
        <v/>
      </c>
      <c r="M199" s="20" t="str">
        <f aca="false">IF(L199="","",IF(I199="",L199,L199*(1-IF(J199="",Settings!$B$6,J199))))</f>
        <v/>
      </c>
      <c r="N199" s="20" t="str">
        <f aca="false">IF(OR(L199="",I199=""),"",L199-M199)</f>
        <v/>
      </c>
      <c r="O199" s="1"/>
    </row>
    <row r="200" customFormat="false" ht="15" hidden="false" customHeight="false" outlineLevel="0" collapsed="false">
      <c r="A200" s="27"/>
      <c r="B200" s="1"/>
      <c r="C200" s="24" t="str">
        <f aca="false">IF(B200="","",IFERROR(INDEX(Patients!$B$2:$B$501,MATCH(B200,Patients!$A$2:$A$501,0))&amp;"",""))</f>
        <v/>
      </c>
      <c r="D200" s="1"/>
      <c r="E200" s="1"/>
      <c r="F200" s="1"/>
      <c r="G200" s="28"/>
      <c r="H200" s="1"/>
      <c r="I200" s="1"/>
      <c r="J200" s="29"/>
      <c r="K200" s="1"/>
      <c r="L200" s="20" t="str">
        <f aca="false">IF(E200="","",IFERROR(INDEX(Settings!$D$13:$D$32,MATCH(E200,Settings!$A$13:$A$32,0)),0)*IF(F200="",1,F200))</f>
        <v/>
      </c>
      <c r="M200" s="20" t="str">
        <f aca="false">IF(L200="","",IF(I200="",L200,L200*(1-IF(J200="",Settings!$B$6,J200))))</f>
        <v/>
      </c>
      <c r="N200" s="20" t="str">
        <f aca="false">IF(OR(L200="",I200=""),"",L200-M200)</f>
        <v/>
      </c>
      <c r="O200" s="1"/>
    </row>
    <row r="201" customFormat="false" ht="15" hidden="false" customHeight="false" outlineLevel="0" collapsed="false">
      <c r="A201" s="27"/>
      <c r="B201" s="1"/>
      <c r="C201" s="24" t="str">
        <f aca="false">IF(B201="","",IFERROR(INDEX(Patients!$B$2:$B$501,MATCH(B201,Patients!$A$2:$A$501,0))&amp;"",""))</f>
        <v/>
      </c>
      <c r="D201" s="1"/>
      <c r="E201" s="1"/>
      <c r="F201" s="1"/>
      <c r="G201" s="28"/>
      <c r="H201" s="1"/>
      <c r="I201" s="1"/>
      <c r="J201" s="29"/>
      <c r="K201" s="1"/>
      <c r="L201" s="20" t="str">
        <f aca="false">IF(E201="","",IFERROR(INDEX(Settings!$D$13:$D$32,MATCH(E201,Settings!$A$13:$A$32,0)),0)*IF(F201="",1,F201))</f>
        <v/>
      </c>
      <c r="M201" s="20" t="str">
        <f aca="false">IF(L201="","",IF(I201="",L201,L201*(1-IF(J201="",Settings!$B$6,J201))))</f>
        <v/>
      </c>
      <c r="N201" s="20" t="str">
        <f aca="false">IF(OR(L201="",I201=""),"",L201-M201)</f>
        <v/>
      </c>
      <c r="O201" s="1"/>
    </row>
    <row r="202" customFormat="false" ht="15" hidden="false" customHeight="false" outlineLevel="0" collapsed="false">
      <c r="A202" s="27"/>
      <c r="B202" s="1"/>
      <c r="C202" s="24" t="str">
        <f aca="false">IF(B202="","",IFERROR(INDEX(Patients!$B$2:$B$501,MATCH(B202,Patients!$A$2:$A$501,0))&amp;"",""))</f>
        <v/>
      </c>
      <c r="D202" s="1"/>
      <c r="E202" s="1"/>
      <c r="F202" s="1"/>
      <c r="G202" s="28"/>
      <c r="H202" s="1"/>
      <c r="I202" s="1"/>
      <c r="J202" s="29"/>
      <c r="K202" s="1"/>
      <c r="L202" s="20" t="str">
        <f aca="false">IF(E202="","",IFERROR(INDEX(Settings!$D$13:$D$32,MATCH(E202,Settings!$A$13:$A$32,0)),0)*IF(F202="",1,F202))</f>
        <v/>
      </c>
      <c r="M202" s="20" t="str">
        <f aca="false">IF(L202="","",IF(I202="",L202,L202*(1-IF(J202="",Settings!$B$6,J202))))</f>
        <v/>
      </c>
      <c r="N202" s="20" t="str">
        <f aca="false">IF(OR(L202="",I202=""),"",L202-M202)</f>
        <v/>
      </c>
      <c r="O202" s="1"/>
    </row>
    <row r="203" customFormat="false" ht="15" hidden="false" customHeight="false" outlineLevel="0" collapsed="false">
      <c r="A203" s="27"/>
      <c r="B203" s="1"/>
      <c r="C203" s="24" t="str">
        <f aca="false">IF(B203="","",IFERROR(INDEX(Patients!$B$2:$B$501,MATCH(B203,Patients!$A$2:$A$501,0))&amp;"",""))</f>
        <v/>
      </c>
      <c r="D203" s="1"/>
      <c r="E203" s="1"/>
      <c r="F203" s="1"/>
      <c r="G203" s="28"/>
      <c r="H203" s="1"/>
      <c r="I203" s="1"/>
      <c r="J203" s="29"/>
      <c r="K203" s="1"/>
      <c r="L203" s="20" t="str">
        <f aca="false">IF(E203="","",IFERROR(INDEX(Settings!$D$13:$D$32,MATCH(E203,Settings!$A$13:$A$32,0)),0)*IF(F203="",1,F203))</f>
        <v/>
      </c>
      <c r="M203" s="20" t="str">
        <f aca="false">IF(L203="","",IF(I203="",L203,L203*(1-IF(J203="",Settings!$B$6,J203))))</f>
        <v/>
      </c>
      <c r="N203" s="20" t="str">
        <f aca="false">IF(OR(L203="",I203=""),"",L203-M203)</f>
        <v/>
      </c>
      <c r="O203" s="1"/>
    </row>
    <row r="204" customFormat="false" ht="15" hidden="false" customHeight="false" outlineLevel="0" collapsed="false">
      <c r="A204" s="27"/>
      <c r="B204" s="1"/>
      <c r="C204" s="24" t="str">
        <f aca="false">IF(B204="","",IFERROR(INDEX(Patients!$B$2:$B$501,MATCH(B204,Patients!$A$2:$A$501,0))&amp;"",""))</f>
        <v/>
      </c>
      <c r="D204" s="1"/>
      <c r="E204" s="1"/>
      <c r="F204" s="1"/>
      <c r="G204" s="28"/>
      <c r="H204" s="1"/>
      <c r="I204" s="1"/>
      <c r="J204" s="29"/>
      <c r="K204" s="1"/>
      <c r="L204" s="20" t="str">
        <f aca="false">IF(E204="","",IFERROR(INDEX(Settings!$D$13:$D$32,MATCH(E204,Settings!$A$13:$A$32,0)),0)*IF(F204="",1,F204))</f>
        <v/>
      </c>
      <c r="M204" s="20" t="str">
        <f aca="false">IF(L204="","",IF(I204="",L204,L204*(1-IF(J204="",Settings!$B$6,J204))))</f>
        <v/>
      </c>
      <c r="N204" s="20" t="str">
        <f aca="false">IF(OR(L204="",I204=""),"",L204-M204)</f>
        <v/>
      </c>
      <c r="O204" s="1"/>
    </row>
    <row r="205" customFormat="false" ht="15" hidden="false" customHeight="false" outlineLevel="0" collapsed="false">
      <c r="A205" s="27"/>
      <c r="B205" s="1"/>
      <c r="C205" s="24" t="str">
        <f aca="false">IF(B205="","",IFERROR(INDEX(Patients!$B$2:$B$501,MATCH(B205,Patients!$A$2:$A$501,0))&amp;"",""))</f>
        <v/>
      </c>
      <c r="D205" s="1"/>
      <c r="E205" s="1"/>
      <c r="F205" s="1"/>
      <c r="G205" s="28"/>
      <c r="H205" s="1"/>
      <c r="I205" s="1"/>
      <c r="J205" s="29"/>
      <c r="K205" s="1"/>
      <c r="L205" s="20" t="str">
        <f aca="false">IF(E205="","",IFERROR(INDEX(Settings!$D$13:$D$32,MATCH(E205,Settings!$A$13:$A$32,0)),0)*IF(F205="",1,F205))</f>
        <v/>
      </c>
      <c r="M205" s="20" t="str">
        <f aca="false">IF(L205="","",IF(I205="",L205,L205*(1-IF(J205="",Settings!$B$6,J205))))</f>
        <v/>
      </c>
      <c r="N205" s="20" t="str">
        <f aca="false">IF(OR(L205="",I205=""),"",L205-M205)</f>
        <v/>
      </c>
      <c r="O205" s="1"/>
    </row>
    <row r="206" customFormat="false" ht="15" hidden="false" customHeight="false" outlineLevel="0" collapsed="false">
      <c r="A206" s="27"/>
      <c r="B206" s="1"/>
      <c r="C206" s="24" t="str">
        <f aca="false">IF(B206="","",IFERROR(INDEX(Patients!$B$2:$B$501,MATCH(B206,Patients!$A$2:$A$501,0))&amp;"",""))</f>
        <v/>
      </c>
      <c r="D206" s="1"/>
      <c r="E206" s="1"/>
      <c r="F206" s="1"/>
      <c r="G206" s="28"/>
      <c r="H206" s="1"/>
      <c r="I206" s="1"/>
      <c r="J206" s="29"/>
      <c r="K206" s="1"/>
      <c r="L206" s="20" t="str">
        <f aca="false">IF(E206="","",IFERROR(INDEX(Settings!$D$13:$D$32,MATCH(E206,Settings!$A$13:$A$32,0)),0)*IF(F206="",1,F206))</f>
        <v/>
      </c>
      <c r="M206" s="20" t="str">
        <f aca="false">IF(L206="","",IF(I206="",L206,L206*(1-IF(J206="",Settings!$B$6,J206))))</f>
        <v/>
      </c>
      <c r="N206" s="20" t="str">
        <f aca="false">IF(OR(L206="",I206=""),"",L206-M206)</f>
        <v/>
      </c>
      <c r="O206" s="1"/>
    </row>
    <row r="207" customFormat="false" ht="15" hidden="false" customHeight="false" outlineLevel="0" collapsed="false">
      <c r="A207" s="27"/>
      <c r="B207" s="1"/>
      <c r="C207" s="24" t="str">
        <f aca="false">IF(B207="","",IFERROR(INDEX(Patients!$B$2:$B$501,MATCH(B207,Patients!$A$2:$A$501,0))&amp;"",""))</f>
        <v/>
      </c>
      <c r="D207" s="1"/>
      <c r="E207" s="1"/>
      <c r="F207" s="1"/>
      <c r="G207" s="28"/>
      <c r="H207" s="1"/>
      <c r="I207" s="1"/>
      <c r="J207" s="29"/>
      <c r="K207" s="1"/>
      <c r="L207" s="20" t="str">
        <f aca="false">IF(E207="","",IFERROR(INDEX(Settings!$D$13:$D$32,MATCH(E207,Settings!$A$13:$A$32,0)),0)*IF(F207="",1,F207))</f>
        <v/>
      </c>
      <c r="M207" s="20" t="str">
        <f aca="false">IF(L207="","",IF(I207="",L207,L207*(1-IF(J207="",Settings!$B$6,J207))))</f>
        <v/>
      </c>
      <c r="N207" s="20" t="str">
        <f aca="false">IF(OR(L207="",I207=""),"",L207-M207)</f>
        <v/>
      </c>
      <c r="O207" s="1"/>
    </row>
    <row r="208" customFormat="false" ht="15" hidden="false" customHeight="false" outlineLevel="0" collapsed="false">
      <c r="A208" s="27"/>
      <c r="B208" s="1"/>
      <c r="C208" s="24" t="str">
        <f aca="false">IF(B208="","",IFERROR(INDEX(Patients!$B$2:$B$501,MATCH(B208,Patients!$A$2:$A$501,0))&amp;"",""))</f>
        <v/>
      </c>
      <c r="D208" s="1"/>
      <c r="E208" s="1"/>
      <c r="F208" s="1"/>
      <c r="G208" s="28"/>
      <c r="H208" s="1"/>
      <c r="I208" s="1"/>
      <c r="J208" s="29"/>
      <c r="K208" s="1"/>
      <c r="L208" s="20" t="str">
        <f aca="false">IF(E208="","",IFERROR(INDEX(Settings!$D$13:$D$32,MATCH(E208,Settings!$A$13:$A$32,0)),0)*IF(F208="",1,F208))</f>
        <v/>
      </c>
      <c r="M208" s="20" t="str">
        <f aca="false">IF(L208="","",IF(I208="",L208,L208*(1-IF(J208="",Settings!$B$6,J208))))</f>
        <v/>
      </c>
      <c r="N208" s="20" t="str">
        <f aca="false">IF(OR(L208="",I208=""),"",L208-M208)</f>
        <v/>
      </c>
      <c r="O208" s="1"/>
    </row>
    <row r="209" customFormat="false" ht="15" hidden="false" customHeight="false" outlineLevel="0" collapsed="false">
      <c r="A209" s="27"/>
      <c r="B209" s="1"/>
      <c r="C209" s="24" t="str">
        <f aca="false">IF(B209="","",IFERROR(INDEX(Patients!$B$2:$B$501,MATCH(B209,Patients!$A$2:$A$501,0))&amp;"",""))</f>
        <v/>
      </c>
      <c r="D209" s="1"/>
      <c r="E209" s="1"/>
      <c r="F209" s="1"/>
      <c r="G209" s="28"/>
      <c r="H209" s="1"/>
      <c r="I209" s="1"/>
      <c r="J209" s="29"/>
      <c r="K209" s="1"/>
      <c r="L209" s="20" t="str">
        <f aca="false">IF(E209="","",IFERROR(INDEX(Settings!$D$13:$D$32,MATCH(E209,Settings!$A$13:$A$32,0)),0)*IF(F209="",1,F209))</f>
        <v/>
      </c>
      <c r="M209" s="20" t="str">
        <f aca="false">IF(L209="","",IF(I209="",L209,L209*(1-IF(J209="",Settings!$B$6,J209))))</f>
        <v/>
      </c>
      <c r="N209" s="20" t="str">
        <f aca="false">IF(OR(L209="",I209=""),"",L209-M209)</f>
        <v/>
      </c>
      <c r="O209" s="1"/>
    </row>
    <row r="210" customFormat="false" ht="15" hidden="false" customHeight="false" outlineLevel="0" collapsed="false">
      <c r="A210" s="27"/>
      <c r="B210" s="1"/>
      <c r="C210" s="24" t="str">
        <f aca="false">IF(B210="","",IFERROR(INDEX(Patients!$B$2:$B$501,MATCH(B210,Patients!$A$2:$A$501,0))&amp;"",""))</f>
        <v/>
      </c>
      <c r="D210" s="1"/>
      <c r="E210" s="1"/>
      <c r="F210" s="1"/>
      <c r="G210" s="28"/>
      <c r="H210" s="1"/>
      <c r="I210" s="1"/>
      <c r="J210" s="29"/>
      <c r="K210" s="1"/>
      <c r="L210" s="20" t="str">
        <f aca="false">IF(E210="","",IFERROR(INDEX(Settings!$D$13:$D$32,MATCH(E210,Settings!$A$13:$A$32,0)),0)*IF(F210="",1,F210))</f>
        <v/>
      </c>
      <c r="M210" s="20" t="str">
        <f aca="false">IF(L210="","",IF(I210="",L210,L210*(1-IF(J210="",Settings!$B$6,J210))))</f>
        <v/>
      </c>
      <c r="N210" s="20" t="str">
        <f aca="false">IF(OR(L210="",I210=""),"",L210-M210)</f>
        <v/>
      </c>
      <c r="O210" s="1"/>
    </row>
    <row r="211" customFormat="false" ht="15" hidden="false" customHeight="false" outlineLevel="0" collapsed="false">
      <c r="A211" s="27"/>
      <c r="B211" s="1"/>
      <c r="C211" s="24" t="str">
        <f aca="false">IF(B211="","",IFERROR(INDEX(Patients!$B$2:$B$501,MATCH(B211,Patients!$A$2:$A$501,0))&amp;"",""))</f>
        <v/>
      </c>
      <c r="D211" s="1"/>
      <c r="E211" s="1"/>
      <c r="F211" s="1"/>
      <c r="G211" s="28"/>
      <c r="H211" s="1"/>
      <c r="I211" s="1"/>
      <c r="J211" s="29"/>
      <c r="K211" s="1"/>
      <c r="L211" s="20" t="str">
        <f aca="false">IF(E211="","",IFERROR(INDEX(Settings!$D$13:$D$32,MATCH(E211,Settings!$A$13:$A$32,0)),0)*IF(F211="",1,F211))</f>
        <v/>
      </c>
      <c r="M211" s="20" t="str">
        <f aca="false">IF(L211="","",IF(I211="",L211,L211*(1-IF(J211="",Settings!$B$6,J211))))</f>
        <v/>
      </c>
      <c r="N211" s="20" t="str">
        <f aca="false">IF(OR(L211="",I211=""),"",L211-M211)</f>
        <v/>
      </c>
      <c r="O211" s="1"/>
    </row>
    <row r="212" customFormat="false" ht="15" hidden="false" customHeight="false" outlineLevel="0" collapsed="false">
      <c r="A212" s="27"/>
      <c r="B212" s="1"/>
      <c r="C212" s="24" t="str">
        <f aca="false">IF(B212="","",IFERROR(INDEX(Patients!$B$2:$B$501,MATCH(B212,Patients!$A$2:$A$501,0))&amp;"",""))</f>
        <v/>
      </c>
      <c r="D212" s="1"/>
      <c r="E212" s="1"/>
      <c r="F212" s="1"/>
      <c r="G212" s="28"/>
      <c r="H212" s="1"/>
      <c r="I212" s="1"/>
      <c r="J212" s="29"/>
      <c r="K212" s="1"/>
      <c r="L212" s="20" t="str">
        <f aca="false">IF(E212="","",IFERROR(INDEX(Settings!$D$13:$D$32,MATCH(E212,Settings!$A$13:$A$32,0)),0)*IF(F212="",1,F212))</f>
        <v/>
      </c>
      <c r="M212" s="20" t="str">
        <f aca="false">IF(L212="","",IF(I212="",L212,L212*(1-IF(J212="",Settings!$B$6,J212))))</f>
        <v/>
      </c>
      <c r="N212" s="20" t="str">
        <f aca="false">IF(OR(L212="",I212=""),"",L212-M212)</f>
        <v/>
      </c>
      <c r="O212" s="1"/>
    </row>
    <row r="213" customFormat="false" ht="15" hidden="false" customHeight="false" outlineLevel="0" collapsed="false">
      <c r="A213" s="27"/>
      <c r="B213" s="1"/>
      <c r="C213" s="24" t="str">
        <f aca="false">IF(B213="","",IFERROR(INDEX(Patients!$B$2:$B$501,MATCH(B213,Patients!$A$2:$A$501,0))&amp;"",""))</f>
        <v/>
      </c>
      <c r="D213" s="1"/>
      <c r="E213" s="1"/>
      <c r="F213" s="1"/>
      <c r="G213" s="28"/>
      <c r="H213" s="1"/>
      <c r="I213" s="1"/>
      <c r="J213" s="29"/>
      <c r="K213" s="1"/>
      <c r="L213" s="20" t="str">
        <f aca="false">IF(E213="","",IFERROR(INDEX(Settings!$D$13:$D$32,MATCH(E213,Settings!$A$13:$A$32,0)),0)*IF(F213="",1,F213))</f>
        <v/>
      </c>
      <c r="M213" s="20" t="str">
        <f aca="false">IF(L213="","",IF(I213="",L213,L213*(1-IF(J213="",Settings!$B$6,J213))))</f>
        <v/>
      </c>
      <c r="N213" s="20" t="str">
        <f aca="false">IF(OR(L213="",I213=""),"",L213-M213)</f>
        <v/>
      </c>
      <c r="O213" s="1"/>
    </row>
    <row r="214" customFormat="false" ht="15" hidden="false" customHeight="false" outlineLevel="0" collapsed="false">
      <c r="A214" s="27"/>
      <c r="B214" s="1"/>
      <c r="C214" s="24" t="str">
        <f aca="false">IF(B214="","",IFERROR(INDEX(Patients!$B$2:$B$501,MATCH(B214,Patients!$A$2:$A$501,0))&amp;"",""))</f>
        <v/>
      </c>
      <c r="D214" s="1"/>
      <c r="E214" s="1"/>
      <c r="F214" s="1"/>
      <c r="G214" s="28"/>
      <c r="H214" s="1"/>
      <c r="I214" s="1"/>
      <c r="J214" s="29"/>
      <c r="K214" s="1"/>
      <c r="L214" s="20" t="str">
        <f aca="false">IF(E214="","",IFERROR(INDEX(Settings!$D$13:$D$32,MATCH(E214,Settings!$A$13:$A$32,0)),0)*IF(F214="",1,F214))</f>
        <v/>
      </c>
      <c r="M214" s="20" t="str">
        <f aca="false">IF(L214="","",IF(I214="",L214,L214*(1-IF(J214="",Settings!$B$6,J214))))</f>
        <v/>
      </c>
      <c r="N214" s="20" t="str">
        <f aca="false">IF(OR(L214="",I214=""),"",L214-M214)</f>
        <v/>
      </c>
      <c r="O214" s="1"/>
    </row>
    <row r="215" customFormat="false" ht="15" hidden="false" customHeight="false" outlineLevel="0" collapsed="false">
      <c r="A215" s="27"/>
      <c r="B215" s="1"/>
      <c r="C215" s="24" t="str">
        <f aca="false">IF(B215="","",IFERROR(INDEX(Patients!$B$2:$B$501,MATCH(B215,Patients!$A$2:$A$501,0))&amp;"",""))</f>
        <v/>
      </c>
      <c r="D215" s="1"/>
      <c r="E215" s="1"/>
      <c r="F215" s="1"/>
      <c r="G215" s="28"/>
      <c r="H215" s="1"/>
      <c r="I215" s="1"/>
      <c r="J215" s="29"/>
      <c r="K215" s="1"/>
      <c r="L215" s="20" t="str">
        <f aca="false">IF(E215="","",IFERROR(INDEX(Settings!$D$13:$D$32,MATCH(E215,Settings!$A$13:$A$32,0)),0)*IF(F215="",1,F215))</f>
        <v/>
      </c>
      <c r="M215" s="20" t="str">
        <f aca="false">IF(L215="","",IF(I215="",L215,L215*(1-IF(J215="",Settings!$B$6,J215))))</f>
        <v/>
      </c>
      <c r="N215" s="20" t="str">
        <f aca="false">IF(OR(L215="",I215=""),"",L215-M215)</f>
        <v/>
      </c>
      <c r="O215" s="1"/>
    </row>
    <row r="216" customFormat="false" ht="15" hidden="false" customHeight="false" outlineLevel="0" collapsed="false">
      <c r="A216" s="27"/>
      <c r="B216" s="1"/>
      <c r="C216" s="24" t="str">
        <f aca="false">IF(B216="","",IFERROR(INDEX(Patients!$B$2:$B$501,MATCH(B216,Patients!$A$2:$A$501,0))&amp;"",""))</f>
        <v/>
      </c>
      <c r="D216" s="1"/>
      <c r="E216" s="1"/>
      <c r="F216" s="1"/>
      <c r="G216" s="28"/>
      <c r="H216" s="1"/>
      <c r="I216" s="1"/>
      <c r="J216" s="29"/>
      <c r="K216" s="1"/>
      <c r="L216" s="20" t="str">
        <f aca="false">IF(E216="","",IFERROR(INDEX(Settings!$D$13:$D$32,MATCH(E216,Settings!$A$13:$A$32,0)),0)*IF(F216="",1,F216))</f>
        <v/>
      </c>
      <c r="M216" s="20" t="str">
        <f aca="false">IF(L216="","",IF(I216="",L216,L216*(1-IF(J216="",Settings!$B$6,J216))))</f>
        <v/>
      </c>
      <c r="N216" s="20" t="str">
        <f aca="false">IF(OR(L216="",I216=""),"",L216-M216)</f>
        <v/>
      </c>
      <c r="O216" s="1"/>
    </row>
    <row r="217" customFormat="false" ht="15" hidden="false" customHeight="false" outlineLevel="0" collapsed="false">
      <c r="A217" s="27"/>
      <c r="B217" s="1"/>
      <c r="C217" s="24" t="str">
        <f aca="false">IF(B217="","",IFERROR(INDEX(Patients!$B$2:$B$501,MATCH(B217,Patients!$A$2:$A$501,0))&amp;"",""))</f>
        <v/>
      </c>
      <c r="D217" s="1"/>
      <c r="E217" s="1"/>
      <c r="F217" s="1"/>
      <c r="G217" s="28"/>
      <c r="H217" s="1"/>
      <c r="I217" s="1"/>
      <c r="J217" s="29"/>
      <c r="K217" s="1"/>
      <c r="L217" s="20" t="str">
        <f aca="false">IF(E217="","",IFERROR(INDEX(Settings!$D$13:$D$32,MATCH(E217,Settings!$A$13:$A$32,0)),0)*IF(F217="",1,F217))</f>
        <v/>
      </c>
      <c r="M217" s="20" t="str">
        <f aca="false">IF(L217="","",IF(I217="",L217,L217*(1-IF(J217="",Settings!$B$6,J217))))</f>
        <v/>
      </c>
      <c r="N217" s="20" t="str">
        <f aca="false">IF(OR(L217="",I217=""),"",L217-M217)</f>
        <v/>
      </c>
      <c r="O217" s="1"/>
    </row>
    <row r="218" customFormat="false" ht="15" hidden="false" customHeight="false" outlineLevel="0" collapsed="false">
      <c r="A218" s="27"/>
      <c r="B218" s="1"/>
      <c r="C218" s="24" t="str">
        <f aca="false">IF(B218="","",IFERROR(INDEX(Patients!$B$2:$B$501,MATCH(B218,Patients!$A$2:$A$501,0))&amp;"",""))</f>
        <v/>
      </c>
      <c r="D218" s="1"/>
      <c r="E218" s="1"/>
      <c r="F218" s="1"/>
      <c r="G218" s="28"/>
      <c r="H218" s="1"/>
      <c r="I218" s="1"/>
      <c r="J218" s="29"/>
      <c r="K218" s="1"/>
      <c r="L218" s="20" t="str">
        <f aca="false">IF(E218="","",IFERROR(INDEX(Settings!$D$13:$D$32,MATCH(E218,Settings!$A$13:$A$32,0)),0)*IF(F218="",1,F218))</f>
        <v/>
      </c>
      <c r="M218" s="20" t="str">
        <f aca="false">IF(L218="","",IF(I218="",L218,L218*(1-IF(J218="",Settings!$B$6,J218))))</f>
        <v/>
      </c>
      <c r="N218" s="20" t="str">
        <f aca="false">IF(OR(L218="",I218=""),"",L218-M218)</f>
        <v/>
      </c>
      <c r="O218" s="1"/>
    </row>
    <row r="219" customFormat="false" ht="15" hidden="false" customHeight="false" outlineLevel="0" collapsed="false">
      <c r="A219" s="27"/>
      <c r="B219" s="1"/>
      <c r="C219" s="24" t="str">
        <f aca="false">IF(B219="","",IFERROR(INDEX(Patients!$B$2:$B$501,MATCH(B219,Patients!$A$2:$A$501,0))&amp;"",""))</f>
        <v/>
      </c>
      <c r="D219" s="1"/>
      <c r="E219" s="1"/>
      <c r="F219" s="1"/>
      <c r="G219" s="28"/>
      <c r="H219" s="1"/>
      <c r="I219" s="1"/>
      <c r="J219" s="29"/>
      <c r="K219" s="1"/>
      <c r="L219" s="20" t="str">
        <f aca="false">IF(E219="","",IFERROR(INDEX(Settings!$D$13:$D$32,MATCH(E219,Settings!$A$13:$A$32,0)),0)*IF(F219="",1,F219))</f>
        <v/>
      </c>
      <c r="M219" s="20" t="str">
        <f aca="false">IF(L219="","",IF(I219="",L219,L219*(1-IF(J219="",Settings!$B$6,J219))))</f>
        <v/>
      </c>
      <c r="N219" s="20" t="str">
        <f aca="false">IF(OR(L219="",I219=""),"",L219-M219)</f>
        <v/>
      </c>
      <c r="O219" s="1"/>
    </row>
    <row r="220" customFormat="false" ht="15" hidden="false" customHeight="false" outlineLevel="0" collapsed="false">
      <c r="A220" s="27"/>
      <c r="B220" s="1"/>
      <c r="C220" s="24" t="str">
        <f aca="false">IF(B220="","",IFERROR(INDEX(Patients!$B$2:$B$501,MATCH(B220,Patients!$A$2:$A$501,0))&amp;"",""))</f>
        <v/>
      </c>
      <c r="D220" s="1"/>
      <c r="E220" s="1"/>
      <c r="F220" s="1"/>
      <c r="G220" s="28"/>
      <c r="H220" s="1"/>
      <c r="I220" s="1"/>
      <c r="J220" s="29"/>
      <c r="K220" s="1"/>
      <c r="L220" s="20" t="str">
        <f aca="false">IF(E220="","",IFERROR(INDEX(Settings!$D$13:$D$32,MATCH(E220,Settings!$A$13:$A$32,0)),0)*IF(F220="",1,F220))</f>
        <v/>
      </c>
      <c r="M220" s="20" t="str">
        <f aca="false">IF(L220="","",IF(I220="",L220,L220*(1-IF(J220="",Settings!$B$6,J220))))</f>
        <v/>
      </c>
      <c r="N220" s="20" t="str">
        <f aca="false">IF(OR(L220="",I220=""),"",L220-M220)</f>
        <v/>
      </c>
      <c r="O220" s="1"/>
    </row>
    <row r="221" customFormat="false" ht="15" hidden="false" customHeight="false" outlineLevel="0" collapsed="false">
      <c r="A221" s="27"/>
      <c r="B221" s="1"/>
      <c r="C221" s="24" t="str">
        <f aca="false">IF(B221="","",IFERROR(INDEX(Patients!$B$2:$B$501,MATCH(B221,Patients!$A$2:$A$501,0))&amp;"",""))</f>
        <v/>
      </c>
      <c r="D221" s="1"/>
      <c r="E221" s="1"/>
      <c r="F221" s="1"/>
      <c r="G221" s="28"/>
      <c r="H221" s="1"/>
      <c r="I221" s="1"/>
      <c r="J221" s="29"/>
      <c r="K221" s="1"/>
      <c r="L221" s="20" t="str">
        <f aca="false">IF(E221="","",IFERROR(INDEX(Settings!$D$13:$D$32,MATCH(E221,Settings!$A$13:$A$32,0)),0)*IF(F221="",1,F221))</f>
        <v/>
      </c>
      <c r="M221" s="20" t="str">
        <f aca="false">IF(L221="","",IF(I221="",L221,L221*(1-IF(J221="",Settings!$B$6,J221))))</f>
        <v/>
      </c>
      <c r="N221" s="20" t="str">
        <f aca="false">IF(OR(L221="",I221=""),"",L221-M221)</f>
        <v/>
      </c>
      <c r="O221" s="1"/>
    </row>
    <row r="222" customFormat="false" ht="15" hidden="false" customHeight="false" outlineLevel="0" collapsed="false">
      <c r="A222" s="27"/>
      <c r="B222" s="1"/>
      <c r="C222" s="24" t="str">
        <f aca="false">IF(B222="","",IFERROR(INDEX(Patients!$B$2:$B$501,MATCH(B222,Patients!$A$2:$A$501,0))&amp;"",""))</f>
        <v/>
      </c>
      <c r="D222" s="1"/>
      <c r="E222" s="1"/>
      <c r="F222" s="1"/>
      <c r="G222" s="28"/>
      <c r="H222" s="1"/>
      <c r="I222" s="1"/>
      <c r="J222" s="29"/>
      <c r="K222" s="1"/>
      <c r="L222" s="20" t="str">
        <f aca="false">IF(E222="","",IFERROR(INDEX(Settings!$D$13:$D$32,MATCH(E222,Settings!$A$13:$A$32,0)),0)*IF(F222="",1,F222))</f>
        <v/>
      </c>
      <c r="M222" s="20" t="str">
        <f aca="false">IF(L222="","",IF(I222="",L222,L222*(1-IF(J222="",Settings!$B$6,J222))))</f>
        <v/>
      </c>
      <c r="N222" s="20" t="str">
        <f aca="false">IF(OR(L222="",I222=""),"",L222-M222)</f>
        <v/>
      </c>
      <c r="O222" s="1"/>
    </row>
    <row r="223" customFormat="false" ht="15" hidden="false" customHeight="false" outlineLevel="0" collapsed="false">
      <c r="A223" s="27"/>
      <c r="B223" s="1"/>
      <c r="C223" s="24" t="str">
        <f aca="false">IF(B223="","",IFERROR(INDEX(Patients!$B$2:$B$501,MATCH(B223,Patients!$A$2:$A$501,0))&amp;"",""))</f>
        <v/>
      </c>
      <c r="D223" s="1"/>
      <c r="E223" s="1"/>
      <c r="F223" s="1"/>
      <c r="G223" s="28"/>
      <c r="H223" s="1"/>
      <c r="I223" s="1"/>
      <c r="J223" s="29"/>
      <c r="K223" s="1"/>
      <c r="L223" s="20" t="str">
        <f aca="false">IF(E223="","",IFERROR(INDEX(Settings!$D$13:$D$32,MATCH(E223,Settings!$A$13:$A$32,0)),0)*IF(F223="",1,F223))</f>
        <v/>
      </c>
      <c r="M223" s="20" t="str">
        <f aca="false">IF(L223="","",IF(I223="",L223,L223*(1-IF(J223="",Settings!$B$6,J223))))</f>
        <v/>
      </c>
      <c r="N223" s="20" t="str">
        <f aca="false">IF(OR(L223="",I223=""),"",L223-M223)</f>
        <v/>
      </c>
      <c r="O223" s="1"/>
    </row>
    <row r="224" customFormat="false" ht="15" hidden="false" customHeight="false" outlineLevel="0" collapsed="false">
      <c r="A224" s="27"/>
      <c r="B224" s="1"/>
      <c r="C224" s="24" t="str">
        <f aca="false">IF(B224="","",IFERROR(INDEX(Patients!$B$2:$B$501,MATCH(B224,Patients!$A$2:$A$501,0))&amp;"",""))</f>
        <v/>
      </c>
      <c r="D224" s="1"/>
      <c r="E224" s="1"/>
      <c r="F224" s="1"/>
      <c r="G224" s="28"/>
      <c r="H224" s="1"/>
      <c r="I224" s="1"/>
      <c r="J224" s="29"/>
      <c r="K224" s="1"/>
      <c r="L224" s="20" t="str">
        <f aca="false">IF(E224="","",IFERROR(INDEX(Settings!$D$13:$D$32,MATCH(E224,Settings!$A$13:$A$32,0)),0)*IF(F224="",1,F224))</f>
        <v/>
      </c>
      <c r="M224" s="20" t="str">
        <f aca="false">IF(L224="","",IF(I224="",L224,L224*(1-IF(J224="",Settings!$B$6,J224))))</f>
        <v/>
      </c>
      <c r="N224" s="20" t="str">
        <f aca="false">IF(OR(L224="",I224=""),"",L224-M224)</f>
        <v/>
      </c>
      <c r="O224" s="1"/>
    </row>
    <row r="225" customFormat="false" ht="15" hidden="false" customHeight="false" outlineLevel="0" collapsed="false">
      <c r="A225" s="27"/>
      <c r="B225" s="1"/>
      <c r="C225" s="24" t="str">
        <f aca="false">IF(B225="","",IFERROR(INDEX(Patients!$B$2:$B$501,MATCH(B225,Patients!$A$2:$A$501,0))&amp;"",""))</f>
        <v/>
      </c>
      <c r="D225" s="1"/>
      <c r="E225" s="1"/>
      <c r="F225" s="1"/>
      <c r="G225" s="28"/>
      <c r="H225" s="1"/>
      <c r="I225" s="1"/>
      <c r="J225" s="29"/>
      <c r="K225" s="1"/>
      <c r="L225" s="20" t="str">
        <f aca="false">IF(E225="","",IFERROR(INDEX(Settings!$D$13:$D$32,MATCH(E225,Settings!$A$13:$A$32,0)),0)*IF(F225="",1,F225))</f>
        <v/>
      </c>
      <c r="M225" s="20" t="str">
        <f aca="false">IF(L225="","",IF(I225="",L225,L225*(1-IF(J225="",Settings!$B$6,J225))))</f>
        <v/>
      </c>
      <c r="N225" s="20" t="str">
        <f aca="false">IF(OR(L225="",I225=""),"",L225-M225)</f>
        <v/>
      </c>
      <c r="O225" s="1"/>
    </row>
    <row r="226" customFormat="false" ht="15" hidden="false" customHeight="false" outlineLevel="0" collapsed="false">
      <c r="A226" s="27"/>
      <c r="B226" s="1"/>
      <c r="C226" s="24" t="str">
        <f aca="false">IF(B226="","",IFERROR(INDEX(Patients!$B$2:$B$501,MATCH(B226,Patients!$A$2:$A$501,0))&amp;"",""))</f>
        <v/>
      </c>
      <c r="D226" s="1"/>
      <c r="E226" s="1"/>
      <c r="F226" s="1"/>
      <c r="G226" s="28"/>
      <c r="H226" s="1"/>
      <c r="I226" s="1"/>
      <c r="J226" s="29"/>
      <c r="K226" s="1"/>
      <c r="L226" s="20" t="str">
        <f aca="false">IF(E226="","",IFERROR(INDEX(Settings!$D$13:$D$32,MATCH(E226,Settings!$A$13:$A$32,0)),0)*IF(F226="",1,F226))</f>
        <v/>
      </c>
      <c r="M226" s="20" t="str">
        <f aca="false">IF(L226="","",IF(I226="",L226,L226*(1-IF(J226="",Settings!$B$6,J226))))</f>
        <v/>
      </c>
      <c r="N226" s="20" t="str">
        <f aca="false">IF(OR(L226="",I226=""),"",L226-M226)</f>
        <v/>
      </c>
      <c r="O226" s="1"/>
    </row>
    <row r="227" customFormat="false" ht="15" hidden="false" customHeight="false" outlineLevel="0" collapsed="false">
      <c r="A227" s="27"/>
      <c r="B227" s="1"/>
      <c r="C227" s="24" t="str">
        <f aca="false">IF(B227="","",IFERROR(INDEX(Patients!$B$2:$B$501,MATCH(B227,Patients!$A$2:$A$501,0))&amp;"",""))</f>
        <v/>
      </c>
      <c r="D227" s="1"/>
      <c r="E227" s="1"/>
      <c r="F227" s="1"/>
      <c r="G227" s="28"/>
      <c r="H227" s="1"/>
      <c r="I227" s="1"/>
      <c r="J227" s="29"/>
      <c r="K227" s="1"/>
      <c r="L227" s="20" t="str">
        <f aca="false">IF(E227="","",IFERROR(INDEX(Settings!$D$13:$D$32,MATCH(E227,Settings!$A$13:$A$32,0)),0)*IF(F227="",1,F227))</f>
        <v/>
      </c>
      <c r="M227" s="20" t="str">
        <f aca="false">IF(L227="","",IF(I227="",L227,L227*(1-IF(J227="",Settings!$B$6,J227))))</f>
        <v/>
      </c>
      <c r="N227" s="20" t="str">
        <f aca="false">IF(OR(L227="",I227=""),"",L227-M227)</f>
        <v/>
      </c>
      <c r="O227" s="1"/>
    </row>
    <row r="228" customFormat="false" ht="15" hidden="false" customHeight="false" outlineLevel="0" collapsed="false">
      <c r="A228" s="27"/>
      <c r="B228" s="1"/>
      <c r="C228" s="24" t="str">
        <f aca="false">IF(B228="","",IFERROR(INDEX(Patients!$B$2:$B$501,MATCH(B228,Patients!$A$2:$A$501,0))&amp;"",""))</f>
        <v/>
      </c>
      <c r="D228" s="1"/>
      <c r="E228" s="1"/>
      <c r="F228" s="1"/>
      <c r="G228" s="28"/>
      <c r="H228" s="1"/>
      <c r="I228" s="1"/>
      <c r="J228" s="29"/>
      <c r="K228" s="1"/>
      <c r="L228" s="20" t="str">
        <f aca="false">IF(E228="","",IFERROR(INDEX(Settings!$D$13:$D$32,MATCH(E228,Settings!$A$13:$A$32,0)),0)*IF(F228="",1,F228))</f>
        <v/>
      </c>
      <c r="M228" s="20" t="str">
        <f aca="false">IF(L228="","",IF(I228="",L228,L228*(1-IF(J228="",Settings!$B$6,J228))))</f>
        <v/>
      </c>
      <c r="N228" s="20" t="str">
        <f aca="false">IF(OR(L228="",I228=""),"",L228-M228)</f>
        <v/>
      </c>
      <c r="O228" s="1"/>
    </row>
    <row r="229" customFormat="false" ht="15" hidden="false" customHeight="false" outlineLevel="0" collapsed="false">
      <c r="A229" s="27"/>
      <c r="B229" s="1"/>
      <c r="C229" s="24" t="str">
        <f aca="false">IF(B229="","",IFERROR(INDEX(Patients!$B$2:$B$501,MATCH(B229,Patients!$A$2:$A$501,0))&amp;"",""))</f>
        <v/>
      </c>
      <c r="D229" s="1"/>
      <c r="E229" s="1"/>
      <c r="F229" s="1"/>
      <c r="G229" s="28"/>
      <c r="H229" s="1"/>
      <c r="I229" s="1"/>
      <c r="J229" s="29"/>
      <c r="K229" s="1"/>
      <c r="L229" s="20" t="str">
        <f aca="false">IF(E229="","",IFERROR(INDEX(Settings!$D$13:$D$32,MATCH(E229,Settings!$A$13:$A$32,0)),0)*IF(F229="",1,F229))</f>
        <v/>
      </c>
      <c r="M229" s="20" t="str">
        <f aca="false">IF(L229="","",IF(I229="",L229,L229*(1-IF(J229="",Settings!$B$6,J229))))</f>
        <v/>
      </c>
      <c r="N229" s="20" t="str">
        <f aca="false">IF(OR(L229="",I229=""),"",L229-M229)</f>
        <v/>
      </c>
      <c r="O229" s="1"/>
    </row>
    <row r="230" customFormat="false" ht="15" hidden="false" customHeight="false" outlineLevel="0" collapsed="false">
      <c r="A230" s="27"/>
      <c r="B230" s="1"/>
      <c r="C230" s="24" t="str">
        <f aca="false">IF(B230="","",IFERROR(INDEX(Patients!$B$2:$B$501,MATCH(B230,Patients!$A$2:$A$501,0))&amp;"",""))</f>
        <v/>
      </c>
      <c r="D230" s="1"/>
      <c r="E230" s="1"/>
      <c r="F230" s="1"/>
      <c r="G230" s="28"/>
      <c r="H230" s="1"/>
      <c r="I230" s="1"/>
      <c r="J230" s="29"/>
      <c r="K230" s="1"/>
      <c r="L230" s="20" t="str">
        <f aca="false">IF(E230="","",IFERROR(INDEX(Settings!$D$13:$D$32,MATCH(E230,Settings!$A$13:$A$32,0)),0)*IF(F230="",1,F230))</f>
        <v/>
      </c>
      <c r="M230" s="20" t="str">
        <f aca="false">IF(L230="","",IF(I230="",L230,L230*(1-IF(J230="",Settings!$B$6,J230))))</f>
        <v/>
      </c>
      <c r="N230" s="20" t="str">
        <f aca="false">IF(OR(L230="",I230=""),"",L230-M230)</f>
        <v/>
      </c>
      <c r="O230" s="1"/>
    </row>
    <row r="231" customFormat="false" ht="15" hidden="false" customHeight="false" outlineLevel="0" collapsed="false">
      <c r="A231" s="27"/>
      <c r="B231" s="1"/>
      <c r="C231" s="24" t="str">
        <f aca="false">IF(B231="","",IFERROR(INDEX(Patients!$B$2:$B$501,MATCH(B231,Patients!$A$2:$A$501,0))&amp;"",""))</f>
        <v/>
      </c>
      <c r="D231" s="1"/>
      <c r="E231" s="1"/>
      <c r="F231" s="1"/>
      <c r="G231" s="28"/>
      <c r="H231" s="1"/>
      <c r="I231" s="1"/>
      <c r="J231" s="29"/>
      <c r="K231" s="1"/>
      <c r="L231" s="20" t="str">
        <f aca="false">IF(E231="","",IFERROR(INDEX(Settings!$D$13:$D$32,MATCH(E231,Settings!$A$13:$A$32,0)),0)*IF(F231="",1,F231))</f>
        <v/>
      </c>
      <c r="M231" s="20" t="str">
        <f aca="false">IF(L231="","",IF(I231="",L231,L231*(1-IF(J231="",Settings!$B$6,J231))))</f>
        <v/>
      </c>
      <c r="N231" s="20" t="str">
        <f aca="false">IF(OR(L231="",I231=""),"",L231-M231)</f>
        <v/>
      </c>
      <c r="O231" s="1"/>
    </row>
    <row r="232" customFormat="false" ht="15" hidden="false" customHeight="false" outlineLevel="0" collapsed="false">
      <c r="A232" s="27"/>
      <c r="B232" s="1"/>
      <c r="C232" s="24" t="str">
        <f aca="false">IF(B232="","",IFERROR(INDEX(Patients!$B$2:$B$501,MATCH(B232,Patients!$A$2:$A$501,0))&amp;"",""))</f>
        <v/>
      </c>
      <c r="D232" s="1"/>
      <c r="E232" s="1"/>
      <c r="F232" s="1"/>
      <c r="G232" s="28"/>
      <c r="H232" s="1"/>
      <c r="I232" s="1"/>
      <c r="J232" s="29"/>
      <c r="K232" s="1"/>
      <c r="L232" s="20" t="str">
        <f aca="false">IF(E232="","",IFERROR(INDEX(Settings!$D$13:$D$32,MATCH(E232,Settings!$A$13:$A$32,0)),0)*IF(F232="",1,F232))</f>
        <v/>
      </c>
      <c r="M232" s="20" t="str">
        <f aca="false">IF(L232="","",IF(I232="",L232,L232*(1-IF(J232="",Settings!$B$6,J232))))</f>
        <v/>
      </c>
      <c r="N232" s="20" t="str">
        <f aca="false">IF(OR(L232="",I232=""),"",L232-M232)</f>
        <v/>
      </c>
      <c r="O232" s="1"/>
    </row>
    <row r="233" customFormat="false" ht="15" hidden="false" customHeight="false" outlineLevel="0" collapsed="false">
      <c r="A233" s="27"/>
      <c r="B233" s="1"/>
      <c r="C233" s="24" t="str">
        <f aca="false">IF(B233="","",IFERROR(INDEX(Patients!$B$2:$B$501,MATCH(B233,Patients!$A$2:$A$501,0))&amp;"",""))</f>
        <v/>
      </c>
      <c r="D233" s="1"/>
      <c r="E233" s="1"/>
      <c r="F233" s="1"/>
      <c r="G233" s="28"/>
      <c r="H233" s="1"/>
      <c r="I233" s="1"/>
      <c r="J233" s="29"/>
      <c r="K233" s="1"/>
      <c r="L233" s="20" t="str">
        <f aca="false">IF(E233="","",IFERROR(INDEX(Settings!$D$13:$D$32,MATCH(E233,Settings!$A$13:$A$32,0)),0)*IF(F233="",1,F233))</f>
        <v/>
      </c>
      <c r="M233" s="20" t="str">
        <f aca="false">IF(L233="","",IF(I233="",L233,L233*(1-IF(J233="",Settings!$B$6,J233))))</f>
        <v/>
      </c>
      <c r="N233" s="20" t="str">
        <f aca="false">IF(OR(L233="",I233=""),"",L233-M233)</f>
        <v/>
      </c>
      <c r="O233" s="1"/>
    </row>
    <row r="234" customFormat="false" ht="15" hidden="false" customHeight="false" outlineLevel="0" collapsed="false">
      <c r="A234" s="27"/>
      <c r="B234" s="1"/>
      <c r="C234" s="24" t="str">
        <f aca="false">IF(B234="","",IFERROR(INDEX(Patients!$B$2:$B$501,MATCH(B234,Patients!$A$2:$A$501,0))&amp;"",""))</f>
        <v/>
      </c>
      <c r="D234" s="1"/>
      <c r="E234" s="1"/>
      <c r="F234" s="1"/>
      <c r="G234" s="28"/>
      <c r="H234" s="1"/>
      <c r="I234" s="1"/>
      <c r="J234" s="29"/>
      <c r="K234" s="1"/>
      <c r="L234" s="20" t="str">
        <f aca="false">IF(E234="","",IFERROR(INDEX(Settings!$D$13:$D$32,MATCH(E234,Settings!$A$13:$A$32,0)),0)*IF(F234="",1,F234))</f>
        <v/>
      </c>
      <c r="M234" s="20" t="str">
        <f aca="false">IF(L234="","",IF(I234="",L234,L234*(1-IF(J234="",Settings!$B$6,J234))))</f>
        <v/>
      </c>
      <c r="N234" s="20" t="str">
        <f aca="false">IF(OR(L234="",I234=""),"",L234-M234)</f>
        <v/>
      </c>
      <c r="O234" s="1"/>
    </row>
    <row r="235" customFormat="false" ht="15" hidden="false" customHeight="false" outlineLevel="0" collapsed="false">
      <c r="A235" s="27"/>
      <c r="B235" s="1"/>
      <c r="C235" s="24" t="str">
        <f aca="false">IF(B235="","",IFERROR(INDEX(Patients!$B$2:$B$501,MATCH(B235,Patients!$A$2:$A$501,0))&amp;"",""))</f>
        <v/>
      </c>
      <c r="D235" s="1"/>
      <c r="E235" s="1"/>
      <c r="F235" s="1"/>
      <c r="G235" s="28"/>
      <c r="H235" s="1"/>
      <c r="I235" s="1"/>
      <c r="J235" s="29"/>
      <c r="K235" s="1"/>
      <c r="L235" s="20" t="str">
        <f aca="false">IF(E235="","",IFERROR(INDEX(Settings!$D$13:$D$32,MATCH(E235,Settings!$A$13:$A$32,0)),0)*IF(F235="",1,F235))</f>
        <v/>
      </c>
      <c r="M235" s="20" t="str">
        <f aca="false">IF(L235="","",IF(I235="",L235,L235*(1-IF(J235="",Settings!$B$6,J235))))</f>
        <v/>
      </c>
      <c r="N235" s="20" t="str">
        <f aca="false">IF(OR(L235="",I235=""),"",L235-M235)</f>
        <v/>
      </c>
      <c r="O235" s="1"/>
    </row>
    <row r="236" customFormat="false" ht="15" hidden="false" customHeight="false" outlineLevel="0" collapsed="false">
      <c r="A236" s="27"/>
      <c r="B236" s="1"/>
      <c r="C236" s="24" t="str">
        <f aca="false">IF(B236="","",IFERROR(INDEX(Patients!$B$2:$B$501,MATCH(B236,Patients!$A$2:$A$501,0))&amp;"",""))</f>
        <v/>
      </c>
      <c r="D236" s="1"/>
      <c r="E236" s="1"/>
      <c r="F236" s="1"/>
      <c r="G236" s="28"/>
      <c r="H236" s="1"/>
      <c r="I236" s="1"/>
      <c r="J236" s="29"/>
      <c r="K236" s="1"/>
      <c r="L236" s="20" t="str">
        <f aca="false">IF(E236="","",IFERROR(INDEX(Settings!$D$13:$D$32,MATCH(E236,Settings!$A$13:$A$32,0)),0)*IF(F236="",1,F236))</f>
        <v/>
      </c>
      <c r="M236" s="20" t="str">
        <f aca="false">IF(L236="","",IF(I236="",L236,L236*(1-IF(J236="",Settings!$B$6,J236))))</f>
        <v/>
      </c>
      <c r="N236" s="20" t="str">
        <f aca="false">IF(OR(L236="",I236=""),"",L236-M236)</f>
        <v/>
      </c>
      <c r="O236" s="1"/>
    </row>
    <row r="237" customFormat="false" ht="15" hidden="false" customHeight="false" outlineLevel="0" collapsed="false">
      <c r="A237" s="27"/>
      <c r="B237" s="1"/>
      <c r="C237" s="24" t="str">
        <f aca="false">IF(B237="","",IFERROR(INDEX(Patients!$B$2:$B$501,MATCH(B237,Patients!$A$2:$A$501,0))&amp;"",""))</f>
        <v/>
      </c>
      <c r="D237" s="1"/>
      <c r="E237" s="1"/>
      <c r="F237" s="1"/>
      <c r="G237" s="28"/>
      <c r="H237" s="1"/>
      <c r="I237" s="1"/>
      <c r="J237" s="29"/>
      <c r="K237" s="1"/>
      <c r="L237" s="20" t="str">
        <f aca="false">IF(E237="","",IFERROR(INDEX(Settings!$D$13:$D$32,MATCH(E237,Settings!$A$13:$A$32,0)),0)*IF(F237="",1,F237))</f>
        <v/>
      </c>
      <c r="M237" s="20" t="str">
        <f aca="false">IF(L237="","",IF(I237="",L237,L237*(1-IF(J237="",Settings!$B$6,J237))))</f>
        <v/>
      </c>
      <c r="N237" s="20" t="str">
        <f aca="false">IF(OR(L237="",I237=""),"",L237-M237)</f>
        <v/>
      </c>
      <c r="O237" s="1"/>
    </row>
    <row r="238" customFormat="false" ht="15" hidden="false" customHeight="false" outlineLevel="0" collapsed="false">
      <c r="A238" s="27"/>
      <c r="B238" s="1"/>
      <c r="C238" s="24" t="str">
        <f aca="false">IF(B238="","",IFERROR(INDEX(Patients!$B$2:$B$501,MATCH(B238,Patients!$A$2:$A$501,0))&amp;"",""))</f>
        <v/>
      </c>
      <c r="D238" s="1"/>
      <c r="E238" s="1"/>
      <c r="F238" s="1"/>
      <c r="G238" s="28"/>
      <c r="H238" s="1"/>
      <c r="I238" s="1"/>
      <c r="J238" s="29"/>
      <c r="K238" s="1"/>
      <c r="L238" s="20" t="str">
        <f aca="false">IF(E238="","",IFERROR(INDEX(Settings!$D$13:$D$32,MATCH(E238,Settings!$A$13:$A$32,0)),0)*IF(F238="",1,F238))</f>
        <v/>
      </c>
      <c r="M238" s="20" t="str">
        <f aca="false">IF(L238="","",IF(I238="",L238,L238*(1-IF(J238="",Settings!$B$6,J238))))</f>
        <v/>
      </c>
      <c r="N238" s="20" t="str">
        <f aca="false">IF(OR(L238="",I238=""),"",L238-M238)</f>
        <v/>
      </c>
      <c r="O238" s="1"/>
    </row>
    <row r="239" customFormat="false" ht="15" hidden="false" customHeight="false" outlineLevel="0" collapsed="false">
      <c r="A239" s="27"/>
      <c r="B239" s="1"/>
      <c r="C239" s="24" t="str">
        <f aca="false">IF(B239="","",IFERROR(INDEX(Patients!$B$2:$B$501,MATCH(B239,Patients!$A$2:$A$501,0))&amp;"",""))</f>
        <v/>
      </c>
      <c r="D239" s="1"/>
      <c r="E239" s="1"/>
      <c r="F239" s="1"/>
      <c r="G239" s="28"/>
      <c r="H239" s="1"/>
      <c r="I239" s="1"/>
      <c r="J239" s="29"/>
      <c r="K239" s="1"/>
      <c r="L239" s="20" t="str">
        <f aca="false">IF(E239="","",IFERROR(INDEX(Settings!$D$13:$D$32,MATCH(E239,Settings!$A$13:$A$32,0)),0)*IF(F239="",1,F239))</f>
        <v/>
      </c>
      <c r="M239" s="20" t="str">
        <f aca="false">IF(L239="","",IF(I239="",L239,L239*(1-IF(J239="",Settings!$B$6,J239))))</f>
        <v/>
      </c>
      <c r="N239" s="20" t="str">
        <f aca="false">IF(OR(L239="",I239=""),"",L239-M239)</f>
        <v/>
      </c>
      <c r="O239" s="1"/>
    </row>
    <row r="240" customFormat="false" ht="15" hidden="false" customHeight="false" outlineLevel="0" collapsed="false">
      <c r="A240" s="27"/>
      <c r="B240" s="1"/>
      <c r="C240" s="24" t="str">
        <f aca="false">IF(B240="","",IFERROR(INDEX(Patients!$B$2:$B$501,MATCH(B240,Patients!$A$2:$A$501,0))&amp;"",""))</f>
        <v/>
      </c>
      <c r="D240" s="1"/>
      <c r="E240" s="1"/>
      <c r="F240" s="1"/>
      <c r="G240" s="28"/>
      <c r="H240" s="1"/>
      <c r="I240" s="1"/>
      <c r="J240" s="29"/>
      <c r="K240" s="1"/>
      <c r="L240" s="20" t="str">
        <f aca="false">IF(E240="","",IFERROR(INDEX(Settings!$D$13:$D$32,MATCH(E240,Settings!$A$13:$A$32,0)),0)*IF(F240="",1,F240))</f>
        <v/>
      </c>
      <c r="M240" s="20" t="str">
        <f aca="false">IF(L240="","",IF(I240="",L240,L240*(1-IF(J240="",Settings!$B$6,J240))))</f>
        <v/>
      </c>
      <c r="N240" s="20" t="str">
        <f aca="false">IF(OR(L240="",I240=""),"",L240-M240)</f>
        <v/>
      </c>
      <c r="O240" s="1"/>
    </row>
    <row r="241" customFormat="false" ht="15" hidden="false" customHeight="false" outlineLevel="0" collapsed="false">
      <c r="A241" s="27"/>
      <c r="B241" s="1"/>
      <c r="C241" s="24" t="str">
        <f aca="false">IF(B241="","",IFERROR(INDEX(Patients!$B$2:$B$501,MATCH(B241,Patients!$A$2:$A$501,0))&amp;"",""))</f>
        <v/>
      </c>
      <c r="D241" s="1"/>
      <c r="E241" s="1"/>
      <c r="F241" s="1"/>
      <c r="G241" s="28"/>
      <c r="H241" s="1"/>
      <c r="I241" s="1"/>
      <c r="J241" s="29"/>
      <c r="K241" s="1"/>
      <c r="L241" s="20" t="str">
        <f aca="false">IF(E241="","",IFERROR(INDEX(Settings!$D$13:$D$32,MATCH(E241,Settings!$A$13:$A$32,0)),0)*IF(F241="",1,F241))</f>
        <v/>
      </c>
      <c r="M241" s="20" t="str">
        <f aca="false">IF(L241="","",IF(I241="",L241,L241*(1-IF(J241="",Settings!$B$6,J241))))</f>
        <v/>
      </c>
      <c r="N241" s="20" t="str">
        <f aca="false">IF(OR(L241="",I241=""),"",L241-M241)</f>
        <v/>
      </c>
      <c r="O241" s="1"/>
    </row>
    <row r="242" customFormat="false" ht="15" hidden="false" customHeight="false" outlineLevel="0" collapsed="false">
      <c r="A242" s="27"/>
      <c r="B242" s="1"/>
      <c r="C242" s="24" t="str">
        <f aca="false">IF(B242="","",IFERROR(INDEX(Patients!$B$2:$B$501,MATCH(B242,Patients!$A$2:$A$501,0))&amp;"",""))</f>
        <v/>
      </c>
      <c r="D242" s="1"/>
      <c r="E242" s="1"/>
      <c r="F242" s="1"/>
      <c r="G242" s="28"/>
      <c r="H242" s="1"/>
      <c r="I242" s="1"/>
      <c r="J242" s="29"/>
      <c r="K242" s="1"/>
      <c r="L242" s="20" t="str">
        <f aca="false">IF(E242="","",IFERROR(INDEX(Settings!$D$13:$D$32,MATCH(E242,Settings!$A$13:$A$32,0)),0)*IF(F242="",1,F242))</f>
        <v/>
      </c>
      <c r="M242" s="20" t="str">
        <f aca="false">IF(L242="","",IF(I242="",L242,L242*(1-IF(J242="",Settings!$B$6,J242))))</f>
        <v/>
      </c>
      <c r="N242" s="20" t="str">
        <f aca="false">IF(OR(L242="",I242=""),"",L242-M242)</f>
        <v/>
      </c>
      <c r="O242" s="1"/>
    </row>
    <row r="243" customFormat="false" ht="15" hidden="false" customHeight="false" outlineLevel="0" collapsed="false">
      <c r="A243" s="27"/>
      <c r="B243" s="1"/>
      <c r="C243" s="24" t="str">
        <f aca="false">IF(B243="","",IFERROR(INDEX(Patients!$B$2:$B$501,MATCH(B243,Patients!$A$2:$A$501,0))&amp;"",""))</f>
        <v/>
      </c>
      <c r="D243" s="1"/>
      <c r="E243" s="1"/>
      <c r="F243" s="1"/>
      <c r="G243" s="28"/>
      <c r="H243" s="1"/>
      <c r="I243" s="1"/>
      <c r="J243" s="29"/>
      <c r="K243" s="1"/>
      <c r="L243" s="20" t="str">
        <f aca="false">IF(E243="","",IFERROR(INDEX(Settings!$D$13:$D$32,MATCH(E243,Settings!$A$13:$A$32,0)),0)*IF(F243="",1,F243))</f>
        <v/>
      </c>
      <c r="M243" s="20" t="str">
        <f aca="false">IF(L243="","",IF(I243="",L243,L243*(1-IF(J243="",Settings!$B$6,J243))))</f>
        <v/>
      </c>
      <c r="N243" s="20" t="str">
        <f aca="false">IF(OR(L243="",I243=""),"",L243-M243)</f>
        <v/>
      </c>
      <c r="O243" s="1"/>
    </row>
    <row r="244" customFormat="false" ht="15" hidden="false" customHeight="false" outlineLevel="0" collapsed="false">
      <c r="A244" s="27"/>
      <c r="B244" s="1"/>
      <c r="C244" s="24" t="str">
        <f aca="false">IF(B244="","",IFERROR(INDEX(Patients!$B$2:$B$501,MATCH(B244,Patients!$A$2:$A$501,0))&amp;"",""))</f>
        <v/>
      </c>
      <c r="D244" s="1"/>
      <c r="E244" s="1"/>
      <c r="F244" s="1"/>
      <c r="G244" s="28"/>
      <c r="H244" s="1"/>
      <c r="I244" s="1"/>
      <c r="J244" s="29"/>
      <c r="K244" s="1"/>
      <c r="L244" s="20" t="str">
        <f aca="false">IF(E244="","",IFERROR(INDEX(Settings!$D$13:$D$32,MATCH(E244,Settings!$A$13:$A$32,0)),0)*IF(F244="",1,F244))</f>
        <v/>
      </c>
      <c r="M244" s="20" t="str">
        <f aca="false">IF(L244="","",IF(I244="",L244,L244*(1-IF(J244="",Settings!$B$6,J244))))</f>
        <v/>
      </c>
      <c r="N244" s="20" t="str">
        <f aca="false">IF(OR(L244="",I244=""),"",L244-M244)</f>
        <v/>
      </c>
      <c r="O244" s="1"/>
    </row>
    <row r="245" customFormat="false" ht="15" hidden="false" customHeight="false" outlineLevel="0" collapsed="false">
      <c r="A245" s="27"/>
      <c r="B245" s="1"/>
      <c r="C245" s="24" t="str">
        <f aca="false">IF(B245="","",IFERROR(INDEX(Patients!$B$2:$B$501,MATCH(B245,Patients!$A$2:$A$501,0))&amp;"",""))</f>
        <v/>
      </c>
      <c r="D245" s="1"/>
      <c r="E245" s="1"/>
      <c r="F245" s="1"/>
      <c r="G245" s="28"/>
      <c r="H245" s="1"/>
      <c r="I245" s="1"/>
      <c r="J245" s="29"/>
      <c r="K245" s="1"/>
      <c r="L245" s="20" t="str">
        <f aca="false">IF(E245="","",IFERROR(INDEX(Settings!$D$13:$D$32,MATCH(E245,Settings!$A$13:$A$32,0)),0)*IF(F245="",1,F245))</f>
        <v/>
      </c>
      <c r="M245" s="20" t="str">
        <f aca="false">IF(L245="","",IF(I245="",L245,L245*(1-IF(J245="",Settings!$B$6,J245))))</f>
        <v/>
      </c>
      <c r="N245" s="20" t="str">
        <f aca="false">IF(OR(L245="",I245=""),"",L245-M245)</f>
        <v/>
      </c>
      <c r="O245" s="1"/>
    </row>
    <row r="246" customFormat="false" ht="15" hidden="false" customHeight="false" outlineLevel="0" collapsed="false">
      <c r="A246" s="27"/>
      <c r="B246" s="1"/>
      <c r="C246" s="24" t="str">
        <f aca="false">IF(B246="","",IFERROR(INDEX(Patients!$B$2:$B$501,MATCH(B246,Patients!$A$2:$A$501,0))&amp;"",""))</f>
        <v/>
      </c>
      <c r="D246" s="1"/>
      <c r="E246" s="1"/>
      <c r="F246" s="1"/>
      <c r="G246" s="28"/>
      <c r="H246" s="1"/>
      <c r="I246" s="1"/>
      <c r="J246" s="29"/>
      <c r="K246" s="1"/>
      <c r="L246" s="20" t="str">
        <f aca="false">IF(E246="","",IFERROR(INDEX(Settings!$D$13:$D$32,MATCH(E246,Settings!$A$13:$A$32,0)),0)*IF(F246="",1,F246))</f>
        <v/>
      </c>
      <c r="M246" s="20" t="str">
        <f aca="false">IF(L246="","",IF(I246="",L246,L246*(1-IF(J246="",Settings!$B$6,J246))))</f>
        <v/>
      </c>
      <c r="N246" s="20" t="str">
        <f aca="false">IF(OR(L246="",I246=""),"",L246-M246)</f>
        <v/>
      </c>
      <c r="O246" s="1"/>
    </row>
    <row r="247" customFormat="false" ht="15" hidden="false" customHeight="false" outlineLevel="0" collapsed="false">
      <c r="A247" s="27"/>
      <c r="B247" s="1"/>
      <c r="C247" s="24" t="str">
        <f aca="false">IF(B247="","",IFERROR(INDEX(Patients!$B$2:$B$501,MATCH(B247,Patients!$A$2:$A$501,0))&amp;"",""))</f>
        <v/>
      </c>
      <c r="D247" s="1"/>
      <c r="E247" s="1"/>
      <c r="F247" s="1"/>
      <c r="G247" s="28"/>
      <c r="H247" s="1"/>
      <c r="I247" s="1"/>
      <c r="J247" s="29"/>
      <c r="K247" s="1"/>
      <c r="L247" s="20" t="str">
        <f aca="false">IF(E247="","",IFERROR(INDEX(Settings!$D$13:$D$32,MATCH(E247,Settings!$A$13:$A$32,0)),0)*IF(F247="",1,F247))</f>
        <v/>
      </c>
      <c r="M247" s="20" t="str">
        <f aca="false">IF(L247="","",IF(I247="",L247,L247*(1-IF(J247="",Settings!$B$6,J247))))</f>
        <v/>
      </c>
      <c r="N247" s="20" t="str">
        <f aca="false">IF(OR(L247="",I247=""),"",L247-M247)</f>
        <v/>
      </c>
      <c r="O247" s="1"/>
    </row>
    <row r="248" customFormat="false" ht="15" hidden="false" customHeight="false" outlineLevel="0" collapsed="false">
      <c r="A248" s="27"/>
      <c r="B248" s="1"/>
      <c r="C248" s="24" t="str">
        <f aca="false">IF(B248="","",IFERROR(INDEX(Patients!$B$2:$B$501,MATCH(B248,Patients!$A$2:$A$501,0))&amp;"",""))</f>
        <v/>
      </c>
      <c r="D248" s="1"/>
      <c r="E248" s="1"/>
      <c r="F248" s="1"/>
      <c r="G248" s="28"/>
      <c r="H248" s="1"/>
      <c r="I248" s="1"/>
      <c r="J248" s="29"/>
      <c r="K248" s="1"/>
      <c r="L248" s="20" t="str">
        <f aca="false">IF(E248="","",IFERROR(INDEX(Settings!$D$13:$D$32,MATCH(E248,Settings!$A$13:$A$32,0)),0)*IF(F248="",1,F248))</f>
        <v/>
      </c>
      <c r="M248" s="20" t="str">
        <f aca="false">IF(L248="","",IF(I248="",L248,L248*(1-IF(J248="",Settings!$B$6,J248))))</f>
        <v/>
      </c>
      <c r="N248" s="20" t="str">
        <f aca="false">IF(OR(L248="",I248=""),"",L248-M248)</f>
        <v/>
      </c>
      <c r="O248" s="1"/>
    </row>
    <row r="249" customFormat="false" ht="15" hidden="false" customHeight="false" outlineLevel="0" collapsed="false">
      <c r="A249" s="27"/>
      <c r="B249" s="1"/>
      <c r="C249" s="24" t="str">
        <f aca="false">IF(B249="","",IFERROR(INDEX(Patients!$B$2:$B$501,MATCH(B249,Patients!$A$2:$A$501,0))&amp;"",""))</f>
        <v/>
      </c>
      <c r="D249" s="1"/>
      <c r="E249" s="1"/>
      <c r="F249" s="1"/>
      <c r="G249" s="28"/>
      <c r="H249" s="1"/>
      <c r="I249" s="1"/>
      <c r="J249" s="29"/>
      <c r="K249" s="1"/>
      <c r="L249" s="20" t="str">
        <f aca="false">IF(E249="","",IFERROR(INDEX(Settings!$D$13:$D$32,MATCH(E249,Settings!$A$13:$A$32,0)),0)*IF(F249="",1,F249))</f>
        <v/>
      </c>
      <c r="M249" s="20" t="str">
        <f aca="false">IF(L249="","",IF(I249="",L249,L249*(1-IF(J249="",Settings!$B$6,J249))))</f>
        <v/>
      </c>
      <c r="N249" s="20" t="str">
        <f aca="false">IF(OR(L249="",I249=""),"",L249-M249)</f>
        <v/>
      </c>
      <c r="O249" s="1"/>
    </row>
    <row r="250" customFormat="false" ht="15" hidden="false" customHeight="false" outlineLevel="0" collapsed="false">
      <c r="A250" s="27"/>
      <c r="B250" s="1"/>
      <c r="C250" s="24" t="str">
        <f aca="false">IF(B250="","",IFERROR(INDEX(Patients!$B$2:$B$501,MATCH(B250,Patients!$A$2:$A$501,0))&amp;"",""))</f>
        <v/>
      </c>
      <c r="D250" s="1"/>
      <c r="E250" s="1"/>
      <c r="F250" s="1"/>
      <c r="G250" s="28"/>
      <c r="H250" s="1"/>
      <c r="I250" s="1"/>
      <c r="J250" s="29"/>
      <c r="K250" s="1"/>
      <c r="L250" s="20" t="str">
        <f aca="false">IF(E250="","",IFERROR(INDEX(Settings!$D$13:$D$32,MATCH(E250,Settings!$A$13:$A$32,0)),0)*IF(F250="",1,F250))</f>
        <v/>
      </c>
      <c r="M250" s="20" t="str">
        <f aca="false">IF(L250="","",IF(I250="",L250,L250*(1-IF(J250="",Settings!$B$6,J250))))</f>
        <v/>
      </c>
      <c r="N250" s="20" t="str">
        <f aca="false">IF(OR(L250="",I250=""),"",L250-M250)</f>
        <v/>
      </c>
      <c r="O250" s="1"/>
    </row>
    <row r="251" customFormat="false" ht="15" hidden="false" customHeight="false" outlineLevel="0" collapsed="false">
      <c r="A251" s="27"/>
      <c r="B251" s="1"/>
      <c r="C251" s="24" t="str">
        <f aca="false">IF(B251="","",IFERROR(INDEX(Patients!$B$2:$B$501,MATCH(B251,Patients!$A$2:$A$501,0))&amp;"",""))</f>
        <v/>
      </c>
      <c r="D251" s="1"/>
      <c r="E251" s="1"/>
      <c r="F251" s="1"/>
      <c r="G251" s="28"/>
      <c r="H251" s="1"/>
      <c r="I251" s="1"/>
      <c r="J251" s="29"/>
      <c r="K251" s="1"/>
      <c r="L251" s="20" t="str">
        <f aca="false">IF(E251="","",IFERROR(INDEX(Settings!$D$13:$D$32,MATCH(E251,Settings!$A$13:$A$32,0)),0)*IF(F251="",1,F251))</f>
        <v/>
      </c>
      <c r="M251" s="20" t="str">
        <f aca="false">IF(L251="","",IF(I251="",L251,L251*(1-IF(J251="",Settings!$B$6,J251))))</f>
        <v/>
      </c>
      <c r="N251" s="20" t="str">
        <f aca="false">IF(OR(L251="",I251=""),"",L251-M251)</f>
        <v/>
      </c>
      <c r="O251" s="1"/>
    </row>
    <row r="252" customFormat="false" ht="15" hidden="false" customHeight="false" outlineLevel="0" collapsed="false">
      <c r="A252" s="27"/>
      <c r="B252" s="1"/>
      <c r="C252" s="24" t="str">
        <f aca="false">IF(B252="","",IFERROR(INDEX(Patients!$B$2:$B$501,MATCH(B252,Patients!$A$2:$A$501,0))&amp;"",""))</f>
        <v/>
      </c>
      <c r="D252" s="1"/>
      <c r="E252" s="1"/>
      <c r="F252" s="1"/>
      <c r="G252" s="28"/>
      <c r="H252" s="1"/>
      <c r="I252" s="1"/>
      <c r="J252" s="29"/>
      <c r="K252" s="1"/>
      <c r="L252" s="20" t="str">
        <f aca="false">IF(E252="","",IFERROR(INDEX(Settings!$D$13:$D$32,MATCH(E252,Settings!$A$13:$A$32,0)),0)*IF(F252="",1,F252))</f>
        <v/>
      </c>
      <c r="M252" s="20" t="str">
        <f aca="false">IF(L252="","",IF(I252="",L252,L252*(1-IF(J252="",Settings!$B$6,J252))))</f>
        <v/>
      </c>
      <c r="N252" s="20" t="str">
        <f aca="false">IF(OR(L252="",I252=""),"",L252-M252)</f>
        <v/>
      </c>
      <c r="O252" s="1"/>
    </row>
    <row r="253" customFormat="false" ht="15" hidden="false" customHeight="false" outlineLevel="0" collapsed="false">
      <c r="A253" s="27"/>
      <c r="B253" s="1"/>
      <c r="C253" s="24" t="str">
        <f aca="false">IF(B253="","",IFERROR(INDEX(Patients!$B$2:$B$501,MATCH(B253,Patients!$A$2:$A$501,0))&amp;"",""))</f>
        <v/>
      </c>
      <c r="D253" s="1"/>
      <c r="E253" s="1"/>
      <c r="F253" s="1"/>
      <c r="G253" s="28"/>
      <c r="H253" s="1"/>
      <c r="I253" s="1"/>
      <c r="J253" s="29"/>
      <c r="K253" s="1"/>
      <c r="L253" s="20" t="str">
        <f aca="false">IF(E253="","",IFERROR(INDEX(Settings!$D$13:$D$32,MATCH(E253,Settings!$A$13:$A$32,0)),0)*IF(F253="",1,F253))</f>
        <v/>
      </c>
      <c r="M253" s="20" t="str">
        <f aca="false">IF(L253="","",IF(I253="",L253,L253*(1-IF(J253="",Settings!$B$6,J253))))</f>
        <v/>
      </c>
      <c r="N253" s="20" t="str">
        <f aca="false">IF(OR(L253="",I253=""),"",L253-M253)</f>
        <v/>
      </c>
      <c r="O253" s="1"/>
    </row>
    <row r="254" customFormat="false" ht="15" hidden="false" customHeight="false" outlineLevel="0" collapsed="false">
      <c r="A254" s="27"/>
      <c r="B254" s="1"/>
      <c r="C254" s="24" t="str">
        <f aca="false">IF(B254="","",IFERROR(INDEX(Patients!$B$2:$B$501,MATCH(B254,Patients!$A$2:$A$501,0))&amp;"",""))</f>
        <v/>
      </c>
      <c r="D254" s="1"/>
      <c r="E254" s="1"/>
      <c r="F254" s="1"/>
      <c r="G254" s="28"/>
      <c r="H254" s="1"/>
      <c r="I254" s="1"/>
      <c r="J254" s="29"/>
      <c r="K254" s="1"/>
      <c r="L254" s="20" t="str">
        <f aca="false">IF(E254="","",IFERROR(INDEX(Settings!$D$13:$D$32,MATCH(E254,Settings!$A$13:$A$32,0)),0)*IF(F254="",1,F254))</f>
        <v/>
      </c>
      <c r="M254" s="20" t="str">
        <f aca="false">IF(L254="","",IF(I254="",L254,L254*(1-IF(J254="",Settings!$B$6,J254))))</f>
        <v/>
      </c>
      <c r="N254" s="20" t="str">
        <f aca="false">IF(OR(L254="",I254=""),"",L254-M254)</f>
        <v/>
      </c>
      <c r="O254" s="1"/>
    </row>
    <row r="255" customFormat="false" ht="15" hidden="false" customHeight="false" outlineLevel="0" collapsed="false">
      <c r="A255" s="27"/>
      <c r="B255" s="1"/>
      <c r="C255" s="24" t="str">
        <f aca="false">IF(B255="","",IFERROR(INDEX(Patients!$B$2:$B$501,MATCH(B255,Patients!$A$2:$A$501,0))&amp;"",""))</f>
        <v/>
      </c>
      <c r="D255" s="1"/>
      <c r="E255" s="1"/>
      <c r="F255" s="1"/>
      <c r="G255" s="28"/>
      <c r="H255" s="1"/>
      <c r="I255" s="1"/>
      <c r="J255" s="29"/>
      <c r="K255" s="1"/>
      <c r="L255" s="20" t="str">
        <f aca="false">IF(E255="","",IFERROR(INDEX(Settings!$D$13:$D$32,MATCH(E255,Settings!$A$13:$A$32,0)),0)*IF(F255="",1,F255))</f>
        <v/>
      </c>
      <c r="M255" s="20" t="str">
        <f aca="false">IF(L255="","",IF(I255="",L255,L255*(1-IF(J255="",Settings!$B$6,J255))))</f>
        <v/>
      </c>
      <c r="N255" s="20" t="str">
        <f aca="false">IF(OR(L255="",I255=""),"",L255-M255)</f>
        <v/>
      </c>
      <c r="O255" s="1"/>
    </row>
    <row r="256" customFormat="false" ht="15" hidden="false" customHeight="false" outlineLevel="0" collapsed="false">
      <c r="A256" s="27"/>
      <c r="B256" s="1"/>
      <c r="C256" s="24" t="str">
        <f aca="false">IF(B256="","",IFERROR(INDEX(Patients!$B$2:$B$501,MATCH(B256,Patients!$A$2:$A$501,0))&amp;"",""))</f>
        <v/>
      </c>
      <c r="D256" s="1"/>
      <c r="E256" s="1"/>
      <c r="F256" s="1"/>
      <c r="G256" s="28"/>
      <c r="H256" s="1"/>
      <c r="I256" s="1"/>
      <c r="J256" s="29"/>
      <c r="K256" s="1"/>
      <c r="L256" s="20" t="str">
        <f aca="false">IF(E256="","",IFERROR(INDEX(Settings!$D$13:$D$32,MATCH(E256,Settings!$A$13:$A$32,0)),0)*IF(F256="",1,F256))</f>
        <v/>
      </c>
      <c r="M256" s="20" t="str">
        <f aca="false">IF(L256="","",IF(I256="",L256,L256*(1-IF(J256="",Settings!$B$6,J256))))</f>
        <v/>
      </c>
      <c r="N256" s="20" t="str">
        <f aca="false">IF(OR(L256="",I256=""),"",L256-M256)</f>
        <v/>
      </c>
      <c r="O256" s="1"/>
    </row>
    <row r="257" customFormat="false" ht="15" hidden="false" customHeight="false" outlineLevel="0" collapsed="false">
      <c r="A257" s="27"/>
      <c r="B257" s="1"/>
      <c r="C257" s="24" t="str">
        <f aca="false">IF(B257="","",IFERROR(INDEX(Patients!$B$2:$B$501,MATCH(B257,Patients!$A$2:$A$501,0))&amp;"",""))</f>
        <v/>
      </c>
      <c r="D257" s="1"/>
      <c r="E257" s="1"/>
      <c r="F257" s="1"/>
      <c r="G257" s="28"/>
      <c r="H257" s="1"/>
      <c r="I257" s="1"/>
      <c r="J257" s="29"/>
      <c r="K257" s="1"/>
      <c r="L257" s="20" t="str">
        <f aca="false">IF(E257="","",IFERROR(INDEX(Settings!$D$13:$D$32,MATCH(E257,Settings!$A$13:$A$32,0)),0)*IF(F257="",1,F257))</f>
        <v/>
      </c>
      <c r="M257" s="20" t="str">
        <f aca="false">IF(L257="","",IF(I257="",L257,L257*(1-IF(J257="",Settings!$B$6,J257))))</f>
        <v/>
      </c>
      <c r="N257" s="20" t="str">
        <f aca="false">IF(OR(L257="",I257=""),"",L257-M257)</f>
        <v/>
      </c>
      <c r="O257" s="1"/>
    </row>
    <row r="258" customFormat="false" ht="15" hidden="false" customHeight="false" outlineLevel="0" collapsed="false">
      <c r="A258" s="27"/>
      <c r="B258" s="1"/>
      <c r="C258" s="24" t="str">
        <f aca="false">IF(B258="","",IFERROR(INDEX(Patients!$B$2:$B$501,MATCH(B258,Patients!$A$2:$A$501,0))&amp;"",""))</f>
        <v/>
      </c>
      <c r="D258" s="1"/>
      <c r="E258" s="1"/>
      <c r="F258" s="1"/>
      <c r="G258" s="28"/>
      <c r="H258" s="1"/>
      <c r="I258" s="1"/>
      <c r="J258" s="29"/>
      <c r="K258" s="1"/>
      <c r="L258" s="20" t="str">
        <f aca="false">IF(E258="","",IFERROR(INDEX(Settings!$D$13:$D$32,MATCH(E258,Settings!$A$13:$A$32,0)),0)*IF(F258="",1,F258))</f>
        <v/>
      </c>
      <c r="M258" s="20" t="str">
        <f aca="false">IF(L258="","",IF(I258="",L258,L258*(1-IF(J258="",Settings!$B$6,J258))))</f>
        <v/>
      </c>
      <c r="N258" s="20" t="str">
        <f aca="false">IF(OR(L258="",I258=""),"",L258-M258)</f>
        <v/>
      </c>
      <c r="O258" s="1"/>
    </row>
    <row r="259" customFormat="false" ht="15" hidden="false" customHeight="false" outlineLevel="0" collapsed="false">
      <c r="A259" s="27"/>
      <c r="B259" s="1"/>
      <c r="C259" s="24" t="str">
        <f aca="false">IF(B259="","",IFERROR(INDEX(Patients!$B$2:$B$501,MATCH(B259,Patients!$A$2:$A$501,0))&amp;"",""))</f>
        <v/>
      </c>
      <c r="D259" s="1"/>
      <c r="E259" s="1"/>
      <c r="F259" s="1"/>
      <c r="G259" s="28"/>
      <c r="H259" s="1"/>
      <c r="I259" s="1"/>
      <c r="J259" s="29"/>
      <c r="K259" s="1"/>
      <c r="L259" s="20" t="str">
        <f aca="false">IF(E259="","",IFERROR(INDEX(Settings!$D$13:$D$32,MATCH(E259,Settings!$A$13:$A$32,0)),0)*IF(F259="",1,F259))</f>
        <v/>
      </c>
      <c r="M259" s="20" t="str">
        <f aca="false">IF(L259="","",IF(I259="",L259,L259*(1-IF(J259="",Settings!$B$6,J259))))</f>
        <v/>
      </c>
      <c r="N259" s="20" t="str">
        <f aca="false">IF(OR(L259="",I259=""),"",L259-M259)</f>
        <v/>
      </c>
      <c r="O259" s="1"/>
    </row>
    <row r="260" customFormat="false" ht="15" hidden="false" customHeight="false" outlineLevel="0" collapsed="false">
      <c r="A260" s="27"/>
      <c r="B260" s="1"/>
      <c r="C260" s="24" t="str">
        <f aca="false">IF(B260="","",IFERROR(INDEX(Patients!$B$2:$B$501,MATCH(B260,Patients!$A$2:$A$501,0))&amp;"",""))</f>
        <v/>
      </c>
      <c r="D260" s="1"/>
      <c r="E260" s="1"/>
      <c r="F260" s="1"/>
      <c r="G260" s="28"/>
      <c r="H260" s="1"/>
      <c r="I260" s="1"/>
      <c r="J260" s="29"/>
      <c r="K260" s="1"/>
      <c r="L260" s="20" t="str">
        <f aca="false">IF(E260="","",IFERROR(INDEX(Settings!$D$13:$D$32,MATCH(E260,Settings!$A$13:$A$32,0)),0)*IF(F260="",1,F260))</f>
        <v/>
      </c>
      <c r="M260" s="20" t="str">
        <f aca="false">IF(L260="","",IF(I260="",L260,L260*(1-IF(J260="",Settings!$B$6,J260))))</f>
        <v/>
      </c>
      <c r="N260" s="20" t="str">
        <f aca="false">IF(OR(L260="",I260=""),"",L260-M260)</f>
        <v/>
      </c>
      <c r="O260" s="1"/>
    </row>
    <row r="261" customFormat="false" ht="15" hidden="false" customHeight="false" outlineLevel="0" collapsed="false">
      <c r="A261" s="27"/>
      <c r="B261" s="1"/>
      <c r="C261" s="24" t="str">
        <f aca="false">IF(B261="","",IFERROR(INDEX(Patients!$B$2:$B$501,MATCH(B261,Patients!$A$2:$A$501,0))&amp;"",""))</f>
        <v/>
      </c>
      <c r="D261" s="1"/>
      <c r="E261" s="1"/>
      <c r="F261" s="1"/>
      <c r="G261" s="28"/>
      <c r="H261" s="1"/>
      <c r="I261" s="1"/>
      <c r="J261" s="29"/>
      <c r="K261" s="1"/>
      <c r="L261" s="20" t="str">
        <f aca="false">IF(E261="","",IFERROR(INDEX(Settings!$D$13:$D$32,MATCH(E261,Settings!$A$13:$A$32,0)),0)*IF(F261="",1,F261))</f>
        <v/>
      </c>
      <c r="M261" s="20" t="str">
        <f aca="false">IF(L261="","",IF(I261="",L261,L261*(1-IF(J261="",Settings!$B$6,J261))))</f>
        <v/>
      </c>
      <c r="N261" s="20" t="str">
        <f aca="false">IF(OR(L261="",I261=""),"",L261-M261)</f>
        <v/>
      </c>
      <c r="O261" s="1"/>
    </row>
    <row r="262" customFormat="false" ht="15" hidden="false" customHeight="false" outlineLevel="0" collapsed="false">
      <c r="A262" s="27"/>
      <c r="B262" s="1"/>
      <c r="C262" s="24" t="str">
        <f aca="false">IF(B262="","",IFERROR(INDEX(Patients!$B$2:$B$501,MATCH(B262,Patients!$A$2:$A$501,0))&amp;"",""))</f>
        <v/>
      </c>
      <c r="D262" s="1"/>
      <c r="E262" s="1"/>
      <c r="F262" s="1"/>
      <c r="G262" s="28"/>
      <c r="H262" s="1"/>
      <c r="I262" s="1"/>
      <c r="J262" s="29"/>
      <c r="K262" s="1"/>
      <c r="L262" s="20" t="str">
        <f aca="false">IF(E262="","",IFERROR(INDEX(Settings!$D$13:$D$32,MATCH(E262,Settings!$A$13:$A$32,0)),0)*IF(F262="",1,F262))</f>
        <v/>
      </c>
      <c r="M262" s="20" t="str">
        <f aca="false">IF(L262="","",IF(I262="",L262,L262*(1-IF(J262="",Settings!$B$6,J262))))</f>
        <v/>
      </c>
      <c r="N262" s="20" t="str">
        <f aca="false">IF(OR(L262="",I262=""),"",L262-M262)</f>
        <v/>
      </c>
      <c r="O262" s="1"/>
    </row>
    <row r="263" customFormat="false" ht="15" hidden="false" customHeight="false" outlineLevel="0" collapsed="false">
      <c r="A263" s="27"/>
      <c r="B263" s="1"/>
      <c r="C263" s="24" t="str">
        <f aca="false">IF(B263="","",IFERROR(INDEX(Patients!$B$2:$B$501,MATCH(B263,Patients!$A$2:$A$501,0))&amp;"",""))</f>
        <v/>
      </c>
      <c r="D263" s="1"/>
      <c r="E263" s="1"/>
      <c r="F263" s="1"/>
      <c r="G263" s="28"/>
      <c r="H263" s="1"/>
      <c r="I263" s="1"/>
      <c r="J263" s="29"/>
      <c r="K263" s="1"/>
      <c r="L263" s="20" t="str">
        <f aca="false">IF(E263="","",IFERROR(INDEX(Settings!$D$13:$D$32,MATCH(E263,Settings!$A$13:$A$32,0)),0)*IF(F263="",1,F263))</f>
        <v/>
      </c>
      <c r="M263" s="20" t="str">
        <f aca="false">IF(L263="","",IF(I263="",L263,L263*(1-IF(J263="",Settings!$B$6,J263))))</f>
        <v/>
      </c>
      <c r="N263" s="20" t="str">
        <f aca="false">IF(OR(L263="",I263=""),"",L263-M263)</f>
        <v/>
      </c>
      <c r="O263" s="1"/>
    </row>
    <row r="264" customFormat="false" ht="15" hidden="false" customHeight="false" outlineLevel="0" collapsed="false">
      <c r="A264" s="27"/>
      <c r="B264" s="1"/>
      <c r="C264" s="24" t="str">
        <f aca="false">IF(B264="","",IFERROR(INDEX(Patients!$B$2:$B$501,MATCH(B264,Patients!$A$2:$A$501,0))&amp;"",""))</f>
        <v/>
      </c>
      <c r="D264" s="1"/>
      <c r="E264" s="1"/>
      <c r="F264" s="1"/>
      <c r="G264" s="28"/>
      <c r="H264" s="1"/>
      <c r="I264" s="1"/>
      <c r="J264" s="29"/>
      <c r="K264" s="1"/>
      <c r="L264" s="20" t="str">
        <f aca="false">IF(E264="","",IFERROR(INDEX(Settings!$D$13:$D$32,MATCH(E264,Settings!$A$13:$A$32,0)),0)*IF(F264="",1,F264))</f>
        <v/>
      </c>
      <c r="M264" s="20" t="str">
        <f aca="false">IF(L264="","",IF(I264="",L264,L264*(1-IF(J264="",Settings!$B$6,J264))))</f>
        <v/>
      </c>
      <c r="N264" s="20" t="str">
        <f aca="false">IF(OR(L264="",I264=""),"",L264-M264)</f>
        <v/>
      </c>
      <c r="O264" s="1"/>
    </row>
    <row r="265" customFormat="false" ht="15" hidden="false" customHeight="false" outlineLevel="0" collapsed="false">
      <c r="A265" s="27"/>
      <c r="B265" s="1"/>
      <c r="C265" s="24" t="str">
        <f aca="false">IF(B265="","",IFERROR(INDEX(Patients!$B$2:$B$501,MATCH(B265,Patients!$A$2:$A$501,0))&amp;"",""))</f>
        <v/>
      </c>
      <c r="D265" s="1"/>
      <c r="E265" s="1"/>
      <c r="F265" s="1"/>
      <c r="G265" s="28"/>
      <c r="H265" s="1"/>
      <c r="I265" s="1"/>
      <c r="J265" s="29"/>
      <c r="K265" s="1"/>
      <c r="L265" s="20" t="str">
        <f aca="false">IF(E265="","",IFERROR(INDEX(Settings!$D$13:$D$32,MATCH(E265,Settings!$A$13:$A$32,0)),0)*IF(F265="",1,F265))</f>
        <v/>
      </c>
      <c r="M265" s="20" t="str">
        <f aca="false">IF(L265="","",IF(I265="",L265,L265*(1-IF(J265="",Settings!$B$6,J265))))</f>
        <v/>
      </c>
      <c r="N265" s="20" t="str">
        <f aca="false">IF(OR(L265="",I265=""),"",L265-M265)</f>
        <v/>
      </c>
      <c r="O265" s="1"/>
    </row>
    <row r="266" customFormat="false" ht="15" hidden="false" customHeight="false" outlineLevel="0" collapsed="false">
      <c r="A266" s="27"/>
      <c r="B266" s="1"/>
      <c r="C266" s="24" t="str">
        <f aca="false">IF(B266="","",IFERROR(INDEX(Patients!$B$2:$B$501,MATCH(B266,Patients!$A$2:$A$501,0))&amp;"",""))</f>
        <v/>
      </c>
      <c r="D266" s="1"/>
      <c r="E266" s="1"/>
      <c r="F266" s="1"/>
      <c r="G266" s="28"/>
      <c r="H266" s="1"/>
      <c r="I266" s="1"/>
      <c r="J266" s="29"/>
      <c r="K266" s="1"/>
      <c r="L266" s="20" t="str">
        <f aca="false">IF(E266="","",IFERROR(INDEX(Settings!$D$13:$D$32,MATCH(E266,Settings!$A$13:$A$32,0)),0)*IF(F266="",1,F266))</f>
        <v/>
      </c>
      <c r="M266" s="20" t="str">
        <f aca="false">IF(L266="","",IF(I266="",L266,L266*(1-IF(J266="",Settings!$B$6,J266))))</f>
        <v/>
      </c>
      <c r="N266" s="20" t="str">
        <f aca="false">IF(OR(L266="",I266=""),"",L266-M266)</f>
        <v/>
      </c>
      <c r="O266" s="1"/>
    </row>
    <row r="267" customFormat="false" ht="15" hidden="false" customHeight="false" outlineLevel="0" collapsed="false">
      <c r="A267" s="27"/>
      <c r="B267" s="1"/>
      <c r="C267" s="24" t="str">
        <f aca="false">IF(B267="","",IFERROR(INDEX(Patients!$B$2:$B$501,MATCH(B267,Patients!$A$2:$A$501,0))&amp;"",""))</f>
        <v/>
      </c>
      <c r="D267" s="1"/>
      <c r="E267" s="1"/>
      <c r="F267" s="1"/>
      <c r="G267" s="28"/>
      <c r="H267" s="1"/>
      <c r="I267" s="1"/>
      <c r="J267" s="29"/>
      <c r="K267" s="1"/>
      <c r="L267" s="20" t="str">
        <f aca="false">IF(E267="","",IFERROR(INDEX(Settings!$D$13:$D$32,MATCH(E267,Settings!$A$13:$A$32,0)),0)*IF(F267="",1,F267))</f>
        <v/>
      </c>
      <c r="M267" s="20" t="str">
        <f aca="false">IF(L267="","",IF(I267="",L267,L267*(1-IF(J267="",Settings!$B$6,J267))))</f>
        <v/>
      </c>
      <c r="N267" s="20" t="str">
        <f aca="false">IF(OR(L267="",I267=""),"",L267-M267)</f>
        <v/>
      </c>
      <c r="O267" s="1"/>
    </row>
    <row r="268" customFormat="false" ht="15" hidden="false" customHeight="false" outlineLevel="0" collapsed="false">
      <c r="A268" s="27"/>
      <c r="B268" s="1"/>
      <c r="C268" s="24" t="str">
        <f aca="false">IF(B268="","",IFERROR(INDEX(Patients!$B$2:$B$501,MATCH(B268,Patients!$A$2:$A$501,0))&amp;"",""))</f>
        <v/>
      </c>
      <c r="D268" s="1"/>
      <c r="E268" s="1"/>
      <c r="F268" s="1"/>
      <c r="G268" s="28"/>
      <c r="H268" s="1"/>
      <c r="I268" s="1"/>
      <c r="J268" s="29"/>
      <c r="K268" s="1"/>
      <c r="L268" s="20" t="str">
        <f aca="false">IF(E268="","",IFERROR(INDEX(Settings!$D$13:$D$32,MATCH(E268,Settings!$A$13:$A$32,0)),0)*IF(F268="",1,F268))</f>
        <v/>
      </c>
      <c r="M268" s="20" t="str">
        <f aca="false">IF(L268="","",IF(I268="",L268,L268*(1-IF(J268="",Settings!$B$6,J268))))</f>
        <v/>
      </c>
      <c r="N268" s="20" t="str">
        <f aca="false">IF(OR(L268="",I268=""),"",L268-M268)</f>
        <v/>
      </c>
      <c r="O268" s="1"/>
    </row>
    <row r="269" customFormat="false" ht="15" hidden="false" customHeight="false" outlineLevel="0" collapsed="false">
      <c r="A269" s="27"/>
      <c r="B269" s="1"/>
      <c r="C269" s="24" t="str">
        <f aca="false">IF(B269="","",IFERROR(INDEX(Patients!$B$2:$B$501,MATCH(B269,Patients!$A$2:$A$501,0))&amp;"",""))</f>
        <v/>
      </c>
      <c r="D269" s="1"/>
      <c r="E269" s="1"/>
      <c r="F269" s="1"/>
      <c r="G269" s="28"/>
      <c r="H269" s="1"/>
      <c r="I269" s="1"/>
      <c r="J269" s="29"/>
      <c r="K269" s="1"/>
      <c r="L269" s="20" t="str">
        <f aca="false">IF(E269="","",IFERROR(INDEX(Settings!$D$13:$D$32,MATCH(E269,Settings!$A$13:$A$32,0)),0)*IF(F269="",1,F269))</f>
        <v/>
      </c>
      <c r="M269" s="20" t="str">
        <f aca="false">IF(L269="","",IF(I269="",L269,L269*(1-IF(J269="",Settings!$B$6,J269))))</f>
        <v/>
      </c>
      <c r="N269" s="20" t="str">
        <f aca="false">IF(OR(L269="",I269=""),"",L269-M269)</f>
        <v/>
      </c>
      <c r="O269" s="1"/>
    </row>
    <row r="270" customFormat="false" ht="15" hidden="false" customHeight="false" outlineLevel="0" collapsed="false">
      <c r="A270" s="27"/>
      <c r="B270" s="1"/>
      <c r="C270" s="24" t="str">
        <f aca="false">IF(B270="","",IFERROR(INDEX(Patients!$B$2:$B$501,MATCH(B270,Patients!$A$2:$A$501,0))&amp;"",""))</f>
        <v/>
      </c>
      <c r="D270" s="1"/>
      <c r="E270" s="1"/>
      <c r="F270" s="1"/>
      <c r="G270" s="28"/>
      <c r="H270" s="1"/>
      <c r="I270" s="1"/>
      <c r="J270" s="29"/>
      <c r="K270" s="1"/>
      <c r="L270" s="20" t="str">
        <f aca="false">IF(E270="","",IFERROR(INDEX(Settings!$D$13:$D$32,MATCH(E270,Settings!$A$13:$A$32,0)),0)*IF(F270="",1,F270))</f>
        <v/>
      </c>
      <c r="M270" s="20" t="str">
        <f aca="false">IF(L270="","",IF(I270="",L270,L270*(1-IF(J270="",Settings!$B$6,J270))))</f>
        <v/>
      </c>
      <c r="N270" s="20" t="str">
        <f aca="false">IF(OR(L270="",I270=""),"",L270-M270)</f>
        <v/>
      </c>
      <c r="O270" s="1"/>
    </row>
    <row r="271" customFormat="false" ht="15" hidden="false" customHeight="false" outlineLevel="0" collapsed="false">
      <c r="A271" s="27"/>
      <c r="B271" s="1"/>
      <c r="C271" s="24" t="str">
        <f aca="false">IF(B271="","",IFERROR(INDEX(Patients!$B$2:$B$501,MATCH(B271,Patients!$A$2:$A$501,0))&amp;"",""))</f>
        <v/>
      </c>
      <c r="D271" s="1"/>
      <c r="E271" s="1"/>
      <c r="F271" s="1"/>
      <c r="G271" s="28"/>
      <c r="H271" s="1"/>
      <c r="I271" s="1"/>
      <c r="J271" s="29"/>
      <c r="K271" s="1"/>
      <c r="L271" s="20" t="str">
        <f aca="false">IF(E271="","",IFERROR(INDEX(Settings!$D$13:$D$32,MATCH(E271,Settings!$A$13:$A$32,0)),0)*IF(F271="",1,F271))</f>
        <v/>
      </c>
      <c r="M271" s="20" t="str">
        <f aca="false">IF(L271="","",IF(I271="",L271,L271*(1-IF(J271="",Settings!$B$6,J271))))</f>
        <v/>
      </c>
      <c r="N271" s="20" t="str">
        <f aca="false">IF(OR(L271="",I271=""),"",L271-M271)</f>
        <v/>
      </c>
      <c r="O271" s="1"/>
    </row>
    <row r="272" customFormat="false" ht="15" hidden="false" customHeight="false" outlineLevel="0" collapsed="false">
      <c r="A272" s="27"/>
      <c r="B272" s="1"/>
      <c r="C272" s="24" t="str">
        <f aca="false">IF(B272="","",IFERROR(INDEX(Patients!$B$2:$B$501,MATCH(B272,Patients!$A$2:$A$501,0))&amp;"",""))</f>
        <v/>
      </c>
      <c r="D272" s="1"/>
      <c r="E272" s="1"/>
      <c r="F272" s="1"/>
      <c r="G272" s="28"/>
      <c r="H272" s="1"/>
      <c r="I272" s="1"/>
      <c r="J272" s="29"/>
      <c r="K272" s="1"/>
      <c r="L272" s="20" t="str">
        <f aca="false">IF(E272="","",IFERROR(INDEX(Settings!$D$13:$D$32,MATCH(E272,Settings!$A$13:$A$32,0)),0)*IF(F272="",1,F272))</f>
        <v/>
      </c>
      <c r="M272" s="20" t="str">
        <f aca="false">IF(L272="","",IF(I272="",L272,L272*(1-IF(J272="",Settings!$B$6,J272))))</f>
        <v/>
      </c>
      <c r="N272" s="20" t="str">
        <f aca="false">IF(OR(L272="",I272=""),"",L272-M272)</f>
        <v/>
      </c>
      <c r="O272" s="1"/>
    </row>
    <row r="273" customFormat="false" ht="15" hidden="false" customHeight="false" outlineLevel="0" collapsed="false">
      <c r="A273" s="27"/>
      <c r="B273" s="1"/>
      <c r="C273" s="24" t="str">
        <f aca="false">IF(B273="","",IFERROR(INDEX(Patients!$B$2:$B$501,MATCH(B273,Patients!$A$2:$A$501,0))&amp;"",""))</f>
        <v/>
      </c>
      <c r="D273" s="1"/>
      <c r="E273" s="1"/>
      <c r="F273" s="1"/>
      <c r="G273" s="28"/>
      <c r="H273" s="1"/>
      <c r="I273" s="1"/>
      <c r="J273" s="29"/>
      <c r="K273" s="1"/>
      <c r="L273" s="20" t="str">
        <f aca="false">IF(E273="","",IFERROR(INDEX(Settings!$D$13:$D$32,MATCH(E273,Settings!$A$13:$A$32,0)),0)*IF(F273="",1,F273))</f>
        <v/>
      </c>
      <c r="M273" s="20" t="str">
        <f aca="false">IF(L273="","",IF(I273="",L273,L273*(1-IF(J273="",Settings!$B$6,J273))))</f>
        <v/>
      </c>
      <c r="N273" s="20" t="str">
        <f aca="false">IF(OR(L273="",I273=""),"",L273-M273)</f>
        <v/>
      </c>
      <c r="O273" s="1"/>
    </row>
    <row r="274" customFormat="false" ht="15" hidden="false" customHeight="false" outlineLevel="0" collapsed="false">
      <c r="A274" s="27"/>
      <c r="B274" s="1"/>
      <c r="C274" s="24" t="str">
        <f aca="false">IF(B274="","",IFERROR(INDEX(Patients!$B$2:$B$501,MATCH(B274,Patients!$A$2:$A$501,0))&amp;"",""))</f>
        <v/>
      </c>
      <c r="D274" s="1"/>
      <c r="E274" s="1"/>
      <c r="F274" s="1"/>
      <c r="G274" s="28"/>
      <c r="H274" s="1"/>
      <c r="I274" s="1"/>
      <c r="J274" s="29"/>
      <c r="K274" s="1"/>
      <c r="L274" s="20" t="str">
        <f aca="false">IF(E274="","",IFERROR(INDEX(Settings!$D$13:$D$32,MATCH(E274,Settings!$A$13:$A$32,0)),0)*IF(F274="",1,F274))</f>
        <v/>
      </c>
      <c r="M274" s="20" t="str">
        <f aca="false">IF(L274="","",IF(I274="",L274,L274*(1-IF(J274="",Settings!$B$6,J274))))</f>
        <v/>
      </c>
      <c r="N274" s="20" t="str">
        <f aca="false">IF(OR(L274="",I274=""),"",L274-M274)</f>
        <v/>
      </c>
      <c r="O274" s="1"/>
    </row>
    <row r="275" customFormat="false" ht="15" hidden="false" customHeight="false" outlineLevel="0" collapsed="false">
      <c r="A275" s="27"/>
      <c r="B275" s="1"/>
      <c r="C275" s="24" t="str">
        <f aca="false">IF(B275="","",IFERROR(INDEX(Patients!$B$2:$B$501,MATCH(B275,Patients!$A$2:$A$501,0))&amp;"",""))</f>
        <v/>
      </c>
      <c r="D275" s="1"/>
      <c r="E275" s="1"/>
      <c r="F275" s="1"/>
      <c r="G275" s="28"/>
      <c r="H275" s="1"/>
      <c r="I275" s="1"/>
      <c r="J275" s="29"/>
      <c r="K275" s="1"/>
      <c r="L275" s="20" t="str">
        <f aca="false">IF(E275="","",IFERROR(INDEX(Settings!$D$13:$D$32,MATCH(E275,Settings!$A$13:$A$32,0)),0)*IF(F275="",1,F275))</f>
        <v/>
      </c>
      <c r="M275" s="20" t="str">
        <f aca="false">IF(L275="","",IF(I275="",L275,L275*(1-IF(J275="",Settings!$B$6,J275))))</f>
        <v/>
      </c>
      <c r="N275" s="20" t="str">
        <f aca="false">IF(OR(L275="",I275=""),"",L275-M275)</f>
        <v/>
      </c>
      <c r="O275" s="1"/>
    </row>
    <row r="276" customFormat="false" ht="15" hidden="false" customHeight="false" outlineLevel="0" collapsed="false">
      <c r="A276" s="27"/>
      <c r="B276" s="1"/>
      <c r="C276" s="24" t="str">
        <f aca="false">IF(B276="","",IFERROR(INDEX(Patients!$B$2:$B$501,MATCH(B276,Patients!$A$2:$A$501,0))&amp;"",""))</f>
        <v/>
      </c>
      <c r="D276" s="1"/>
      <c r="E276" s="1"/>
      <c r="F276" s="1"/>
      <c r="G276" s="28"/>
      <c r="H276" s="1"/>
      <c r="I276" s="1"/>
      <c r="J276" s="29"/>
      <c r="K276" s="1"/>
      <c r="L276" s="20" t="str">
        <f aca="false">IF(E276="","",IFERROR(INDEX(Settings!$D$13:$D$32,MATCH(E276,Settings!$A$13:$A$32,0)),0)*IF(F276="",1,F276))</f>
        <v/>
      </c>
      <c r="M276" s="20" t="str">
        <f aca="false">IF(L276="","",IF(I276="",L276,L276*(1-IF(J276="",Settings!$B$6,J276))))</f>
        <v/>
      </c>
      <c r="N276" s="20" t="str">
        <f aca="false">IF(OR(L276="",I276=""),"",L276-M276)</f>
        <v/>
      </c>
      <c r="O276" s="1"/>
    </row>
    <row r="277" customFormat="false" ht="15" hidden="false" customHeight="false" outlineLevel="0" collapsed="false">
      <c r="A277" s="27"/>
      <c r="B277" s="1"/>
      <c r="C277" s="24" t="str">
        <f aca="false">IF(B277="","",IFERROR(INDEX(Patients!$B$2:$B$501,MATCH(B277,Patients!$A$2:$A$501,0))&amp;"",""))</f>
        <v/>
      </c>
      <c r="D277" s="1"/>
      <c r="E277" s="1"/>
      <c r="F277" s="1"/>
      <c r="G277" s="28"/>
      <c r="H277" s="1"/>
      <c r="I277" s="1"/>
      <c r="J277" s="29"/>
      <c r="K277" s="1"/>
      <c r="L277" s="20" t="str">
        <f aca="false">IF(E277="","",IFERROR(INDEX(Settings!$D$13:$D$32,MATCH(E277,Settings!$A$13:$A$32,0)),0)*IF(F277="",1,F277))</f>
        <v/>
      </c>
      <c r="M277" s="20" t="str">
        <f aca="false">IF(L277="","",IF(I277="",L277,L277*(1-IF(J277="",Settings!$B$6,J277))))</f>
        <v/>
      </c>
      <c r="N277" s="20" t="str">
        <f aca="false">IF(OR(L277="",I277=""),"",L277-M277)</f>
        <v/>
      </c>
      <c r="O277" s="1"/>
    </row>
    <row r="278" customFormat="false" ht="15" hidden="false" customHeight="false" outlineLevel="0" collapsed="false">
      <c r="A278" s="27"/>
      <c r="B278" s="1"/>
      <c r="C278" s="24" t="str">
        <f aca="false">IF(B278="","",IFERROR(INDEX(Patients!$B$2:$B$501,MATCH(B278,Patients!$A$2:$A$501,0))&amp;"",""))</f>
        <v/>
      </c>
      <c r="D278" s="1"/>
      <c r="E278" s="1"/>
      <c r="F278" s="1"/>
      <c r="G278" s="28"/>
      <c r="H278" s="1"/>
      <c r="I278" s="1"/>
      <c r="J278" s="29"/>
      <c r="K278" s="1"/>
      <c r="L278" s="20" t="str">
        <f aca="false">IF(E278="","",IFERROR(INDEX(Settings!$D$13:$D$32,MATCH(E278,Settings!$A$13:$A$32,0)),0)*IF(F278="",1,F278))</f>
        <v/>
      </c>
      <c r="M278" s="20" t="str">
        <f aca="false">IF(L278="","",IF(I278="",L278,L278*(1-IF(J278="",Settings!$B$6,J278))))</f>
        <v/>
      </c>
      <c r="N278" s="20" t="str">
        <f aca="false">IF(OR(L278="",I278=""),"",L278-M278)</f>
        <v/>
      </c>
      <c r="O278" s="1"/>
    </row>
    <row r="279" customFormat="false" ht="15" hidden="false" customHeight="false" outlineLevel="0" collapsed="false">
      <c r="A279" s="27"/>
      <c r="B279" s="1"/>
      <c r="C279" s="24" t="str">
        <f aca="false">IF(B279="","",IFERROR(INDEX(Patients!$B$2:$B$501,MATCH(B279,Patients!$A$2:$A$501,0))&amp;"",""))</f>
        <v/>
      </c>
      <c r="D279" s="1"/>
      <c r="E279" s="1"/>
      <c r="F279" s="1"/>
      <c r="G279" s="28"/>
      <c r="H279" s="1"/>
      <c r="I279" s="1"/>
      <c r="J279" s="29"/>
      <c r="K279" s="1"/>
      <c r="L279" s="20" t="str">
        <f aca="false">IF(E279="","",IFERROR(INDEX(Settings!$D$13:$D$32,MATCH(E279,Settings!$A$13:$A$32,0)),0)*IF(F279="",1,F279))</f>
        <v/>
      </c>
      <c r="M279" s="20" t="str">
        <f aca="false">IF(L279="","",IF(I279="",L279,L279*(1-IF(J279="",Settings!$B$6,J279))))</f>
        <v/>
      </c>
      <c r="N279" s="20" t="str">
        <f aca="false">IF(OR(L279="",I279=""),"",L279-M279)</f>
        <v/>
      </c>
      <c r="O279" s="1"/>
    </row>
    <row r="280" customFormat="false" ht="15" hidden="false" customHeight="false" outlineLevel="0" collapsed="false">
      <c r="A280" s="27"/>
      <c r="B280" s="1"/>
      <c r="C280" s="24" t="str">
        <f aca="false">IF(B280="","",IFERROR(INDEX(Patients!$B$2:$B$501,MATCH(B280,Patients!$A$2:$A$501,0))&amp;"",""))</f>
        <v/>
      </c>
      <c r="D280" s="1"/>
      <c r="E280" s="1"/>
      <c r="F280" s="1"/>
      <c r="G280" s="28"/>
      <c r="H280" s="1"/>
      <c r="I280" s="1"/>
      <c r="J280" s="29"/>
      <c r="K280" s="1"/>
      <c r="L280" s="20" t="str">
        <f aca="false">IF(E280="","",IFERROR(INDEX(Settings!$D$13:$D$32,MATCH(E280,Settings!$A$13:$A$32,0)),0)*IF(F280="",1,F280))</f>
        <v/>
      </c>
      <c r="M280" s="20" t="str">
        <f aca="false">IF(L280="","",IF(I280="",L280,L280*(1-IF(J280="",Settings!$B$6,J280))))</f>
        <v/>
      </c>
      <c r="N280" s="20" t="str">
        <f aca="false">IF(OR(L280="",I280=""),"",L280-M280)</f>
        <v/>
      </c>
      <c r="O280" s="1"/>
    </row>
    <row r="281" customFormat="false" ht="15" hidden="false" customHeight="false" outlineLevel="0" collapsed="false">
      <c r="A281" s="27"/>
      <c r="B281" s="1"/>
      <c r="C281" s="24" t="str">
        <f aca="false">IF(B281="","",IFERROR(INDEX(Patients!$B$2:$B$501,MATCH(B281,Patients!$A$2:$A$501,0))&amp;"",""))</f>
        <v/>
      </c>
      <c r="D281" s="1"/>
      <c r="E281" s="1"/>
      <c r="F281" s="1"/>
      <c r="G281" s="28"/>
      <c r="H281" s="1"/>
      <c r="I281" s="1"/>
      <c r="J281" s="29"/>
      <c r="K281" s="1"/>
      <c r="L281" s="20" t="str">
        <f aca="false">IF(E281="","",IFERROR(INDEX(Settings!$D$13:$D$32,MATCH(E281,Settings!$A$13:$A$32,0)),0)*IF(F281="",1,F281))</f>
        <v/>
      </c>
      <c r="M281" s="20" t="str">
        <f aca="false">IF(L281="","",IF(I281="",L281,L281*(1-IF(J281="",Settings!$B$6,J281))))</f>
        <v/>
      </c>
      <c r="N281" s="20" t="str">
        <f aca="false">IF(OR(L281="",I281=""),"",L281-M281)</f>
        <v/>
      </c>
      <c r="O281" s="1"/>
    </row>
    <row r="282" customFormat="false" ht="15" hidden="false" customHeight="false" outlineLevel="0" collapsed="false">
      <c r="A282" s="27"/>
      <c r="B282" s="1"/>
      <c r="C282" s="24" t="str">
        <f aca="false">IF(B282="","",IFERROR(INDEX(Patients!$B$2:$B$501,MATCH(B282,Patients!$A$2:$A$501,0))&amp;"",""))</f>
        <v/>
      </c>
      <c r="D282" s="1"/>
      <c r="E282" s="1"/>
      <c r="F282" s="1"/>
      <c r="G282" s="28"/>
      <c r="H282" s="1"/>
      <c r="I282" s="1"/>
      <c r="J282" s="29"/>
      <c r="K282" s="1"/>
      <c r="L282" s="20" t="str">
        <f aca="false">IF(E282="","",IFERROR(INDEX(Settings!$D$13:$D$32,MATCH(E282,Settings!$A$13:$A$32,0)),0)*IF(F282="",1,F282))</f>
        <v/>
      </c>
      <c r="M282" s="20" t="str">
        <f aca="false">IF(L282="","",IF(I282="",L282,L282*(1-IF(J282="",Settings!$B$6,J282))))</f>
        <v/>
      </c>
      <c r="N282" s="20" t="str">
        <f aca="false">IF(OR(L282="",I282=""),"",L282-M282)</f>
        <v/>
      </c>
      <c r="O282" s="1"/>
    </row>
    <row r="283" customFormat="false" ht="15" hidden="false" customHeight="false" outlineLevel="0" collapsed="false">
      <c r="A283" s="27"/>
      <c r="B283" s="1"/>
      <c r="C283" s="24" t="str">
        <f aca="false">IF(B283="","",IFERROR(INDEX(Patients!$B$2:$B$501,MATCH(B283,Patients!$A$2:$A$501,0))&amp;"",""))</f>
        <v/>
      </c>
      <c r="D283" s="1"/>
      <c r="E283" s="1"/>
      <c r="F283" s="1"/>
      <c r="G283" s="28"/>
      <c r="H283" s="1"/>
      <c r="I283" s="1"/>
      <c r="J283" s="29"/>
      <c r="K283" s="1"/>
      <c r="L283" s="20" t="str">
        <f aca="false">IF(E283="","",IFERROR(INDEX(Settings!$D$13:$D$32,MATCH(E283,Settings!$A$13:$A$32,0)),0)*IF(F283="",1,F283))</f>
        <v/>
      </c>
      <c r="M283" s="20" t="str">
        <f aca="false">IF(L283="","",IF(I283="",L283,L283*(1-IF(J283="",Settings!$B$6,J283))))</f>
        <v/>
      </c>
      <c r="N283" s="20" t="str">
        <f aca="false">IF(OR(L283="",I283=""),"",L283-M283)</f>
        <v/>
      </c>
      <c r="O283" s="1"/>
    </row>
    <row r="284" customFormat="false" ht="15" hidden="false" customHeight="false" outlineLevel="0" collapsed="false">
      <c r="A284" s="27"/>
      <c r="B284" s="1"/>
      <c r="C284" s="24" t="str">
        <f aca="false">IF(B284="","",IFERROR(INDEX(Patients!$B$2:$B$501,MATCH(B284,Patients!$A$2:$A$501,0))&amp;"",""))</f>
        <v/>
      </c>
      <c r="D284" s="1"/>
      <c r="E284" s="1"/>
      <c r="F284" s="1"/>
      <c r="G284" s="28"/>
      <c r="H284" s="1"/>
      <c r="I284" s="1"/>
      <c r="J284" s="29"/>
      <c r="K284" s="1"/>
      <c r="L284" s="20" t="str">
        <f aca="false">IF(E284="","",IFERROR(INDEX(Settings!$D$13:$D$32,MATCH(E284,Settings!$A$13:$A$32,0)),0)*IF(F284="",1,F284))</f>
        <v/>
      </c>
      <c r="M284" s="20" t="str">
        <f aca="false">IF(L284="","",IF(I284="",L284,L284*(1-IF(J284="",Settings!$B$6,J284))))</f>
        <v/>
      </c>
      <c r="N284" s="20" t="str">
        <f aca="false">IF(OR(L284="",I284=""),"",L284-M284)</f>
        <v/>
      </c>
      <c r="O284" s="1"/>
    </row>
    <row r="285" customFormat="false" ht="15" hidden="false" customHeight="false" outlineLevel="0" collapsed="false">
      <c r="A285" s="27"/>
      <c r="B285" s="1"/>
      <c r="C285" s="24" t="str">
        <f aca="false">IF(B285="","",IFERROR(INDEX(Patients!$B$2:$B$501,MATCH(B285,Patients!$A$2:$A$501,0))&amp;"",""))</f>
        <v/>
      </c>
      <c r="D285" s="1"/>
      <c r="E285" s="1"/>
      <c r="F285" s="1"/>
      <c r="G285" s="28"/>
      <c r="H285" s="1"/>
      <c r="I285" s="1"/>
      <c r="J285" s="29"/>
      <c r="K285" s="1"/>
      <c r="L285" s="20" t="str">
        <f aca="false">IF(E285="","",IFERROR(INDEX(Settings!$D$13:$D$32,MATCH(E285,Settings!$A$13:$A$32,0)),0)*IF(F285="",1,F285))</f>
        <v/>
      </c>
      <c r="M285" s="20" t="str">
        <f aca="false">IF(L285="","",IF(I285="",L285,L285*(1-IF(J285="",Settings!$B$6,J285))))</f>
        <v/>
      </c>
      <c r="N285" s="20" t="str">
        <f aca="false">IF(OR(L285="",I285=""),"",L285-M285)</f>
        <v/>
      </c>
      <c r="O285" s="1"/>
    </row>
    <row r="286" customFormat="false" ht="15" hidden="false" customHeight="false" outlineLevel="0" collapsed="false">
      <c r="A286" s="27"/>
      <c r="B286" s="1"/>
      <c r="C286" s="24" t="str">
        <f aca="false">IF(B286="","",IFERROR(INDEX(Patients!$B$2:$B$501,MATCH(B286,Patients!$A$2:$A$501,0))&amp;"",""))</f>
        <v/>
      </c>
      <c r="D286" s="1"/>
      <c r="E286" s="1"/>
      <c r="F286" s="1"/>
      <c r="G286" s="28"/>
      <c r="H286" s="1"/>
      <c r="I286" s="1"/>
      <c r="J286" s="29"/>
      <c r="K286" s="1"/>
      <c r="L286" s="20" t="str">
        <f aca="false">IF(E286="","",IFERROR(INDEX(Settings!$D$13:$D$32,MATCH(E286,Settings!$A$13:$A$32,0)),0)*IF(F286="",1,F286))</f>
        <v/>
      </c>
      <c r="M286" s="20" t="str">
        <f aca="false">IF(L286="","",IF(I286="",L286,L286*(1-IF(J286="",Settings!$B$6,J286))))</f>
        <v/>
      </c>
      <c r="N286" s="20" t="str">
        <f aca="false">IF(OR(L286="",I286=""),"",L286-M286)</f>
        <v/>
      </c>
      <c r="O286" s="1"/>
    </row>
    <row r="287" customFormat="false" ht="15" hidden="false" customHeight="false" outlineLevel="0" collapsed="false">
      <c r="A287" s="27"/>
      <c r="B287" s="1"/>
      <c r="C287" s="24" t="str">
        <f aca="false">IF(B287="","",IFERROR(INDEX(Patients!$B$2:$B$501,MATCH(B287,Patients!$A$2:$A$501,0))&amp;"",""))</f>
        <v/>
      </c>
      <c r="D287" s="1"/>
      <c r="E287" s="1"/>
      <c r="F287" s="1"/>
      <c r="G287" s="28"/>
      <c r="H287" s="1"/>
      <c r="I287" s="1"/>
      <c r="J287" s="29"/>
      <c r="K287" s="1"/>
      <c r="L287" s="20" t="str">
        <f aca="false">IF(E287="","",IFERROR(INDEX(Settings!$D$13:$D$32,MATCH(E287,Settings!$A$13:$A$32,0)),0)*IF(F287="",1,F287))</f>
        <v/>
      </c>
      <c r="M287" s="20" t="str">
        <f aca="false">IF(L287="","",IF(I287="",L287,L287*(1-IF(J287="",Settings!$B$6,J287))))</f>
        <v/>
      </c>
      <c r="N287" s="20" t="str">
        <f aca="false">IF(OR(L287="",I287=""),"",L287-M287)</f>
        <v/>
      </c>
      <c r="O287" s="1"/>
    </row>
    <row r="288" customFormat="false" ht="15" hidden="false" customHeight="false" outlineLevel="0" collapsed="false">
      <c r="A288" s="27"/>
      <c r="B288" s="1"/>
      <c r="C288" s="24" t="str">
        <f aca="false">IF(B288="","",IFERROR(INDEX(Patients!$B$2:$B$501,MATCH(B288,Patients!$A$2:$A$501,0))&amp;"",""))</f>
        <v/>
      </c>
      <c r="D288" s="1"/>
      <c r="E288" s="1"/>
      <c r="F288" s="1"/>
      <c r="G288" s="28"/>
      <c r="H288" s="1"/>
      <c r="I288" s="1"/>
      <c r="J288" s="29"/>
      <c r="K288" s="1"/>
      <c r="L288" s="20" t="str">
        <f aca="false">IF(E288="","",IFERROR(INDEX(Settings!$D$13:$D$32,MATCH(E288,Settings!$A$13:$A$32,0)),0)*IF(F288="",1,F288))</f>
        <v/>
      </c>
      <c r="M288" s="20" t="str">
        <f aca="false">IF(L288="","",IF(I288="",L288,L288*(1-IF(J288="",Settings!$B$6,J288))))</f>
        <v/>
      </c>
      <c r="N288" s="20" t="str">
        <f aca="false">IF(OR(L288="",I288=""),"",L288-M288)</f>
        <v/>
      </c>
      <c r="O288" s="1"/>
    </row>
    <row r="289" customFormat="false" ht="15" hidden="false" customHeight="false" outlineLevel="0" collapsed="false">
      <c r="A289" s="27"/>
      <c r="B289" s="1"/>
      <c r="C289" s="24" t="str">
        <f aca="false">IF(B289="","",IFERROR(INDEX(Patients!$B$2:$B$501,MATCH(B289,Patients!$A$2:$A$501,0))&amp;"",""))</f>
        <v/>
      </c>
      <c r="D289" s="1"/>
      <c r="E289" s="1"/>
      <c r="F289" s="1"/>
      <c r="G289" s="28"/>
      <c r="H289" s="1"/>
      <c r="I289" s="1"/>
      <c r="J289" s="29"/>
      <c r="K289" s="1"/>
      <c r="L289" s="20" t="str">
        <f aca="false">IF(E289="","",IFERROR(INDEX(Settings!$D$13:$D$32,MATCH(E289,Settings!$A$13:$A$32,0)),0)*IF(F289="",1,F289))</f>
        <v/>
      </c>
      <c r="M289" s="20" t="str">
        <f aca="false">IF(L289="","",IF(I289="",L289,L289*(1-IF(J289="",Settings!$B$6,J289))))</f>
        <v/>
      </c>
      <c r="N289" s="20" t="str">
        <f aca="false">IF(OR(L289="",I289=""),"",L289-M289)</f>
        <v/>
      </c>
      <c r="O289" s="1"/>
    </row>
    <row r="290" customFormat="false" ht="15" hidden="false" customHeight="false" outlineLevel="0" collapsed="false">
      <c r="A290" s="27"/>
      <c r="B290" s="1"/>
      <c r="C290" s="24" t="str">
        <f aca="false">IF(B290="","",IFERROR(INDEX(Patients!$B$2:$B$501,MATCH(B290,Patients!$A$2:$A$501,0))&amp;"",""))</f>
        <v/>
      </c>
      <c r="D290" s="1"/>
      <c r="E290" s="1"/>
      <c r="F290" s="1"/>
      <c r="G290" s="28"/>
      <c r="H290" s="1"/>
      <c r="I290" s="1"/>
      <c r="J290" s="29"/>
      <c r="K290" s="1"/>
      <c r="L290" s="20" t="str">
        <f aca="false">IF(E290="","",IFERROR(INDEX(Settings!$D$13:$D$32,MATCH(E290,Settings!$A$13:$A$32,0)),0)*IF(F290="",1,F290))</f>
        <v/>
      </c>
      <c r="M290" s="20" t="str">
        <f aca="false">IF(L290="","",IF(I290="",L290,L290*(1-IF(J290="",Settings!$B$6,J290))))</f>
        <v/>
      </c>
      <c r="N290" s="20" t="str">
        <f aca="false">IF(OR(L290="",I290=""),"",L290-M290)</f>
        <v/>
      </c>
      <c r="O290" s="1"/>
    </row>
    <row r="291" customFormat="false" ht="15" hidden="false" customHeight="false" outlineLevel="0" collapsed="false">
      <c r="A291" s="27"/>
      <c r="B291" s="1"/>
      <c r="C291" s="24" t="str">
        <f aca="false">IF(B291="","",IFERROR(INDEX(Patients!$B$2:$B$501,MATCH(B291,Patients!$A$2:$A$501,0))&amp;"",""))</f>
        <v/>
      </c>
      <c r="D291" s="1"/>
      <c r="E291" s="1"/>
      <c r="F291" s="1"/>
      <c r="G291" s="28"/>
      <c r="H291" s="1"/>
      <c r="I291" s="1"/>
      <c r="J291" s="29"/>
      <c r="K291" s="1"/>
      <c r="L291" s="20" t="str">
        <f aca="false">IF(E291="","",IFERROR(INDEX(Settings!$D$13:$D$32,MATCH(E291,Settings!$A$13:$A$32,0)),0)*IF(F291="",1,F291))</f>
        <v/>
      </c>
      <c r="M291" s="20" t="str">
        <f aca="false">IF(L291="","",IF(I291="",L291,L291*(1-IF(J291="",Settings!$B$6,J291))))</f>
        <v/>
      </c>
      <c r="N291" s="20" t="str">
        <f aca="false">IF(OR(L291="",I291=""),"",L291-M291)</f>
        <v/>
      </c>
      <c r="O291" s="1"/>
    </row>
    <row r="292" customFormat="false" ht="15" hidden="false" customHeight="false" outlineLevel="0" collapsed="false">
      <c r="A292" s="27"/>
      <c r="B292" s="1"/>
      <c r="C292" s="24" t="str">
        <f aca="false">IF(B292="","",IFERROR(INDEX(Patients!$B$2:$B$501,MATCH(B292,Patients!$A$2:$A$501,0))&amp;"",""))</f>
        <v/>
      </c>
      <c r="D292" s="1"/>
      <c r="E292" s="1"/>
      <c r="F292" s="1"/>
      <c r="G292" s="28"/>
      <c r="H292" s="1"/>
      <c r="I292" s="1"/>
      <c r="J292" s="29"/>
      <c r="K292" s="1"/>
      <c r="L292" s="20" t="str">
        <f aca="false">IF(E292="","",IFERROR(INDEX(Settings!$D$13:$D$32,MATCH(E292,Settings!$A$13:$A$32,0)),0)*IF(F292="",1,F292))</f>
        <v/>
      </c>
      <c r="M292" s="20" t="str">
        <f aca="false">IF(L292="","",IF(I292="",L292,L292*(1-IF(J292="",Settings!$B$6,J292))))</f>
        <v/>
      </c>
      <c r="N292" s="20" t="str">
        <f aca="false">IF(OR(L292="",I292=""),"",L292-M292)</f>
        <v/>
      </c>
      <c r="O292" s="1"/>
    </row>
    <row r="293" customFormat="false" ht="15" hidden="false" customHeight="false" outlineLevel="0" collapsed="false">
      <c r="A293" s="27"/>
      <c r="B293" s="1"/>
      <c r="C293" s="24" t="str">
        <f aca="false">IF(B293="","",IFERROR(INDEX(Patients!$B$2:$B$501,MATCH(B293,Patients!$A$2:$A$501,0))&amp;"",""))</f>
        <v/>
      </c>
      <c r="D293" s="1"/>
      <c r="E293" s="1"/>
      <c r="F293" s="1"/>
      <c r="G293" s="28"/>
      <c r="H293" s="1"/>
      <c r="I293" s="1"/>
      <c r="J293" s="29"/>
      <c r="K293" s="1"/>
      <c r="L293" s="20" t="str">
        <f aca="false">IF(E293="","",IFERROR(INDEX(Settings!$D$13:$D$32,MATCH(E293,Settings!$A$13:$A$32,0)),0)*IF(F293="",1,F293))</f>
        <v/>
      </c>
      <c r="M293" s="20" t="str">
        <f aca="false">IF(L293="","",IF(I293="",L293,L293*(1-IF(J293="",Settings!$B$6,J293))))</f>
        <v/>
      </c>
      <c r="N293" s="20" t="str">
        <f aca="false">IF(OR(L293="",I293=""),"",L293-M293)</f>
        <v/>
      </c>
      <c r="O293" s="1"/>
    </row>
    <row r="294" customFormat="false" ht="15" hidden="false" customHeight="false" outlineLevel="0" collapsed="false">
      <c r="A294" s="27"/>
      <c r="B294" s="1"/>
      <c r="C294" s="24" t="str">
        <f aca="false">IF(B294="","",IFERROR(INDEX(Patients!$B$2:$B$501,MATCH(B294,Patients!$A$2:$A$501,0))&amp;"",""))</f>
        <v/>
      </c>
      <c r="D294" s="1"/>
      <c r="E294" s="1"/>
      <c r="F294" s="1"/>
      <c r="G294" s="28"/>
      <c r="H294" s="1"/>
      <c r="I294" s="1"/>
      <c r="J294" s="29"/>
      <c r="K294" s="1"/>
      <c r="L294" s="20" t="str">
        <f aca="false">IF(E294="","",IFERROR(INDEX(Settings!$D$13:$D$32,MATCH(E294,Settings!$A$13:$A$32,0)),0)*IF(F294="",1,F294))</f>
        <v/>
      </c>
      <c r="M294" s="20" t="str">
        <f aca="false">IF(L294="","",IF(I294="",L294,L294*(1-IF(J294="",Settings!$B$6,J294))))</f>
        <v/>
      </c>
      <c r="N294" s="20" t="str">
        <f aca="false">IF(OR(L294="",I294=""),"",L294-M294)</f>
        <v/>
      </c>
      <c r="O294" s="1"/>
    </row>
    <row r="295" customFormat="false" ht="15" hidden="false" customHeight="false" outlineLevel="0" collapsed="false">
      <c r="A295" s="27"/>
      <c r="B295" s="1"/>
      <c r="C295" s="24" t="str">
        <f aca="false">IF(B295="","",IFERROR(INDEX(Patients!$B$2:$B$501,MATCH(B295,Patients!$A$2:$A$501,0))&amp;"",""))</f>
        <v/>
      </c>
      <c r="D295" s="1"/>
      <c r="E295" s="1"/>
      <c r="F295" s="1"/>
      <c r="G295" s="28"/>
      <c r="H295" s="1"/>
      <c r="I295" s="1"/>
      <c r="J295" s="29"/>
      <c r="K295" s="1"/>
      <c r="L295" s="20" t="str">
        <f aca="false">IF(E295="","",IFERROR(INDEX(Settings!$D$13:$D$32,MATCH(E295,Settings!$A$13:$A$32,0)),0)*IF(F295="",1,F295))</f>
        <v/>
      </c>
      <c r="M295" s="20" t="str">
        <f aca="false">IF(L295="","",IF(I295="",L295,L295*(1-IF(J295="",Settings!$B$6,J295))))</f>
        <v/>
      </c>
      <c r="N295" s="20" t="str">
        <f aca="false">IF(OR(L295="",I295=""),"",L295-M295)</f>
        <v/>
      </c>
      <c r="O295" s="1"/>
    </row>
    <row r="296" customFormat="false" ht="15" hidden="false" customHeight="false" outlineLevel="0" collapsed="false">
      <c r="A296" s="27"/>
      <c r="B296" s="1"/>
      <c r="C296" s="24" t="str">
        <f aca="false">IF(B296="","",IFERROR(INDEX(Patients!$B$2:$B$501,MATCH(B296,Patients!$A$2:$A$501,0))&amp;"",""))</f>
        <v/>
      </c>
      <c r="D296" s="1"/>
      <c r="E296" s="1"/>
      <c r="F296" s="1"/>
      <c r="G296" s="28"/>
      <c r="H296" s="1"/>
      <c r="I296" s="1"/>
      <c r="J296" s="29"/>
      <c r="K296" s="1"/>
      <c r="L296" s="20" t="str">
        <f aca="false">IF(E296="","",IFERROR(INDEX(Settings!$D$13:$D$32,MATCH(E296,Settings!$A$13:$A$32,0)),0)*IF(F296="",1,F296))</f>
        <v/>
      </c>
      <c r="M296" s="20" t="str">
        <f aca="false">IF(L296="","",IF(I296="",L296,L296*(1-IF(J296="",Settings!$B$6,J296))))</f>
        <v/>
      </c>
      <c r="N296" s="20" t="str">
        <f aca="false">IF(OR(L296="",I296=""),"",L296-M296)</f>
        <v/>
      </c>
      <c r="O296" s="1"/>
    </row>
    <row r="297" customFormat="false" ht="15" hidden="false" customHeight="false" outlineLevel="0" collapsed="false">
      <c r="A297" s="27"/>
      <c r="B297" s="1"/>
      <c r="C297" s="24" t="str">
        <f aca="false">IF(B297="","",IFERROR(INDEX(Patients!$B$2:$B$501,MATCH(B297,Patients!$A$2:$A$501,0))&amp;"",""))</f>
        <v/>
      </c>
      <c r="D297" s="1"/>
      <c r="E297" s="1"/>
      <c r="F297" s="1"/>
      <c r="G297" s="28"/>
      <c r="H297" s="1"/>
      <c r="I297" s="1"/>
      <c r="J297" s="29"/>
      <c r="K297" s="1"/>
      <c r="L297" s="20" t="str">
        <f aca="false">IF(E297="","",IFERROR(INDEX(Settings!$D$13:$D$32,MATCH(E297,Settings!$A$13:$A$32,0)),0)*IF(F297="",1,F297))</f>
        <v/>
      </c>
      <c r="M297" s="20" t="str">
        <f aca="false">IF(L297="","",IF(I297="",L297,L297*(1-IF(J297="",Settings!$B$6,J297))))</f>
        <v/>
      </c>
      <c r="N297" s="20" t="str">
        <f aca="false">IF(OR(L297="",I297=""),"",L297-M297)</f>
        <v/>
      </c>
      <c r="O297" s="1"/>
    </row>
    <row r="298" customFormat="false" ht="15" hidden="false" customHeight="false" outlineLevel="0" collapsed="false">
      <c r="A298" s="27"/>
      <c r="B298" s="1"/>
      <c r="C298" s="24" t="str">
        <f aca="false">IF(B298="","",IFERROR(INDEX(Patients!$B$2:$B$501,MATCH(B298,Patients!$A$2:$A$501,0))&amp;"",""))</f>
        <v/>
      </c>
      <c r="D298" s="1"/>
      <c r="E298" s="1"/>
      <c r="F298" s="1"/>
      <c r="G298" s="28"/>
      <c r="H298" s="1"/>
      <c r="I298" s="1"/>
      <c r="J298" s="29"/>
      <c r="K298" s="1"/>
      <c r="L298" s="20" t="str">
        <f aca="false">IF(E298="","",IFERROR(INDEX(Settings!$D$13:$D$32,MATCH(E298,Settings!$A$13:$A$32,0)),0)*IF(F298="",1,F298))</f>
        <v/>
      </c>
      <c r="M298" s="20" t="str">
        <f aca="false">IF(L298="","",IF(I298="",L298,L298*(1-IF(J298="",Settings!$B$6,J298))))</f>
        <v/>
      </c>
      <c r="N298" s="20" t="str">
        <f aca="false">IF(OR(L298="",I298=""),"",L298-M298)</f>
        <v/>
      </c>
      <c r="O298" s="1"/>
    </row>
    <row r="299" customFormat="false" ht="15" hidden="false" customHeight="false" outlineLevel="0" collapsed="false">
      <c r="A299" s="27"/>
      <c r="B299" s="1"/>
      <c r="C299" s="24" t="str">
        <f aca="false">IF(B299="","",IFERROR(INDEX(Patients!$B$2:$B$501,MATCH(B299,Patients!$A$2:$A$501,0))&amp;"",""))</f>
        <v/>
      </c>
      <c r="D299" s="1"/>
      <c r="E299" s="1"/>
      <c r="F299" s="1"/>
      <c r="G299" s="28"/>
      <c r="H299" s="1"/>
      <c r="I299" s="1"/>
      <c r="J299" s="29"/>
      <c r="K299" s="1"/>
      <c r="L299" s="20" t="str">
        <f aca="false">IF(E299="","",IFERROR(INDEX(Settings!$D$13:$D$32,MATCH(E299,Settings!$A$13:$A$32,0)),0)*IF(F299="",1,F299))</f>
        <v/>
      </c>
      <c r="M299" s="20" t="str">
        <f aca="false">IF(L299="","",IF(I299="",L299,L299*(1-IF(J299="",Settings!$B$6,J299))))</f>
        <v/>
      </c>
      <c r="N299" s="20" t="str">
        <f aca="false">IF(OR(L299="",I299=""),"",L299-M299)</f>
        <v/>
      </c>
      <c r="O299" s="1"/>
    </row>
    <row r="300" customFormat="false" ht="15" hidden="false" customHeight="false" outlineLevel="0" collapsed="false">
      <c r="A300" s="27"/>
      <c r="B300" s="1"/>
      <c r="C300" s="24" t="str">
        <f aca="false">IF(B300="","",IFERROR(INDEX(Patients!$B$2:$B$501,MATCH(B300,Patients!$A$2:$A$501,0))&amp;"",""))</f>
        <v/>
      </c>
      <c r="D300" s="1"/>
      <c r="E300" s="1"/>
      <c r="F300" s="1"/>
      <c r="G300" s="28"/>
      <c r="H300" s="1"/>
      <c r="I300" s="1"/>
      <c r="J300" s="29"/>
      <c r="K300" s="1"/>
      <c r="L300" s="20" t="str">
        <f aca="false">IF(E300="","",IFERROR(INDEX(Settings!$D$13:$D$32,MATCH(E300,Settings!$A$13:$A$32,0)),0)*IF(F300="",1,F300))</f>
        <v/>
      </c>
      <c r="M300" s="20" t="str">
        <f aca="false">IF(L300="","",IF(I300="",L300,L300*(1-IF(J300="",Settings!$B$6,J300))))</f>
        <v/>
      </c>
      <c r="N300" s="20" t="str">
        <f aca="false">IF(OR(L300="",I300=""),"",L300-M300)</f>
        <v/>
      </c>
      <c r="O300" s="1"/>
    </row>
    <row r="301" customFormat="false" ht="15" hidden="false" customHeight="false" outlineLevel="0" collapsed="false">
      <c r="A301" s="27"/>
      <c r="B301" s="1"/>
      <c r="C301" s="24" t="str">
        <f aca="false">IF(B301="","",IFERROR(INDEX(Patients!$B$2:$B$501,MATCH(B301,Patients!$A$2:$A$501,0))&amp;"",""))</f>
        <v/>
      </c>
      <c r="D301" s="1"/>
      <c r="E301" s="1"/>
      <c r="F301" s="1"/>
      <c r="G301" s="28"/>
      <c r="H301" s="1"/>
      <c r="I301" s="1"/>
      <c r="J301" s="29"/>
      <c r="K301" s="1"/>
      <c r="L301" s="20" t="str">
        <f aca="false">IF(E301="","",IFERROR(INDEX(Settings!$D$13:$D$32,MATCH(E301,Settings!$A$13:$A$32,0)),0)*IF(F301="",1,F301))</f>
        <v/>
      </c>
      <c r="M301" s="20" t="str">
        <f aca="false">IF(L301="","",IF(I301="",L301,L301*(1-IF(J301="",Settings!$B$6,J301))))</f>
        <v/>
      </c>
      <c r="N301" s="20" t="str">
        <f aca="false">IF(OR(L301="",I301=""),"",L301-M301)</f>
        <v/>
      </c>
      <c r="O301" s="1"/>
    </row>
    <row r="302" customFormat="false" ht="15" hidden="false" customHeight="false" outlineLevel="0" collapsed="false">
      <c r="A302" s="27"/>
      <c r="B302" s="1"/>
      <c r="C302" s="24" t="str">
        <f aca="false">IF(B302="","",IFERROR(INDEX(Patients!$B$2:$B$501,MATCH(B302,Patients!$A$2:$A$501,0))&amp;"",""))</f>
        <v/>
      </c>
      <c r="D302" s="1"/>
      <c r="E302" s="1"/>
      <c r="F302" s="1"/>
      <c r="G302" s="28"/>
      <c r="H302" s="1"/>
      <c r="I302" s="1"/>
      <c r="J302" s="29"/>
      <c r="K302" s="1"/>
      <c r="L302" s="20" t="str">
        <f aca="false">IF(E302="","",IFERROR(INDEX(Settings!$D$13:$D$32,MATCH(E302,Settings!$A$13:$A$32,0)),0)*IF(F302="",1,F302))</f>
        <v/>
      </c>
      <c r="M302" s="20" t="str">
        <f aca="false">IF(L302="","",IF(I302="",L302,L302*(1-IF(J302="",Settings!$B$6,J302))))</f>
        <v/>
      </c>
      <c r="N302" s="20" t="str">
        <f aca="false">IF(OR(L302="",I302=""),"",L302-M302)</f>
        <v/>
      </c>
      <c r="O302" s="1"/>
    </row>
    <row r="303" customFormat="false" ht="15" hidden="false" customHeight="false" outlineLevel="0" collapsed="false">
      <c r="A303" s="27"/>
      <c r="B303" s="1"/>
      <c r="C303" s="24" t="str">
        <f aca="false">IF(B303="","",IFERROR(INDEX(Patients!$B$2:$B$501,MATCH(B303,Patients!$A$2:$A$501,0))&amp;"",""))</f>
        <v/>
      </c>
      <c r="D303" s="1"/>
      <c r="E303" s="1"/>
      <c r="F303" s="1"/>
      <c r="G303" s="28"/>
      <c r="H303" s="1"/>
      <c r="I303" s="1"/>
      <c r="J303" s="29"/>
      <c r="K303" s="1"/>
      <c r="L303" s="20" t="str">
        <f aca="false">IF(E303="","",IFERROR(INDEX(Settings!$D$13:$D$32,MATCH(E303,Settings!$A$13:$A$32,0)),0)*IF(F303="",1,F303))</f>
        <v/>
      </c>
      <c r="M303" s="20" t="str">
        <f aca="false">IF(L303="","",IF(I303="",L303,L303*(1-IF(J303="",Settings!$B$6,J303))))</f>
        <v/>
      </c>
      <c r="N303" s="20" t="str">
        <f aca="false">IF(OR(L303="",I303=""),"",L303-M303)</f>
        <v/>
      </c>
      <c r="O303" s="1"/>
    </row>
    <row r="304" customFormat="false" ht="15" hidden="false" customHeight="false" outlineLevel="0" collapsed="false">
      <c r="A304" s="27"/>
      <c r="B304" s="1"/>
      <c r="C304" s="24" t="str">
        <f aca="false">IF(B304="","",IFERROR(INDEX(Patients!$B$2:$B$501,MATCH(B304,Patients!$A$2:$A$501,0))&amp;"",""))</f>
        <v/>
      </c>
      <c r="D304" s="1"/>
      <c r="E304" s="1"/>
      <c r="F304" s="1"/>
      <c r="G304" s="28"/>
      <c r="H304" s="1"/>
      <c r="I304" s="1"/>
      <c r="J304" s="29"/>
      <c r="K304" s="1"/>
      <c r="L304" s="20" t="str">
        <f aca="false">IF(E304="","",IFERROR(INDEX(Settings!$D$13:$D$32,MATCH(E304,Settings!$A$13:$A$32,0)),0)*IF(F304="",1,F304))</f>
        <v/>
      </c>
      <c r="M304" s="20" t="str">
        <f aca="false">IF(L304="","",IF(I304="",L304,L304*(1-IF(J304="",Settings!$B$6,J304))))</f>
        <v/>
      </c>
      <c r="N304" s="20" t="str">
        <f aca="false">IF(OR(L304="",I304=""),"",L304-M304)</f>
        <v/>
      </c>
      <c r="O304" s="1"/>
    </row>
    <row r="305" customFormat="false" ht="15" hidden="false" customHeight="false" outlineLevel="0" collapsed="false">
      <c r="A305" s="27"/>
      <c r="B305" s="1"/>
      <c r="C305" s="24" t="str">
        <f aca="false">IF(B305="","",IFERROR(INDEX(Patients!$B$2:$B$501,MATCH(B305,Patients!$A$2:$A$501,0))&amp;"",""))</f>
        <v/>
      </c>
      <c r="D305" s="1"/>
      <c r="E305" s="1"/>
      <c r="F305" s="1"/>
      <c r="G305" s="28"/>
      <c r="H305" s="1"/>
      <c r="I305" s="1"/>
      <c r="J305" s="29"/>
      <c r="K305" s="1"/>
      <c r="L305" s="20" t="str">
        <f aca="false">IF(E305="","",IFERROR(INDEX(Settings!$D$13:$D$32,MATCH(E305,Settings!$A$13:$A$32,0)),0)*IF(F305="",1,F305))</f>
        <v/>
      </c>
      <c r="M305" s="20" t="str">
        <f aca="false">IF(L305="","",IF(I305="",L305,L305*(1-IF(J305="",Settings!$B$6,J305))))</f>
        <v/>
      </c>
      <c r="N305" s="20" t="str">
        <f aca="false">IF(OR(L305="",I305=""),"",L305-M305)</f>
        <v/>
      </c>
      <c r="O305" s="1"/>
    </row>
    <row r="306" customFormat="false" ht="15" hidden="false" customHeight="false" outlineLevel="0" collapsed="false">
      <c r="A306" s="27"/>
      <c r="B306" s="1"/>
      <c r="C306" s="24" t="str">
        <f aca="false">IF(B306="","",IFERROR(INDEX(Patients!$B$2:$B$501,MATCH(B306,Patients!$A$2:$A$501,0))&amp;"",""))</f>
        <v/>
      </c>
      <c r="D306" s="1"/>
      <c r="E306" s="1"/>
      <c r="F306" s="1"/>
      <c r="G306" s="28"/>
      <c r="H306" s="1"/>
      <c r="I306" s="1"/>
      <c r="J306" s="29"/>
      <c r="K306" s="1"/>
      <c r="L306" s="20" t="str">
        <f aca="false">IF(E306="","",IFERROR(INDEX(Settings!$D$13:$D$32,MATCH(E306,Settings!$A$13:$A$32,0)),0)*IF(F306="",1,F306))</f>
        <v/>
      </c>
      <c r="M306" s="20" t="str">
        <f aca="false">IF(L306="","",IF(I306="",L306,L306*(1-IF(J306="",Settings!$B$6,J306))))</f>
        <v/>
      </c>
      <c r="N306" s="20" t="str">
        <f aca="false">IF(OR(L306="",I306=""),"",L306-M306)</f>
        <v/>
      </c>
      <c r="O306" s="1"/>
    </row>
    <row r="307" customFormat="false" ht="15" hidden="false" customHeight="false" outlineLevel="0" collapsed="false">
      <c r="A307" s="27"/>
      <c r="B307" s="1"/>
      <c r="C307" s="24" t="str">
        <f aca="false">IF(B307="","",IFERROR(INDEX(Patients!$B$2:$B$501,MATCH(B307,Patients!$A$2:$A$501,0))&amp;"",""))</f>
        <v/>
      </c>
      <c r="D307" s="1"/>
      <c r="E307" s="1"/>
      <c r="F307" s="1"/>
      <c r="G307" s="28"/>
      <c r="H307" s="1"/>
      <c r="I307" s="1"/>
      <c r="J307" s="29"/>
      <c r="K307" s="1"/>
      <c r="L307" s="20" t="str">
        <f aca="false">IF(E307="","",IFERROR(INDEX(Settings!$D$13:$D$32,MATCH(E307,Settings!$A$13:$A$32,0)),0)*IF(F307="",1,F307))</f>
        <v/>
      </c>
      <c r="M307" s="20" t="str">
        <f aca="false">IF(L307="","",IF(I307="",L307,L307*(1-IF(J307="",Settings!$B$6,J307))))</f>
        <v/>
      </c>
      <c r="N307" s="20" t="str">
        <f aca="false">IF(OR(L307="",I307=""),"",L307-M307)</f>
        <v/>
      </c>
      <c r="O307" s="1"/>
    </row>
    <row r="308" customFormat="false" ht="15" hidden="false" customHeight="false" outlineLevel="0" collapsed="false">
      <c r="A308" s="27"/>
      <c r="B308" s="1"/>
      <c r="C308" s="24" t="str">
        <f aca="false">IF(B308="","",IFERROR(INDEX(Patients!$B$2:$B$501,MATCH(B308,Patients!$A$2:$A$501,0))&amp;"",""))</f>
        <v/>
      </c>
      <c r="D308" s="1"/>
      <c r="E308" s="1"/>
      <c r="F308" s="1"/>
      <c r="G308" s="28"/>
      <c r="H308" s="1"/>
      <c r="I308" s="1"/>
      <c r="J308" s="29"/>
      <c r="K308" s="1"/>
      <c r="L308" s="20" t="str">
        <f aca="false">IF(E308="","",IFERROR(INDEX(Settings!$D$13:$D$32,MATCH(E308,Settings!$A$13:$A$32,0)),0)*IF(F308="",1,F308))</f>
        <v/>
      </c>
      <c r="M308" s="20" t="str">
        <f aca="false">IF(L308="","",IF(I308="",L308,L308*(1-IF(J308="",Settings!$B$6,J308))))</f>
        <v/>
      </c>
      <c r="N308" s="20" t="str">
        <f aca="false">IF(OR(L308="",I308=""),"",L308-M308)</f>
        <v/>
      </c>
      <c r="O308" s="1"/>
    </row>
    <row r="309" customFormat="false" ht="15" hidden="false" customHeight="false" outlineLevel="0" collapsed="false">
      <c r="A309" s="27"/>
      <c r="B309" s="1"/>
      <c r="C309" s="24" t="str">
        <f aca="false">IF(B309="","",IFERROR(INDEX(Patients!$B$2:$B$501,MATCH(B309,Patients!$A$2:$A$501,0))&amp;"",""))</f>
        <v/>
      </c>
      <c r="D309" s="1"/>
      <c r="E309" s="1"/>
      <c r="F309" s="1"/>
      <c r="G309" s="28"/>
      <c r="H309" s="1"/>
      <c r="I309" s="1"/>
      <c r="J309" s="29"/>
      <c r="K309" s="1"/>
      <c r="L309" s="20" t="str">
        <f aca="false">IF(E309="","",IFERROR(INDEX(Settings!$D$13:$D$32,MATCH(E309,Settings!$A$13:$A$32,0)),0)*IF(F309="",1,F309))</f>
        <v/>
      </c>
      <c r="M309" s="20" t="str">
        <f aca="false">IF(L309="","",IF(I309="",L309,L309*(1-IF(J309="",Settings!$B$6,J309))))</f>
        <v/>
      </c>
      <c r="N309" s="20" t="str">
        <f aca="false">IF(OR(L309="",I309=""),"",L309-M309)</f>
        <v/>
      </c>
      <c r="O309" s="1"/>
    </row>
    <row r="310" customFormat="false" ht="15" hidden="false" customHeight="false" outlineLevel="0" collapsed="false">
      <c r="A310" s="27"/>
      <c r="B310" s="1"/>
      <c r="C310" s="24" t="str">
        <f aca="false">IF(B310="","",IFERROR(INDEX(Patients!$B$2:$B$501,MATCH(B310,Patients!$A$2:$A$501,0))&amp;"",""))</f>
        <v/>
      </c>
      <c r="D310" s="1"/>
      <c r="E310" s="1"/>
      <c r="F310" s="1"/>
      <c r="G310" s="28"/>
      <c r="H310" s="1"/>
      <c r="I310" s="1"/>
      <c r="J310" s="29"/>
      <c r="K310" s="1"/>
      <c r="L310" s="20" t="str">
        <f aca="false">IF(E310="","",IFERROR(INDEX(Settings!$D$13:$D$32,MATCH(E310,Settings!$A$13:$A$32,0)),0)*IF(F310="",1,F310))</f>
        <v/>
      </c>
      <c r="M310" s="20" t="str">
        <f aca="false">IF(L310="","",IF(I310="",L310,L310*(1-IF(J310="",Settings!$B$6,J310))))</f>
        <v/>
      </c>
      <c r="N310" s="20" t="str">
        <f aca="false">IF(OR(L310="",I310=""),"",L310-M310)</f>
        <v/>
      </c>
      <c r="O310" s="1"/>
    </row>
    <row r="311" customFormat="false" ht="15" hidden="false" customHeight="false" outlineLevel="0" collapsed="false">
      <c r="A311" s="27"/>
      <c r="B311" s="1"/>
      <c r="C311" s="24" t="str">
        <f aca="false">IF(B311="","",IFERROR(INDEX(Patients!$B$2:$B$501,MATCH(B311,Patients!$A$2:$A$501,0))&amp;"",""))</f>
        <v/>
      </c>
      <c r="D311" s="1"/>
      <c r="E311" s="1"/>
      <c r="F311" s="1"/>
      <c r="G311" s="28"/>
      <c r="H311" s="1"/>
      <c r="I311" s="1"/>
      <c r="J311" s="29"/>
      <c r="K311" s="1"/>
      <c r="L311" s="20" t="str">
        <f aca="false">IF(E311="","",IFERROR(INDEX(Settings!$D$13:$D$32,MATCH(E311,Settings!$A$13:$A$32,0)),0)*IF(F311="",1,F311))</f>
        <v/>
      </c>
      <c r="M311" s="20" t="str">
        <f aca="false">IF(L311="","",IF(I311="",L311,L311*(1-IF(J311="",Settings!$B$6,J311))))</f>
        <v/>
      </c>
      <c r="N311" s="20" t="str">
        <f aca="false">IF(OR(L311="",I311=""),"",L311-M311)</f>
        <v/>
      </c>
      <c r="O311" s="1"/>
    </row>
    <row r="312" customFormat="false" ht="15" hidden="false" customHeight="false" outlineLevel="0" collapsed="false">
      <c r="A312" s="27"/>
      <c r="B312" s="1"/>
      <c r="C312" s="24" t="str">
        <f aca="false">IF(B312="","",IFERROR(INDEX(Patients!$B$2:$B$501,MATCH(B312,Patients!$A$2:$A$501,0))&amp;"",""))</f>
        <v/>
      </c>
      <c r="D312" s="1"/>
      <c r="E312" s="1"/>
      <c r="F312" s="1"/>
      <c r="G312" s="28"/>
      <c r="H312" s="1"/>
      <c r="I312" s="1"/>
      <c r="J312" s="29"/>
      <c r="K312" s="1"/>
      <c r="L312" s="20" t="str">
        <f aca="false">IF(E312="","",IFERROR(INDEX(Settings!$D$13:$D$32,MATCH(E312,Settings!$A$13:$A$32,0)),0)*IF(F312="",1,F312))</f>
        <v/>
      </c>
      <c r="M312" s="20" t="str">
        <f aca="false">IF(L312="","",IF(I312="",L312,L312*(1-IF(J312="",Settings!$B$6,J312))))</f>
        <v/>
      </c>
      <c r="N312" s="20" t="str">
        <f aca="false">IF(OR(L312="",I312=""),"",L312-M312)</f>
        <v/>
      </c>
      <c r="O312" s="1"/>
    </row>
    <row r="313" customFormat="false" ht="15" hidden="false" customHeight="false" outlineLevel="0" collapsed="false">
      <c r="A313" s="27"/>
      <c r="B313" s="1"/>
      <c r="C313" s="24" t="str">
        <f aca="false">IF(B313="","",IFERROR(INDEX(Patients!$B$2:$B$501,MATCH(B313,Patients!$A$2:$A$501,0))&amp;"",""))</f>
        <v/>
      </c>
      <c r="D313" s="1"/>
      <c r="E313" s="1"/>
      <c r="F313" s="1"/>
      <c r="G313" s="28"/>
      <c r="H313" s="1"/>
      <c r="I313" s="1"/>
      <c r="J313" s="29"/>
      <c r="K313" s="1"/>
      <c r="L313" s="20" t="str">
        <f aca="false">IF(E313="","",IFERROR(INDEX(Settings!$D$13:$D$32,MATCH(E313,Settings!$A$13:$A$32,0)),0)*IF(F313="",1,F313))</f>
        <v/>
      </c>
      <c r="M313" s="20" t="str">
        <f aca="false">IF(L313="","",IF(I313="",L313,L313*(1-IF(J313="",Settings!$B$6,J313))))</f>
        <v/>
      </c>
      <c r="N313" s="20" t="str">
        <f aca="false">IF(OR(L313="",I313=""),"",L313-M313)</f>
        <v/>
      </c>
      <c r="O313" s="1"/>
    </row>
    <row r="314" customFormat="false" ht="15" hidden="false" customHeight="false" outlineLevel="0" collapsed="false">
      <c r="A314" s="27"/>
      <c r="B314" s="1"/>
      <c r="C314" s="24" t="str">
        <f aca="false">IF(B314="","",IFERROR(INDEX(Patients!$B$2:$B$501,MATCH(B314,Patients!$A$2:$A$501,0))&amp;"",""))</f>
        <v/>
      </c>
      <c r="D314" s="1"/>
      <c r="E314" s="1"/>
      <c r="F314" s="1"/>
      <c r="G314" s="28"/>
      <c r="H314" s="1"/>
      <c r="I314" s="1"/>
      <c r="J314" s="29"/>
      <c r="K314" s="1"/>
      <c r="L314" s="20" t="str">
        <f aca="false">IF(E314="","",IFERROR(INDEX(Settings!$D$13:$D$32,MATCH(E314,Settings!$A$13:$A$32,0)),0)*IF(F314="",1,F314))</f>
        <v/>
      </c>
      <c r="M314" s="20" t="str">
        <f aca="false">IF(L314="","",IF(I314="",L314,L314*(1-IF(J314="",Settings!$B$6,J314))))</f>
        <v/>
      </c>
      <c r="N314" s="20" t="str">
        <f aca="false">IF(OR(L314="",I314=""),"",L314-M314)</f>
        <v/>
      </c>
      <c r="O314" s="1"/>
    </row>
    <row r="315" customFormat="false" ht="15" hidden="false" customHeight="false" outlineLevel="0" collapsed="false">
      <c r="A315" s="27"/>
      <c r="B315" s="1"/>
      <c r="C315" s="24" t="str">
        <f aca="false">IF(B315="","",IFERROR(INDEX(Patients!$B$2:$B$501,MATCH(B315,Patients!$A$2:$A$501,0))&amp;"",""))</f>
        <v/>
      </c>
      <c r="D315" s="1"/>
      <c r="E315" s="1"/>
      <c r="F315" s="1"/>
      <c r="G315" s="28"/>
      <c r="H315" s="1"/>
      <c r="I315" s="1"/>
      <c r="J315" s="29"/>
      <c r="K315" s="1"/>
      <c r="L315" s="20" t="str">
        <f aca="false">IF(E315="","",IFERROR(INDEX(Settings!$D$13:$D$32,MATCH(E315,Settings!$A$13:$A$32,0)),0)*IF(F315="",1,F315))</f>
        <v/>
      </c>
      <c r="M315" s="20" t="str">
        <f aca="false">IF(L315="","",IF(I315="",L315,L315*(1-IF(J315="",Settings!$B$6,J315))))</f>
        <v/>
      </c>
      <c r="N315" s="20" t="str">
        <f aca="false">IF(OR(L315="",I315=""),"",L315-M315)</f>
        <v/>
      </c>
      <c r="O315" s="1"/>
    </row>
    <row r="316" customFormat="false" ht="15" hidden="false" customHeight="false" outlineLevel="0" collapsed="false">
      <c r="A316" s="27"/>
      <c r="B316" s="1"/>
      <c r="C316" s="24" t="str">
        <f aca="false">IF(B316="","",IFERROR(INDEX(Patients!$B$2:$B$501,MATCH(B316,Patients!$A$2:$A$501,0))&amp;"",""))</f>
        <v/>
      </c>
      <c r="D316" s="1"/>
      <c r="E316" s="1"/>
      <c r="F316" s="1"/>
      <c r="G316" s="28"/>
      <c r="H316" s="1"/>
      <c r="I316" s="1"/>
      <c r="J316" s="29"/>
      <c r="K316" s="1"/>
      <c r="L316" s="20" t="str">
        <f aca="false">IF(E316="","",IFERROR(INDEX(Settings!$D$13:$D$32,MATCH(E316,Settings!$A$13:$A$32,0)),0)*IF(F316="",1,F316))</f>
        <v/>
      </c>
      <c r="M316" s="20" t="str">
        <f aca="false">IF(L316="","",IF(I316="",L316,L316*(1-IF(J316="",Settings!$B$6,J316))))</f>
        <v/>
      </c>
      <c r="N316" s="20" t="str">
        <f aca="false">IF(OR(L316="",I316=""),"",L316-M316)</f>
        <v/>
      </c>
      <c r="O316" s="1"/>
    </row>
    <row r="317" customFormat="false" ht="15" hidden="false" customHeight="false" outlineLevel="0" collapsed="false">
      <c r="A317" s="27"/>
      <c r="B317" s="1"/>
      <c r="C317" s="24" t="str">
        <f aca="false">IF(B317="","",IFERROR(INDEX(Patients!$B$2:$B$501,MATCH(B317,Patients!$A$2:$A$501,0))&amp;"",""))</f>
        <v/>
      </c>
      <c r="D317" s="1"/>
      <c r="E317" s="1"/>
      <c r="F317" s="1"/>
      <c r="G317" s="28"/>
      <c r="H317" s="1"/>
      <c r="I317" s="1"/>
      <c r="J317" s="29"/>
      <c r="K317" s="1"/>
      <c r="L317" s="20" t="str">
        <f aca="false">IF(E317="","",IFERROR(INDEX(Settings!$D$13:$D$32,MATCH(E317,Settings!$A$13:$A$32,0)),0)*IF(F317="",1,F317))</f>
        <v/>
      </c>
      <c r="M317" s="20" t="str">
        <f aca="false">IF(L317="","",IF(I317="",L317,L317*(1-IF(J317="",Settings!$B$6,J317))))</f>
        <v/>
      </c>
      <c r="N317" s="20" t="str">
        <f aca="false">IF(OR(L317="",I317=""),"",L317-M317)</f>
        <v/>
      </c>
      <c r="O317" s="1"/>
    </row>
    <row r="318" customFormat="false" ht="15" hidden="false" customHeight="false" outlineLevel="0" collapsed="false">
      <c r="A318" s="27"/>
      <c r="B318" s="1"/>
      <c r="C318" s="24" t="str">
        <f aca="false">IF(B318="","",IFERROR(INDEX(Patients!$B$2:$B$501,MATCH(B318,Patients!$A$2:$A$501,0))&amp;"",""))</f>
        <v/>
      </c>
      <c r="D318" s="1"/>
      <c r="E318" s="1"/>
      <c r="F318" s="1"/>
      <c r="G318" s="28"/>
      <c r="H318" s="1"/>
      <c r="I318" s="1"/>
      <c r="J318" s="29"/>
      <c r="K318" s="1"/>
      <c r="L318" s="20" t="str">
        <f aca="false">IF(E318="","",IFERROR(INDEX(Settings!$D$13:$D$32,MATCH(E318,Settings!$A$13:$A$32,0)),0)*IF(F318="",1,F318))</f>
        <v/>
      </c>
      <c r="M318" s="20" t="str">
        <f aca="false">IF(L318="","",IF(I318="",L318,L318*(1-IF(J318="",Settings!$B$6,J318))))</f>
        <v/>
      </c>
      <c r="N318" s="20" t="str">
        <f aca="false">IF(OR(L318="",I318=""),"",L318-M318)</f>
        <v/>
      </c>
      <c r="O318" s="1"/>
    </row>
    <row r="319" customFormat="false" ht="15" hidden="false" customHeight="false" outlineLevel="0" collapsed="false">
      <c r="A319" s="27"/>
      <c r="B319" s="1"/>
      <c r="C319" s="24" t="str">
        <f aca="false">IF(B319="","",IFERROR(INDEX(Patients!$B$2:$B$501,MATCH(B319,Patients!$A$2:$A$501,0))&amp;"",""))</f>
        <v/>
      </c>
      <c r="D319" s="1"/>
      <c r="E319" s="1"/>
      <c r="F319" s="1"/>
      <c r="G319" s="28"/>
      <c r="H319" s="1"/>
      <c r="I319" s="1"/>
      <c r="J319" s="29"/>
      <c r="K319" s="1"/>
      <c r="L319" s="20" t="str">
        <f aca="false">IF(E319="","",IFERROR(INDEX(Settings!$D$13:$D$32,MATCH(E319,Settings!$A$13:$A$32,0)),0)*IF(F319="",1,F319))</f>
        <v/>
      </c>
      <c r="M319" s="20" t="str">
        <f aca="false">IF(L319="","",IF(I319="",L319,L319*(1-IF(J319="",Settings!$B$6,J319))))</f>
        <v/>
      </c>
      <c r="N319" s="20" t="str">
        <f aca="false">IF(OR(L319="",I319=""),"",L319-M319)</f>
        <v/>
      </c>
      <c r="O319" s="1"/>
    </row>
    <row r="320" customFormat="false" ht="15" hidden="false" customHeight="false" outlineLevel="0" collapsed="false">
      <c r="A320" s="27"/>
      <c r="B320" s="1"/>
      <c r="C320" s="24" t="str">
        <f aca="false">IF(B320="","",IFERROR(INDEX(Patients!$B$2:$B$501,MATCH(B320,Patients!$A$2:$A$501,0))&amp;"",""))</f>
        <v/>
      </c>
      <c r="D320" s="1"/>
      <c r="E320" s="1"/>
      <c r="F320" s="1"/>
      <c r="G320" s="28"/>
      <c r="H320" s="1"/>
      <c r="I320" s="1"/>
      <c r="J320" s="29"/>
      <c r="K320" s="1"/>
      <c r="L320" s="20" t="str">
        <f aca="false">IF(E320="","",IFERROR(INDEX(Settings!$D$13:$D$32,MATCH(E320,Settings!$A$13:$A$32,0)),0)*IF(F320="",1,F320))</f>
        <v/>
      </c>
      <c r="M320" s="20" t="str">
        <f aca="false">IF(L320="","",IF(I320="",L320,L320*(1-IF(J320="",Settings!$B$6,J320))))</f>
        <v/>
      </c>
      <c r="N320" s="20" t="str">
        <f aca="false">IF(OR(L320="",I320=""),"",L320-M320)</f>
        <v/>
      </c>
      <c r="O320" s="1"/>
    </row>
    <row r="321" customFormat="false" ht="15" hidden="false" customHeight="false" outlineLevel="0" collapsed="false">
      <c r="A321" s="27"/>
      <c r="B321" s="1"/>
      <c r="C321" s="24" t="str">
        <f aca="false">IF(B321="","",IFERROR(INDEX(Patients!$B$2:$B$501,MATCH(B321,Patients!$A$2:$A$501,0))&amp;"",""))</f>
        <v/>
      </c>
      <c r="D321" s="1"/>
      <c r="E321" s="1"/>
      <c r="F321" s="1"/>
      <c r="G321" s="28"/>
      <c r="H321" s="1"/>
      <c r="I321" s="1"/>
      <c r="J321" s="29"/>
      <c r="K321" s="1"/>
      <c r="L321" s="20" t="str">
        <f aca="false">IF(E321="","",IFERROR(INDEX(Settings!$D$13:$D$32,MATCH(E321,Settings!$A$13:$A$32,0)),0)*IF(F321="",1,F321))</f>
        <v/>
      </c>
      <c r="M321" s="20" t="str">
        <f aca="false">IF(L321="","",IF(I321="",L321,L321*(1-IF(J321="",Settings!$B$6,J321))))</f>
        <v/>
      </c>
      <c r="N321" s="20" t="str">
        <f aca="false">IF(OR(L321="",I321=""),"",L321-M321)</f>
        <v/>
      </c>
      <c r="O321" s="1"/>
    </row>
    <row r="322" customFormat="false" ht="15" hidden="false" customHeight="false" outlineLevel="0" collapsed="false">
      <c r="A322" s="27"/>
      <c r="B322" s="1"/>
      <c r="C322" s="24" t="str">
        <f aca="false">IF(B322="","",IFERROR(INDEX(Patients!$B$2:$B$501,MATCH(B322,Patients!$A$2:$A$501,0))&amp;"",""))</f>
        <v/>
      </c>
      <c r="D322" s="1"/>
      <c r="E322" s="1"/>
      <c r="F322" s="1"/>
      <c r="G322" s="28"/>
      <c r="H322" s="1"/>
      <c r="I322" s="1"/>
      <c r="J322" s="29"/>
      <c r="K322" s="1"/>
      <c r="L322" s="20" t="str">
        <f aca="false">IF(E322="","",IFERROR(INDEX(Settings!$D$13:$D$32,MATCH(E322,Settings!$A$13:$A$32,0)),0)*IF(F322="",1,F322))</f>
        <v/>
      </c>
      <c r="M322" s="20" t="str">
        <f aca="false">IF(L322="","",IF(I322="",L322,L322*(1-IF(J322="",Settings!$B$6,J322))))</f>
        <v/>
      </c>
      <c r="N322" s="20" t="str">
        <f aca="false">IF(OR(L322="",I322=""),"",L322-M322)</f>
        <v/>
      </c>
      <c r="O322" s="1"/>
    </row>
    <row r="323" customFormat="false" ht="15" hidden="false" customHeight="false" outlineLevel="0" collapsed="false">
      <c r="A323" s="27"/>
      <c r="B323" s="1"/>
      <c r="C323" s="24" t="str">
        <f aca="false">IF(B323="","",IFERROR(INDEX(Patients!$B$2:$B$501,MATCH(B323,Patients!$A$2:$A$501,0))&amp;"",""))</f>
        <v/>
      </c>
      <c r="D323" s="1"/>
      <c r="E323" s="1"/>
      <c r="F323" s="1"/>
      <c r="G323" s="28"/>
      <c r="H323" s="1"/>
      <c r="I323" s="1"/>
      <c r="J323" s="29"/>
      <c r="K323" s="1"/>
      <c r="L323" s="20" t="str">
        <f aca="false">IF(E323="","",IFERROR(INDEX(Settings!$D$13:$D$32,MATCH(E323,Settings!$A$13:$A$32,0)),0)*IF(F323="",1,F323))</f>
        <v/>
      </c>
      <c r="M323" s="20" t="str">
        <f aca="false">IF(L323="","",IF(I323="",L323,L323*(1-IF(J323="",Settings!$B$6,J323))))</f>
        <v/>
      </c>
      <c r="N323" s="20" t="str">
        <f aca="false">IF(OR(L323="",I323=""),"",L323-M323)</f>
        <v/>
      </c>
      <c r="O323" s="1"/>
    </row>
    <row r="324" customFormat="false" ht="15" hidden="false" customHeight="false" outlineLevel="0" collapsed="false">
      <c r="A324" s="27"/>
      <c r="B324" s="1"/>
      <c r="C324" s="24" t="str">
        <f aca="false">IF(B324="","",IFERROR(INDEX(Patients!$B$2:$B$501,MATCH(B324,Patients!$A$2:$A$501,0))&amp;"",""))</f>
        <v/>
      </c>
      <c r="D324" s="1"/>
      <c r="E324" s="1"/>
      <c r="F324" s="1"/>
      <c r="G324" s="28"/>
      <c r="H324" s="1"/>
      <c r="I324" s="1"/>
      <c r="J324" s="29"/>
      <c r="K324" s="1"/>
      <c r="L324" s="20" t="str">
        <f aca="false">IF(E324="","",IFERROR(INDEX(Settings!$D$13:$D$32,MATCH(E324,Settings!$A$13:$A$32,0)),0)*IF(F324="",1,F324))</f>
        <v/>
      </c>
      <c r="M324" s="20" t="str">
        <f aca="false">IF(L324="","",IF(I324="",L324,L324*(1-IF(J324="",Settings!$B$6,J324))))</f>
        <v/>
      </c>
      <c r="N324" s="20" t="str">
        <f aca="false">IF(OR(L324="",I324=""),"",L324-M324)</f>
        <v/>
      </c>
      <c r="O324" s="1"/>
    </row>
    <row r="325" customFormat="false" ht="15" hidden="false" customHeight="false" outlineLevel="0" collapsed="false">
      <c r="A325" s="27"/>
      <c r="B325" s="1"/>
      <c r="C325" s="24" t="str">
        <f aca="false">IF(B325="","",IFERROR(INDEX(Patients!$B$2:$B$501,MATCH(B325,Patients!$A$2:$A$501,0))&amp;"",""))</f>
        <v/>
      </c>
      <c r="D325" s="1"/>
      <c r="E325" s="1"/>
      <c r="F325" s="1"/>
      <c r="G325" s="28"/>
      <c r="H325" s="1"/>
      <c r="I325" s="1"/>
      <c r="J325" s="29"/>
      <c r="K325" s="1"/>
      <c r="L325" s="20" t="str">
        <f aca="false">IF(E325="","",IFERROR(INDEX(Settings!$D$13:$D$32,MATCH(E325,Settings!$A$13:$A$32,0)),0)*IF(F325="",1,F325))</f>
        <v/>
      </c>
      <c r="M325" s="20" t="str">
        <f aca="false">IF(L325="","",IF(I325="",L325,L325*(1-IF(J325="",Settings!$B$6,J325))))</f>
        <v/>
      </c>
      <c r="N325" s="20" t="str">
        <f aca="false">IF(OR(L325="",I325=""),"",L325-M325)</f>
        <v/>
      </c>
      <c r="O325" s="1"/>
    </row>
    <row r="326" customFormat="false" ht="15" hidden="false" customHeight="false" outlineLevel="0" collapsed="false">
      <c r="A326" s="27"/>
      <c r="B326" s="1"/>
      <c r="C326" s="24" t="str">
        <f aca="false">IF(B326="","",IFERROR(INDEX(Patients!$B$2:$B$501,MATCH(B326,Patients!$A$2:$A$501,0))&amp;"",""))</f>
        <v/>
      </c>
      <c r="D326" s="1"/>
      <c r="E326" s="1"/>
      <c r="F326" s="1"/>
      <c r="G326" s="28"/>
      <c r="H326" s="1"/>
      <c r="I326" s="1"/>
      <c r="J326" s="29"/>
      <c r="K326" s="1"/>
      <c r="L326" s="20" t="str">
        <f aca="false">IF(E326="","",IFERROR(INDEX(Settings!$D$13:$D$32,MATCH(E326,Settings!$A$13:$A$32,0)),0)*IF(F326="",1,F326))</f>
        <v/>
      </c>
      <c r="M326" s="20" t="str">
        <f aca="false">IF(L326="","",IF(I326="",L326,L326*(1-IF(J326="",Settings!$B$6,J326))))</f>
        <v/>
      </c>
      <c r="N326" s="20" t="str">
        <f aca="false">IF(OR(L326="",I326=""),"",L326-M326)</f>
        <v/>
      </c>
      <c r="O326" s="1"/>
    </row>
    <row r="327" customFormat="false" ht="15" hidden="false" customHeight="false" outlineLevel="0" collapsed="false">
      <c r="A327" s="27"/>
      <c r="B327" s="1"/>
      <c r="C327" s="24" t="str">
        <f aca="false">IF(B327="","",IFERROR(INDEX(Patients!$B$2:$B$501,MATCH(B327,Patients!$A$2:$A$501,0))&amp;"",""))</f>
        <v/>
      </c>
      <c r="D327" s="1"/>
      <c r="E327" s="1"/>
      <c r="F327" s="1"/>
      <c r="G327" s="28"/>
      <c r="H327" s="1"/>
      <c r="I327" s="1"/>
      <c r="J327" s="29"/>
      <c r="K327" s="1"/>
      <c r="L327" s="20" t="str">
        <f aca="false">IF(E327="","",IFERROR(INDEX(Settings!$D$13:$D$32,MATCH(E327,Settings!$A$13:$A$32,0)),0)*IF(F327="",1,F327))</f>
        <v/>
      </c>
      <c r="M327" s="20" t="str">
        <f aca="false">IF(L327="","",IF(I327="",L327,L327*(1-IF(J327="",Settings!$B$6,J327))))</f>
        <v/>
      </c>
      <c r="N327" s="20" t="str">
        <f aca="false">IF(OR(L327="",I327=""),"",L327-M327)</f>
        <v/>
      </c>
      <c r="O327" s="1"/>
    </row>
    <row r="328" customFormat="false" ht="15" hidden="false" customHeight="false" outlineLevel="0" collapsed="false">
      <c r="A328" s="27"/>
      <c r="B328" s="1"/>
      <c r="C328" s="24" t="str">
        <f aca="false">IF(B328="","",IFERROR(INDEX(Patients!$B$2:$B$501,MATCH(B328,Patients!$A$2:$A$501,0))&amp;"",""))</f>
        <v/>
      </c>
      <c r="D328" s="1"/>
      <c r="E328" s="1"/>
      <c r="F328" s="1"/>
      <c r="G328" s="28"/>
      <c r="H328" s="1"/>
      <c r="I328" s="1"/>
      <c r="J328" s="29"/>
      <c r="K328" s="1"/>
      <c r="L328" s="20" t="str">
        <f aca="false">IF(E328="","",IFERROR(INDEX(Settings!$D$13:$D$32,MATCH(E328,Settings!$A$13:$A$32,0)),0)*IF(F328="",1,F328))</f>
        <v/>
      </c>
      <c r="M328" s="20" t="str">
        <f aca="false">IF(L328="","",IF(I328="",L328,L328*(1-IF(J328="",Settings!$B$6,J328))))</f>
        <v/>
      </c>
      <c r="N328" s="20" t="str">
        <f aca="false">IF(OR(L328="",I328=""),"",L328-M328)</f>
        <v/>
      </c>
      <c r="O328" s="1"/>
    </row>
    <row r="329" customFormat="false" ht="15" hidden="false" customHeight="false" outlineLevel="0" collapsed="false">
      <c r="A329" s="27"/>
      <c r="B329" s="1"/>
      <c r="C329" s="24" t="str">
        <f aca="false">IF(B329="","",IFERROR(INDEX(Patients!$B$2:$B$501,MATCH(B329,Patients!$A$2:$A$501,0))&amp;"",""))</f>
        <v/>
      </c>
      <c r="D329" s="1"/>
      <c r="E329" s="1"/>
      <c r="F329" s="1"/>
      <c r="G329" s="28"/>
      <c r="H329" s="1"/>
      <c r="I329" s="1"/>
      <c r="J329" s="29"/>
      <c r="K329" s="1"/>
      <c r="L329" s="20" t="str">
        <f aca="false">IF(E329="","",IFERROR(INDEX(Settings!$D$13:$D$32,MATCH(E329,Settings!$A$13:$A$32,0)),0)*IF(F329="",1,F329))</f>
        <v/>
      </c>
      <c r="M329" s="20" t="str">
        <f aca="false">IF(L329="","",IF(I329="",L329,L329*(1-IF(J329="",Settings!$B$6,J329))))</f>
        <v/>
      </c>
      <c r="N329" s="20" t="str">
        <f aca="false">IF(OR(L329="",I329=""),"",L329-M329)</f>
        <v/>
      </c>
      <c r="O329" s="1"/>
    </row>
    <row r="330" customFormat="false" ht="15" hidden="false" customHeight="false" outlineLevel="0" collapsed="false">
      <c r="A330" s="27"/>
      <c r="B330" s="1"/>
      <c r="C330" s="24" t="str">
        <f aca="false">IF(B330="","",IFERROR(INDEX(Patients!$B$2:$B$501,MATCH(B330,Patients!$A$2:$A$501,0))&amp;"",""))</f>
        <v/>
      </c>
      <c r="D330" s="1"/>
      <c r="E330" s="1"/>
      <c r="F330" s="1"/>
      <c r="G330" s="28"/>
      <c r="H330" s="1"/>
      <c r="I330" s="1"/>
      <c r="J330" s="29"/>
      <c r="K330" s="1"/>
      <c r="L330" s="20" t="str">
        <f aca="false">IF(E330="","",IFERROR(INDEX(Settings!$D$13:$D$32,MATCH(E330,Settings!$A$13:$A$32,0)),0)*IF(F330="",1,F330))</f>
        <v/>
      </c>
      <c r="M330" s="20" t="str">
        <f aca="false">IF(L330="","",IF(I330="",L330,L330*(1-IF(J330="",Settings!$B$6,J330))))</f>
        <v/>
      </c>
      <c r="N330" s="20" t="str">
        <f aca="false">IF(OR(L330="",I330=""),"",L330-M330)</f>
        <v/>
      </c>
      <c r="O330" s="1"/>
    </row>
    <row r="331" customFormat="false" ht="15" hidden="false" customHeight="false" outlineLevel="0" collapsed="false">
      <c r="A331" s="27"/>
      <c r="B331" s="1"/>
      <c r="C331" s="24" t="str">
        <f aca="false">IF(B331="","",IFERROR(INDEX(Patients!$B$2:$B$501,MATCH(B331,Patients!$A$2:$A$501,0))&amp;"",""))</f>
        <v/>
      </c>
      <c r="D331" s="1"/>
      <c r="E331" s="1"/>
      <c r="F331" s="1"/>
      <c r="G331" s="28"/>
      <c r="H331" s="1"/>
      <c r="I331" s="1"/>
      <c r="J331" s="29"/>
      <c r="K331" s="1"/>
      <c r="L331" s="20" t="str">
        <f aca="false">IF(E331="","",IFERROR(INDEX(Settings!$D$13:$D$32,MATCH(E331,Settings!$A$13:$A$32,0)),0)*IF(F331="",1,F331))</f>
        <v/>
      </c>
      <c r="M331" s="20" t="str">
        <f aca="false">IF(L331="","",IF(I331="",L331,L331*(1-IF(J331="",Settings!$B$6,J331))))</f>
        <v/>
      </c>
      <c r="N331" s="20" t="str">
        <f aca="false">IF(OR(L331="",I331=""),"",L331-M331)</f>
        <v/>
      </c>
      <c r="O331" s="1"/>
    </row>
    <row r="332" customFormat="false" ht="15" hidden="false" customHeight="false" outlineLevel="0" collapsed="false">
      <c r="A332" s="27"/>
      <c r="B332" s="1"/>
      <c r="C332" s="24" t="str">
        <f aca="false">IF(B332="","",IFERROR(INDEX(Patients!$B$2:$B$501,MATCH(B332,Patients!$A$2:$A$501,0))&amp;"",""))</f>
        <v/>
      </c>
      <c r="D332" s="1"/>
      <c r="E332" s="1"/>
      <c r="F332" s="1"/>
      <c r="G332" s="28"/>
      <c r="H332" s="1"/>
      <c r="I332" s="1"/>
      <c r="J332" s="29"/>
      <c r="K332" s="1"/>
      <c r="L332" s="20" t="str">
        <f aca="false">IF(E332="","",IFERROR(INDEX(Settings!$D$13:$D$32,MATCH(E332,Settings!$A$13:$A$32,0)),0)*IF(F332="",1,F332))</f>
        <v/>
      </c>
      <c r="M332" s="20" t="str">
        <f aca="false">IF(L332="","",IF(I332="",L332,L332*(1-IF(J332="",Settings!$B$6,J332))))</f>
        <v/>
      </c>
      <c r="N332" s="20" t="str">
        <f aca="false">IF(OR(L332="",I332=""),"",L332-M332)</f>
        <v/>
      </c>
      <c r="O332" s="1"/>
    </row>
    <row r="333" customFormat="false" ht="15" hidden="false" customHeight="false" outlineLevel="0" collapsed="false">
      <c r="A333" s="27"/>
      <c r="B333" s="1"/>
      <c r="C333" s="24" t="str">
        <f aca="false">IF(B333="","",IFERROR(INDEX(Patients!$B$2:$B$501,MATCH(B333,Patients!$A$2:$A$501,0))&amp;"",""))</f>
        <v/>
      </c>
      <c r="D333" s="1"/>
      <c r="E333" s="1"/>
      <c r="F333" s="1"/>
      <c r="G333" s="28"/>
      <c r="H333" s="1"/>
      <c r="I333" s="1"/>
      <c r="J333" s="29"/>
      <c r="K333" s="1"/>
      <c r="L333" s="20" t="str">
        <f aca="false">IF(E333="","",IFERROR(INDEX(Settings!$D$13:$D$32,MATCH(E333,Settings!$A$13:$A$32,0)),0)*IF(F333="",1,F333))</f>
        <v/>
      </c>
      <c r="M333" s="20" t="str">
        <f aca="false">IF(L333="","",IF(I333="",L333,L333*(1-IF(J333="",Settings!$B$6,J333))))</f>
        <v/>
      </c>
      <c r="N333" s="20" t="str">
        <f aca="false">IF(OR(L333="",I333=""),"",L333-M333)</f>
        <v/>
      </c>
      <c r="O333" s="1"/>
    </row>
    <row r="334" customFormat="false" ht="15" hidden="false" customHeight="false" outlineLevel="0" collapsed="false">
      <c r="A334" s="27"/>
      <c r="B334" s="1"/>
      <c r="C334" s="24" t="str">
        <f aca="false">IF(B334="","",IFERROR(INDEX(Patients!$B$2:$B$501,MATCH(B334,Patients!$A$2:$A$501,0))&amp;"",""))</f>
        <v/>
      </c>
      <c r="D334" s="1"/>
      <c r="E334" s="1"/>
      <c r="F334" s="1"/>
      <c r="G334" s="28"/>
      <c r="H334" s="1"/>
      <c r="I334" s="1"/>
      <c r="J334" s="29"/>
      <c r="K334" s="1"/>
      <c r="L334" s="20" t="str">
        <f aca="false">IF(E334="","",IFERROR(INDEX(Settings!$D$13:$D$32,MATCH(E334,Settings!$A$13:$A$32,0)),0)*IF(F334="",1,F334))</f>
        <v/>
      </c>
      <c r="M334" s="20" t="str">
        <f aca="false">IF(L334="","",IF(I334="",L334,L334*(1-IF(J334="",Settings!$B$6,J334))))</f>
        <v/>
      </c>
      <c r="N334" s="20" t="str">
        <f aca="false">IF(OR(L334="",I334=""),"",L334-M334)</f>
        <v/>
      </c>
      <c r="O334" s="1"/>
    </row>
    <row r="335" customFormat="false" ht="15" hidden="false" customHeight="false" outlineLevel="0" collapsed="false">
      <c r="A335" s="27"/>
      <c r="B335" s="1"/>
      <c r="C335" s="24" t="str">
        <f aca="false">IF(B335="","",IFERROR(INDEX(Patients!$B$2:$B$501,MATCH(B335,Patients!$A$2:$A$501,0))&amp;"",""))</f>
        <v/>
      </c>
      <c r="D335" s="1"/>
      <c r="E335" s="1"/>
      <c r="F335" s="1"/>
      <c r="G335" s="28"/>
      <c r="H335" s="1"/>
      <c r="I335" s="1"/>
      <c r="J335" s="29"/>
      <c r="K335" s="1"/>
      <c r="L335" s="20" t="str">
        <f aca="false">IF(E335="","",IFERROR(INDEX(Settings!$D$13:$D$32,MATCH(E335,Settings!$A$13:$A$32,0)),0)*IF(F335="",1,F335))</f>
        <v/>
      </c>
      <c r="M335" s="20" t="str">
        <f aca="false">IF(L335="","",IF(I335="",L335,L335*(1-IF(J335="",Settings!$B$6,J335))))</f>
        <v/>
      </c>
      <c r="N335" s="20" t="str">
        <f aca="false">IF(OR(L335="",I335=""),"",L335-M335)</f>
        <v/>
      </c>
      <c r="O335" s="1"/>
    </row>
    <row r="336" customFormat="false" ht="15" hidden="false" customHeight="false" outlineLevel="0" collapsed="false">
      <c r="A336" s="27"/>
      <c r="B336" s="1"/>
      <c r="C336" s="24" t="str">
        <f aca="false">IF(B336="","",IFERROR(INDEX(Patients!$B$2:$B$501,MATCH(B336,Patients!$A$2:$A$501,0))&amp;"",""))</f>
        <v/>
      </c>
      <c r="D336" s="1"/>
      <c r="E336" s="1"/>
      <c r="F336" s="1"/>
      <c r="G336" s="28"/>
      <c r="H336" s="1"/>
      <c r="I336" s="1"/>
      <c r="J336" s="29"/>
      <c r="K336" s="1"/>
      <c r="L336" s="20" t="str">
        <f aca="false">IF(E336="","",IFERROR(INDEX(Settings!$D$13:$D$32,MATCH(E336,Settings!$A$13:$A$32,0)),0)*IF(F336="",1,F336))</f>
        <v/>
      </c>
      <c r="M336" s="20" t="str">
        <f aca="false">IF(L336="","",IF(I336="",L336,L336*(1-IF(J336="",Settings!$B$6,J336))))</f>
        <v/>
      </c>
      <c r="N336" s="20" t="str">
        <f aca="false">IF(OR(L336="",I336=""),"",L336-M336)</f>
        <v/>
      </c>
      <c r="O336" s="1"/>
    </row>
    <row r="337" customFormat="false" ht="15" hidden="false" customHeight="false" outlineLevel="0" collapsed="false">
      <c r="A337" s="27"/>
      <c r="B337" s="1"/>
      <c r="C337" s="24" t="str">
        <f aca="false">IF(B337="","",IFERROR(INDEX(Patients!$B$2:$B$501,MATCH(B337,Patients!$A$2:$A$501,0))&amp;"",""))</f>
        <v/>
      </c>
      <c r="D337" s="1"/>
      <c r="E337" s="1"/>
      <c r="F337" s="1"/>
      <c r="G337" s="28"/>
      <c r="H337" s="1"/>
      <c r="I337" s="1"/>
      <c r="J337" s="29"/>
      <c r="K337" s="1"/>
      <c r="L337" s="20" t="str">
        <f aca="false">IF(E337="","",IFERROR(INDEX(Settings!$D$13:$D$32,MATCH(E337,Settings!$A$13:$A$32,0)),0)*IF(F337="",1,F337))</f>
        <v/>
      </c>
      <c r="M337" s="20" t="str">
        <f aca="false">IF(L337="","",IF(I337="",L337,L337*(1-IF(J337="",Settings!$B$6,J337))))</f>
        <v/>
      </c>
      <c r="N337" s="20" t="str">
        <f aca="false">IF(OR(L337="",I337=""),"",L337-M337)</f>
        <v/>
      </c>
      <c r="O337" s="1"/>
    </row>
    <row r="338" customFormat="false" ht="15" hidden="false" customHeight="false" outlineLevel="0" collapsed="false">
      <c r="A338" s="27"/>
      <c r="B338" s="1"/>
      <c r="C338" s="24" t="str">
        <f aca="false">IF(B338="","",IFERROR(INDEX(Patients!$B$2:$B$501,MATCH(B338,Patients!$A$2:$A$501,0))&amp;"",""))</f>
        <v/>
      </c>
      <c r="D338" s="1"/>
      <c r="E338" s="1"/>
      <c r="F338" s="1"/>
      <c r="G338" s="28"/>
      <c r="H338" s="1"/>
      <c r="I338" s="1"/>
      <c r="J338" s="29"/>
      <c r="K338" s="1"/>
      <c r="L338" s="20" t="str">
        <f aca="false">IF(E338="","",IFERROR(INDEX(Settings!$D$13:$D$32,MATCH(E338,Settings!$A$13:$A$32,0)),0)*IF(F338="",1,F338))</f>
        <v/>
      </c>
      <c r="M338" s="20" t="str">
        <f aca="false">IF(L338="","",IF(I338="",L338,L338*(1-IF(J338="",Settings!$B$6,J338))))</f>
        <v/>
      </c>
      <c r="N338" s="20" t="str">
        <f aca="false">IF(OR(L338="",I338=""),"",L338-M338)</f>
        <v/>
      </c>
      <c r="O338" s="1"/>
    </row>
    <row r="339" customFormat="false" ht="15" hidden="false" customHeight="false" outlineLevel="0" collapsed="false">
      <c r="A339" s="27"/>
      <c r="B339" s="1"/>
      <c r="C339" s="24" t="str">
        <f aca="false">IF(B339="","",IFERROR(INDEX(Patients!$B$2:$B$501,MATCH(B339,Patients!$A$2:$A$501,0))&amp;"",""))</f>
        <v/>
      </c>
      <c r="D339" s="1"/>
      <c r="E339" s="1"/>
      <c r="F339" s="1"/>
      <c r="G339" s="28"/>
      <c r="H339" s="1"/>
      <c r="I339" s="1"/>
      <c r="J339" s="29"/>
      <c r="K339" s="1"/>
      <c r="L339" s="20" t="str">
        <f aca="false">IF(E339="","",IFERROR(INDEX(Settings!$D$13:$D$32,MATCH(E339,Settings!$A$13:$A$32,0)),0)*IF(F339="",1,F339))</f>
        <v/>
      </c>
      <c r="M339" s="20" t="str">
        <f aca="false">IF(L339="","",IF(I339="",L339,L339*(1-IF(J339="",Settings!$B$6,J339))))</f>
        <v/>
      </c>
      <c r="N339" s="20" t="str">
        <f aca="false">IF(OR(L339="",I339=""),"",L339-M339)</f>
        <v/>
      </c>
      <c r="O339" s="1"/>
    </row>
    <row r="340" customFormat="false" ht="15" hidden="false" customHeight="false" outlineLevel="0" collapsed="false">
      <c r="A340" s="27"/>
      <c r="B340" s="1"/>
      <c r="C340" s="24" t="str">
        <f aca="false">IF(B340="","",IFERROR(INDEX(Patients!$B$2:$B$501,MATCH(B340,Patients!$A$2:$A$501,0))&amp;"",""))</f>
        <v/>
      </c>
      <c r="D340" s="1"/>
      <c r="E340" s="1"/>
      <c r="F340" s="1"/>
      <c r="G340" s="28"/>
      <c r="H340" s="1"/>
      <c r="I340" s="1"/>
      <c r="J340" s="29"/>
      <c r="K340" s="1"/>
      <c r="L340" s="20" t="str">
        <f aca="false">IF(E340="","",IFERROR(INDEX(Settings!$D$13:$D$32,MATCH(E340,Settings!$A$13:$A$32,0)),0)*IF(F340="",1,F340))</f>
        <v/>
      </c>
      <c r="M340" s="20" t="str">
        <f aca="false">IF(L340="","",IF(I340="",L340,L340*(1-IF(J340="",Settings!$B$6,J340))))</f>
        <v/>
      </c>
      <c r="N340" s="20" t="str">
        <f aca="false">IF(OR(L340="",I340=""),"",L340-M340)</f>
        <v/>
      </c>
      <c r="O340" s="1"/>
    </row>
    <row r="341" customFormat="false" ht="15" hidden="false" customHeight="false" outlineLevel="0" collapsed="false">
      <c r="A341" s="27"/>
      <c r="B341" s="1"/>
      <c r="C341" s="24" t="str">
        <f aca="false">IF(B341="","",IFERROR(INDEX(Patients!$B$2:$B$501,MATCH(B341,Patients!$A$2:$A$501,0))&amp;"",""))</f>
        <v/>
      </c>
      <c r="D341" s="1"/>
      <c r="E341" s="1"/>
      <c r="F341" s="1"/>
      <c r="G341" s="28"/>
      <c r="H341" s="1"/>
      <c r="I341" s="1"/>
      <c r="J341" s="29"/>
      <c r="K341" s="1"/>
      <c r="L341" s="20" t="str">
        <f aca="false">IF(E341="","",IFERROR(INDEX(Settings!$D$13:$D$32,MATCH(E341,Settings!$A$13:$A$32,0)),0)*IF(F341="",1,F341))</f>
        <v/>
      </c>
      <c r="M341" s="20" t="str">
        <f aca="false">IF(L341="","",IF(I341="",L341,L341*(1-IF(J341="",Settings!$B$6,J341))))</f>
        <v/>
      </c>
      <c r="N341" s="20" t="str">
        <f aca="false">IF(OR(L341="",I341=""),"",L341-M341)</f>
        <v/>
      </c>
      <c r="O341" s="1"/>
    </row>
    <row r="342" customFormat="false" ht="15" hidden="false" customHeight="false" outlineLevel="0" collapsed="false">
      <c r="A342" s="27"/>
      <c r="B342" s="1"/>
      <c r="C342" s="24" t="str">
        <f aca="false">IF(B342="","",IFERROR(INDEX(Patients!$B$2:$B$501,MATCH(B342,Patients!$A$2:$A$501,0))&amp;"",""))</f>
        <v/>
      </c>
      <c r="D342" s="1"/>
      <c r="E342" s="1"/>
      <c r="F342" s="1"/>
      <c r="G342" s="28"/>
      <c r="H342" s="1"/>
      <c r="I342" s="1"/>
      <c r="J342" s="29"/>
      <c r="K342" s="1"/>
      <c r="L342" s="20" t="str">
        <f aca="false">IF(E342="","",IFERROR(INDEX(Settings!$D$13:$D$32,MATCH(E342,Settings!$A$13:$A$32,0)),0)*IF(F342="",1,F342))</f>
        <v/>
      </c>
      <c r="M342" s="20" t="str">
        <f aca="false">IF(L342="","",IF(I342="",L342,L342*(1-IF(J342="",Settings!$B$6,J342))))</f>
        <v/>
      </c>
      <c r="N342" s="20" t="str">
        <f aca="false">IF(OR(L342="",I342=""),"",L342-M342)</f>
        <v/>
      </c>
      <c r="O342" s="1"/>
    </row>
    <row r="343" customFormat="false" ht="15" hidden="false" customHeight="false" outlineLevel="0" collapsed="false">
      <c r="A343" s="27"/>
      <c r="B343" s="1"/>
      <c r="C343" s="24" t="str">
        <f aca="false">IF(B343="","",IFERROR(INDEX(Patients!$B$2:$B$501,MATCH(B343,Patients!$A$2:$A$501,0))&amp;"",""))</f>
        <v/>
      </c>
      <c r="D343" s="1"/>
      <c r="E343" s="1"/>
      <c r="F343" s="1"/>
      <c r="G343" s="28"/>
      <c r="H343" s="1"/>
      <c r="I343" s="1"/>
      <c r="J343" s="29"/>
      <c r="K343" s="1"/>
      <c r="L343" s="20" t="str">
        <f aca="false">IF(E343="","",IFERROR(INDEX(Settings!$D$13:$D$32,MATCH(E343,Settings!$A$13:$A$32,0)),0)*IF(F343="",1,F343))</f>
        <v/>
      </c>
      <c r="M343" s="20" t="str">
        <f aca="false">IF(L343="","",IF(I343="",L343,L343*(1-IF(J343="",Settings!$B$6,J343))))</f>
        <v/>
      </c>
      <c r="N343" s="20" t="str">
        <f aca="false">IF(OR(L343="",I343=""),"",L343-M343)</f>
        <v/>
      </c>
      <c r="O343" s="1"/>
    </row>
    <row r="344" customFormat="false" ht="15" hidden="false" customHeight="false" outlineLevel="0" collapsed="false">
      <c r="A344" s="27"/>
      <c r="B344" s="1"/>
      <c r="C344" s="24" t="str">
        <f aca="false">IF(B344="","",IFERROR(INDEX(Patients!$B$2:$B$501,MATCH(B344,Patients!$A$2:$A$501,0))&amp;"",""))</f>
        <v/>
      </c>
      <c r="D344" s="1"/>
      <c r="E344" s="1"/>
      <c r="F344" s="1"/>
      <c r="G344" s="28"/>
      <c r="H344" s="1"/>
      <c r="I344" s="1"/>
      <c r="J344" s="29"/>
      <c r="K344" s="1"/>
      <c r="L344" s="20" t="str">
        <f aca="false">IF(E344="","",IFERROR(INDEX(Settings!$D$13:$D$32,MATCH(E344,Settings!$A$13:$A$32,0)),0)*IF(F344="",1,F344))</f>
        <v/>
      </c>
      <c r="M344" s="20" t="str">
        <f aca="false">IF(L344="","",IF(I344="",L344,L344*(1-IF(J344="",Settings!$B$6,J344))))</f>
        <v/>
      </c>
      <c r="N344" s="20" t="str">
        <f aca="false">IF(OR(L344="",I344=""),"",L344-M344)</f>
        <v/>
      </c>
      <c r="O344" s="1"/>
    </row>
    <row r="345" customFormat="false" ht="15" hidden="false" customHeight="false" outlineLevel="0" collapsed="false">
      <c r="A345" s="27"/>
      <c r="B345" s="1"/>
      <c r="C345" s="24" t="str">
        <f aca="false">IF(B345="","",IFERROR(INDEX(Patients!$B$2:$B$501,MATCH(B345,Patients!$A$2:$A$501,0))&amp;"",""))</f>
        <v/>
      </c>
      <c r="D345" s="1"/>
      <c r="E345" s="1"/>
      <c r="F345" s="1"/>
      <c r="G345" s="28"/>
      <c r="H345" s="1"/>
      <c r="I345" s="1"/>
      <c r="J345" s="29"/>
      <c r="K345" s="1"/>
      <c r="L345" s="20" t="str">
        <f aca="false">IF(E345="","",IFERROR(INDEX(Settings!$D$13:$D$32,MATCH(E345,Settings!$A$13:$A$32,0)),0)*IF(F345="",1,F345))</f>
        <v/>
      </c>
      <c r="M345" s="20" t="str">
        <f aca="false">IF(L345="","",IF(I345="",L345,L345*(1-IF(J345="",Settings!$B$6,J345))))</f>
        <v/>
      </c>
      <c r="N345" s="20" t="str">
        <f aca="false">IF(OR(L345="",I345=""),"",L345-M345)</f>
        <v/>
      </c>
      <c r="O345" s="1"/>
    </row>
    <row r="346" customFormat="false" ht="15" hidden="false" customHeight="false" outlineLevel="0" collapsed="false">
      <c r="A346" s="27"/>
      <c r="B346" s="1"/>
      <c r="C346" s="24" t="str">
        <f aca="false">IF(B346="","",IFERROR(INDEX(Patients!$B$2:$B$501,MATCH(B346,Patients!$A$2:$A$501,0))&amp;"",""))</f>
        <v/>
      </c>
      <c r="D346" s="1"/>
      <c r="E346" s="1"/>
      <c r="F346" s="1"/>
      <c r="G346" s="28"/>
      <c r="H346" s="1"/>
      <c r="I346" s="1"/>
      <c r="J346" s="29"/>
      <c r="K346" s="1"/>
      <c r="L346" s="20" t="str">
        <f aca="false">IF(E346="","",IFERROR(INDEX(Settings!$D$13:$D$32,MATCH(E346,Settings!$A$13:$A$32,0)),0)*IF(F346="",1,F346))</f>
        <v/>
      </c>
      <c r="M346" s="20" t="str">
        <f aca="false">IF(L346="","",IF(I346="",L346,L346*(1-IF(J346="",Settings!$B$6,J346))))</f>
        <v/>
      </c>
      <c r="N346" s="20" t="str">
        <f aca="false">IF(OR(L346="",I346=""),"",L346-M346)</f>
        <v/>
      </c>
      <c r="O346" s="1"/>
    </row>
    <row r="347" customFormat="false" ht="15" hidden="false" customHeight="false" outlineLevel="0" collapsed="false">
      <c r="A347" s="27"/>
      <c r="B347" s="1"/>
      <c r="C347" s="24" t="str">
        <f aca="false">IF(B347="","",IFERROR(INDEX(Patients!$B$2:$B$501,MATCH(B347,Patients!$A$2:$A$501,0))&amp;"",""))</f>
        <v/>
      </c>
      <c r="D347" s="1"/>
      <c r="E347" s="1"/>
      <c r="F347" s="1"/>
      <c r="G347" s="28"/>
      <c r="H347" s="1"/>
      <c r="I347" s="1"/>
      <c r="J347" s="29"/>
      <c r="K347" s="1"/>
      <c r="L347" s="20" t="str">
        <f aca="false">IF(E347="","",IFERROR(INDEX(Settings!$D$13:$D$32,MATCH(E347,Settings!$A$13:$A$32,0)),0)*IF(F347="",1,F347))</f>
        <v/>
      </c>
      <c r="M347" s="20" t="str">
        <f aca="false">IF(L347="","",IF(I347="",L347,L347*(1-IF(J347="",Settings!$B$6,J347))))</f>
        <v/>
      </c>
      <c r="N347" s="20" t="str">
        <f aca="false">IF(OR(L347="",I347=""),"",L347-M347)</f>
        <v/>
      </c>
      <c r="O347" s="1"/>
    </row>
    <row r="348" customFormat="false" ht="15" hidden="false" customHeight="false" outlineLevel="0" collapsed="false">
      <c r="A348" s="27"/>
      <c r="B348" s="1"/>
      <c r="C348" s="24" t="str">
        <f aca="false">IF(B348="","",IFERROR(INDEX(Patients!$B$2:$B$501,MATCH(B348,Patients!$A$2:$A$501,0))&amp;"",""))</f>
        <v/>
      </c>
      <c r="D348" s="1"/>
      <c r="E348" s="1"/>
      <c r="F348" s="1"/>
      <c r="G348" s="28"/>
      <c r="H348" s="1"/>
      <c r="I348" s="1"/>
      <c r="J348" s="29"/>
      <c r="K348" s="1"/>
      <c r="L348" s="20" t="str">
        <f aca="false">IF(E348="","",IFERROR(INDEX(Settings!$D$13:$D$32,MATCH(E348,Settings!$A$13:$A$32,0)),0)*IF(F348="",1,F348))</f>
        <v/>
      </c>
      <c r="M348" s="20" t="str">
        <f aca="false">IF(L348="","",IF(I348="",L348,L348*(1-IF(J348="",Settings!$B$6,J348))))</f>
        <v/>
      </c>
      <c r="N348" s="20" t="str">
        <f aca="false">IF(OR(L348="",I348=""),"",L348-M348)</f>
        <v/>
      </c>
      <c r="O348" s="1"/>
    </row>
    <row r="349" customFormat="false" ht="15" hidden="false" customHeight="false" outlineLevel="0" collapsed="false">
      <c r="A349" s="27"/>
      <c r="B349" s="1"/>
      <c r="C349" s="24" t="str">
        <f aca="false">IF(B349="","",IFERROR(INDEX(Patients!$B$2:$B$501,MATCH(B349,Patients!$A$2:$A$501,0))&amp;"",""))</f>
        <v/>
      </c>
      <c r="D349" s="1"/>
      <c r="E349" s="1"/>
      <c r="F349" s="1"/>
      <c r="G349" s="28"/>
      <c r="H349" s="1"/>
      <c r="I349" s="1"/>
      <c r="J349" s="29"/>
      <c r="K349" s="1"/>
      <c r="L349" s="20" t="str">
        <f aca="false">IF(E349="","",IFERROR(INDEX(Settings!$D$13:$D$32,MATCH(E349,Settings!$A$13:$A$32,0)),0)*IF(F349="",1,F349))</f>
        <v/>
      </c>
      <c r="M349" s="20" t="str">
        <f aca="false">IF(L349="","",IF(I349="",L349,L349*(1-IF(J349="",Settings!$B$6,J349))))</f>
        <v/>
      </c>
      <c r="N349" s="20" t="str">
        <f aca="false">IF(OR(L349="",I349=""),"",L349-M349)</f>
        <v/>
      </c>
      <c r="O349" s="1"/>
    </row>
    <row r="350" customFormat="false" ht="15" hidden="false" customHeight="false" outlineLevel="0" collapsed="false">
      <c r="A350" s="27"/>
      <c r="B350" s="1"/>
      <c r="C350" s="24" t="str">
        <f aca="false">IF(B350="","",IFERROR(INDEX(Patients!$B$2:$B$501,MATCH(B350,Patients!$A$2:$A$501,0))&amp;"",""))</f>
        <v/>
      </c>
      <c r="D350" s="1"/>
      <c r="E350" s="1"/>
      <c r="F350" s="1"/>
      <c r="G350" s="28"/>
      <c r="H350" s="1"/>
      <c r="I350" s="1"/>
      <c r="J350" s="29"/>
      <c r="K350" s="1"/>
      <c r="L350" s="20" t="str">
        <f aca="false">IF(E350="","",IFERROR(INDEX(Settings!$D$13:$D$32,MATCH(E350,Settings!$A$13:$A$32,0)),0)*IF(F350="",1,F350))</f>
        <v/>
      </c>
      <c r="M350" s="20" t="str">
        <f aca="false">IF(L350="","",IF(I350="",L350,L350*(1-IF(J350="",Settings!$B$6,J350))))</f>
        <v/>
      </c>
      <c r="N350" s="20" t="str">
        <f aca="false">IF(OR(L350="",I350=""),"",L350-M350)</f>
        <v/>
      </c>
      <c r="O350" s="1"/>
    </row>
    <row r="351" customFormat="false" ht="15" hidden="false" customHeight="false" outlineLevel="0" collapsed="false">
      <c r="A351" s="27"/>
      <c r="B351" s="1"/>
      <c r="C351" s="24" t="str">
        <f aca="false">IF(B351="","",IFERROR(INDEX(Patients!$B$2:$B$501,MATCH(B351,Patients!$A$2:$A$501,0))&amp;"",""))</f>
        <v/>
      </c>
      <c r="D351" s="1"/>
      <c r="E351" s="1"/>
      <c r="F351" s="1"/>
      <c r="G351" s="28"/>
      <c r="H351" s="1"/>
      <c r="I351" s="1"/>
      <c r="J351" s="29"/>
      <c r="K351" s="1"/>
      <c r="L351" s="20" t="str">
        <f aca="false">IF(E351="","",IFERROR(INDEX(Settings!$D$13:$D$32,MATCH(E351,Settings!$A$13:$A$32,0)),0)*IF(F351="",1,F351))</f>
        <v/>
      </c>
      <c r="M351" s="20" t="str">
        <f aca="false">IF(L351="","",IF(I351="",L351,L351*(1-IF(J351="",Settings!$B$6,J351))))</f>
        <v/>
      </c>
      <c r="N351" s="20" t="str">
        <f aca="false">IF(OR(L351="",I351=""),"",L351-M351)</f>
        <v/>
      </c>
      <c r="O351" s="1"/>
    </row>
    <row r="352" customFormat="false" ht="15" hidden="false" customHeight="false" outlineLevel="0" collapsed="false">
      <c r="A352" s="27"/>
      <c r="B352" s="1"/>
      <c r="C352" s="24" t="str">
        <f aca="false">IF(B352="","",IFERROR(INDEX(Patients!$B$2:$B$501,MATCH(B352,Patients!$A$2:$A$501,0))&amp;"",""))</f>
        <v/>
      </c>
      <c r="D352" s="1"/>
      <c r="E352" s="1"/>
      <c r="F352" s="1"/>
      <c r="G352" s="28"/>
      <c r="H352" s="1"/>
      <c r="I352" s="1"/>
      <c r="J352" s="29"/>
      <c r="K352" s="1"/>
      <c r="L352" s="20" t="str">
        <f aca="false">IF(E352="","",IFERROR(INDEX(Settings!$D$13:$D$32,MATCH(E352,Settings!$A$13:$A$32,0)),0)*IF(F352="",1,F352))</f>
        <v/>
      </c>
      <c r="M352" s="20" t="str">
        <f aca="false">IF(L352="","",IF(I352="",L352,L352*(1-IF(J352="",Settings!$B$6,J352))))</f>
        <v/>
      </c>
      <c r="N352" s="20" t="str">
        <f aca="false">IF(OR(L352="",I352=""),"",L352-M352)</f>
        <v/>
      </c>
      <c r="O352" s="1"/>
    </row>
    <row r="353" customFormat="false" ht="15" hidden="false" customHeight="false" outlineLevel="0" collapsed="false">
      <c r="A353" s="27"/>
      <c r="B353" s="1"/>
      <c r="C353" s="24" t="str">
        <f aca="false">IF(B353="","",IFERROR(INDEX(Patients!$B$2:$B$501,MATCH(B353,Patients!$A$2:$A$501,0))&amp;"",""))</f>
        <v/>
      </c>
      <c r="D353" s="1"/>
      <c r="E353" s="1"/>
      <c r="F353" s="1"/>
      <c r="G353" s="28"/>
      <c r="H353" s="1"/>
      <c r="I353" s="1"/>
      <c r="J353" s="29"/>
      <c r="K353" s="1"/>
      <c r="L353" s="20" t="str">
        <f aca="false">IF(E353="","",IFERROR(INDEX(Settings!$D$13:$D$32,MATCH(E353,Settings!$A$13:$A$32,0)),0)*IF(F353="",1,F353))</f>
        <v/>
      </c>
      <c r="M353" s="20" t="str">
        <f aca="false">IF(L353="","",IF(I353="",L353,L353*(1-IF(J353="",Settings!$B$6,J353))))</f>
        <v/>
      </c>
      <c r="N353" s="20" t="str">
        <f aca="false">IF(OR(L353="",I353=""),"",L353-M353)</f>
        <v/>
      </c>
      <c r="O353" s="1"/>
    </row>
    <row r="354" customFormat="false" ht="15" hidden="false" customHeight="false" outlineLevel="0" collapsed="false">
      <c r="A354" s="27"/>
      <c r="B354" s="1"/>
      <c r="C354" s="24" t="str">
        <f aca="false">IF(B354="","",IFERROR(INDEX(Patients!$B$2:$B$501,MATCH(B354,Patients!$A$2:$A$501,0))&amp;"",""))</f>
        <v/>
      </c>
      <c r="D354" s="1"/>
      <c r="E354" s="1"/>
      <c r="F354" s="1"/>
      <c r="G354" s="28"/>
      <c r="H354" s="1"/>
      <c r="I354" s="1"/>
      <c r="J354" s="29"/>
      <c r="K354" s="1"/>
      <c r="L354" s="20" t="str">
        <f aca="false">IF(E354="","",IFERROR(INDEX(Settings!$D$13:$D$32,MATCH(E354,Settings!$A$13:$A$32,0)),0)*IF(F354="",1,F354))</f>
        <v/>
      </c>
      <c r="M354" s="20" t="str">
        <f aca="false">IF(L354="","",IF(I354="",L354,L354*(1-IF(J354="",Settings!$B$6,J354))))</f>
        <v/>
      </c>
      <c r="N354" s="20" t="str">
        <f aca="false">IF(OR(L354="",I354=""),"",L354-M354)</f>
        <v/>
      </c>
      <c r="O354" s="1"/>
    </row>
    <row r="355" customFormat="false" ht="15" hidden="false" customHeight="false" outlineLevel="0" collapsed="false">
      <c r="A355" s="27"/>
      <c r="B355" s="1"/>
      <c r="C355" s="24" t="str">
        <f aca="false">IF(B355="","",IFERROR(INDEX(Patients!$B$2:$B$501,MATCH(B355,Patients!$A$2:$A$501,0))&amp;"",""))</f>
        <v/>
      </c>
      <c r="D355" s="1"/>
      <c r="E355" s="1"/>
      <c r="F355" s="1"/>
      <c r="G355" s="28"/>
      <c r="H355" s="1"/>
      <c r="I355" s="1"/>
      <c r="J355" s="29"/>
      <c r="K355" s="1"/>
      <c r="L355" s="20" t="str">
        <f aca="false">IF(E355="","",IFERROR(INDEX(Settings!$D$13:$D$32,MATCH(E355,Settings!$A$13:$A$32,0)),0)*IF(F355="",1,F355))</f>
        <v/>
      </c>
      <c r="M355" s="20" t="str">
        <f aca="false">IF(L355="","",IF(I355="",L355,L355*(1-IF(J355="",Settings!$B$6,J355))))</f>
        <v/>
      </c>
      <c r="N355" s="20" t="str">
        <f aca="false">IF(OR(L355="",I355=""),"",L355-M355)</f>
        <v/>
      </c>
      <c r="O355" s="1"/>
    </row>
    <row r="356" customFormat="false" ht="15" hidden="false" customHeight="false" outlineLevel="0" collapsed="false">
      <c r="A356" s="27"/>
      <c r="B356" s="1"/>
      <c r="C356" s="24" t="str">
        <f aca="false">IF(B356="","",IFERROR(INDEX(Patients!$B$2:$B$501,MATCH(B356,Patients!$A$2:$A$501,0))&amp;"",""))</f>
        <v/>
      </c>
      <c r="D356" s="1"/>
      <c r="E356" s="1"/>
      <c r="F356" s="1"/>
      <c r="G356" s="28"/>
      <c r="H356" s="1"/>
      <c r="I356" s="1"/>
      <c r="J356" s="29"/>
      <c r="K356" s="1"/>
      <c r="L356" s="20" t="str">
        <f aca="false">IF(E356="","",IFERROR(INDEX(Settings!$D$13:$D$32,MATCH(E356,Settings!$A$13:$A$32,0)),0)*IF(F356="",1,F356))</f>
        <v/>
      </c>
      <c r="M356" s="20" t="str">
        <f aca="false">IF(L356="","",IF(I356="",L356,L356*(1-IF(J356="",Settings!$B$6,J356))))</f>
        <v/>
      </c>
      <c r="N356" s="20" t="str">
        <f aca="false">IF(OR(L356="",I356=""),"",L356-M356)</f>
        <v/>
      </c>
      <c r="O356" s="1"/>
    </row>
    <row r="357" customFormat="false" ht="15" hidden="false" customHeight="false" outlineLevel="0" collapsed="false">
      <c r="A357" s="27"/>
      <c r="B357" s="1"/>
      <c r="C357" s="24" t="str">
        <f aca="false">IF(B357="","",IFERROR(INDEX(Patients!$B$2:$B$501,MATCH(B357,Patients!$A$2:$A$501,0))&amp;"",""))</f>
        <v/>
      </c>
      <c r="D357" s="1"/>
      <c r="E357" s="1"/>
      <c r="F357" s="1"/>
      <c r="G357" s="28"/>
      <c r="H357" s="1"/>
      <c r="I357" s="1"/>
      <c r="J357" s="29"/>
      <c r="K357" s="1"/>
      <c r="L357" s="20" t="str">
        <f aca="false">IF(E357="","",IFERROR(INDEX(Settings!$D$13:$D$32,MATCH(E357,Settings!$A$13:$A$32,0)),0)*IF(F357="",1,F357))</f>
        <v/>
      </c>
      <c r="M357" s="20" t="str">
        <f aca="false">IF(L357="","",IF(I357="",L357,L357*(1-IF(J357="",Settings!$B$6,J357))))</f>
        <v/>
      </c>
      <c r="N357" s="20" t="str">
        <f aca="false">IF(OR(L357="",I357=""),"",L357-M357)</f>
        <v/>
      </c>
      <c r="O357" s="1"/>
    </row>
    <row r="358" customFormat="false" ht="15" hidden="false" customHeight="false" outlineLevel="0" collapsed="false">
      <c r="A358" s="27"/>
      <c r="B358" s="1"/>
      <c r="C358" s="24" t="str">
        <f aca="false">IF(B358="","",IFERROR(INDEX(Patients!$B$2:$B$501,MATCH(B358,Patients!$A$2:$A$501,0))&amp;"",""))</f>
        <v/>
      </c>
      <c r="D358" s="1"/>
      <c r="E358" s="1"/>
      <c r="F358" s="1"/>
      <c r="G358" s="28"/>
      <c r="H358" s="1"/>
      <c r="I358" s="1"/>
      <c r="J358" s="29"/>
      <c r="K358" s="1"/>
      <c r="L358" s="20" t="str">
        <f aca="false">IF(E358="","",IFERROR(INDEX(Settings!$D$13:$D$32,MATCH(E358,Settings!$A$13:$A$32,0)),0)*IF(F358="",1,F358))</f>
        <v/>
      </c>
      <c r="M358" s="20" t="str">
        <f aca="false">IF(L358="","",IF(I358="",L358,L358*(1-IF(J358="",Settings!$B$6,J358))))</f>
        <v/>
      </c>
      <c r="N358" s="20" t="str">
        <f aca="false">IF(OR(L358="",I358=""),"",L358-M358)</f>
        <v/>
      </c>
      <c r="O358" s="1"/>
    </row>
    <row r="359" customFormat="false" ht="15" hidden="false" customHeight="false" outlineLevel="0" collapsed="false">
      <c r="A359" s="27"/>
      <c r="B359" s="1"/>
      <c r="C359" s="24" t="str">
        <f aca="false">IF(B359="","",IFERROR(INDEX(Patients!$B$2:$B$501,MATCH(B359,Patients!$A$2:$A$501,0))&amp;"",""))</f>
        <v/>
      </c>
      <c r="D359" s="1"/>
      <c r="E359" s="1"/>
      <c r="F359" s="1"/>
      <c r="G359" s="28"/>
      <c r="H359" s="1"/>
      <c r="I359" s="1"/>
      <c r="J359" s="29"/>
      <c r="K359" s="1"/>
      <c r="L359" s="20" t="str">
        <f aca="false">IF(E359="","",IFERROR(INDEX(Settings!$D$13:$D$32,MATCH(E359,Settings!$A$13:$A$32,0)),0)*IF(F359="",1,F359))</f>
        <v/>
      </c>
      <c r="M359" s="20" t="str">
        <f aca="false">IF(L359="","",IF(I359="",L359,L359*(1-IF(J359="",Settings!$B$6,J359))))</f>
        <v/>
      </c>
      <c r="N359" s="20" t="str">
        <f aca="false">IF(OR(L359="",I359=""),"",L359-M359)</f>
        <v/>
      </c>
      <c r="O359" s="1"/>
    </row>
    <row r="360" customFormat="false" ht="15" hidden="false" customHeight="false" outlineLevel="0" collapsed="false">
      <c r="A360" s="27"/>
      <c r="B360" s="1"/>
      <c r="C360" s="24" t="str">
        <f aca="false">IF(B360="","",IFERROR(INDEX(Patients!$B$2:$B$501,MATCH(B360,Patients!$A$2:$A$501,0))&amp;"",""))</f>
        <v/>
      </c>
      <c r="D360" s="1"/>
      <c r="E360" s="1"/>
      <c r="F360" s="1"/>
      <c r="G360" s="28"/>
      <c r="H360" s="1"/>
      <c r="I360" s="1"/>
      <c r="J360" s="29"/>
      <c r="K360" s="1"/>
      <c r="L360" s="20" t="str">
        <f aca="false">IF(E360="","",IFERROR(INDEX(Settings!$D$13:$D$32,MATCH(E360,Settings!$A$13:$A$32,0)),0)*IF(F360="",1,F360))</f>
        <v/>
      </c>
      <c r="M360" s="20" t="str">
        <f aca="false">IF(L360="","",IF(I360="",L360,L360*(1-IF(J360="",Settings!$B$6,J360))))</f>
        <v/>
      </c>
      <c r="N360" s="20" t="str">
        <f aca="false">IF(OR(L360="",I360=""),"",L360-M360)</f>
        <v/>
      </c>
      <c r="O360" s="1"/>
    </row>
    <row r="361" customFormat="false" ht="15" hidden="false" customHeight="false" outlineLevel="0" collapsed="false">
      <c r="A361" s="27"/>
      <c r="B361" s="1"/>
      <c r="C361" s="24" t="str">
        <f aca="false">IF(B361="","",IFERROR(INDEX(Patients!$B$2:$B$501,MATCH(B361,Patients!$A$2:$A$501,0))&amp;"",""))</f>
        <v/>
      </c>
      <c r="D361" s="1"/>
      <c r="E361" s="1"/>
      <c r="F361" s="1"/>
      <c r="G361" s="28"/>
      <c r="H361" s="1"/>
      <c r="I361" s="1"/>
      <c r="J361" s="29"/>
      <c r="K361" s="1"/>
      <c r="L361" s="20" t="str">
        <f aca="false">IF(E361="","",IFERROR(INDEX(Settings!$D$13:$D$32,MATCH(E361,Settings!$A$13:$A$32,0)),0)*IF(F361="",1,F361))</f>
        <v/>
      </c>
      <c r="M361" s="20" t="str">
        <f aca="false">IF(L361="","",IF(I361="",L361,L361*(1-IF(J361="",Settings!$B$6,J361))))</f>
        <v/>
      </c>
      <c r="N361" s="20" t="str">
        <f aca="false">IF(OR(L361="",I361=""),"",L361-M361)</f>
        <v/>
      </c>
      <c r="O361" s="1"/>
    </row>
    <row r="362" customFormat="false" ht="15" hidden="false" customHeight="false" outlineLevel="0" collapsed="false">
      <c r="A362" s="27"/>
      <c r="B362" s="1"/>
      <c r="C362" s="24" t="str">
        <f aca="false">IF(B362="","",IFERROR(INDEX(Patients!$B$2:$B$501,MATCH(B362,Patients!$A$2:$A$501,0))&amp;"",""))</f>
        <v/>
      </c>
      <c r="D362" s="1"/>
      <c r="E362" s="1"/>
      <c r="F362" s="1"/>
      <c r="G362" s="28"/>
      <c r="H362" s="1"/>
      <c r="I362" s="1"/>
      <c r="J362" s="29"/>
      <c r="K362" s="1"/>
      <c r="L362" s="20" t="str">
        <f aca="false">IF(E362="","",IFERROR(INDEX(Settings!$D$13:$D$32,MATCH(E362,Settings!$A$13:$A$32,0)),0)*IF(F362="",1,F362))</f>
        <v/>
      </c>
      <c r="M362" s="20" t="str">
        <f aca="false">IF(L362="","",IF(I362="",L362,L362*(1-IF(J362="",Settings!$B$6,J362))))</f>
        <v/>
      </c>
      <c r="N362" s="20" t="str">
        <f aca="false">IF(OR(L362="",I362=""),"",L362-M362)</f>
        <v/>
      </c>
      <c r="O362" s="1"/>
    </row>
    <row r="363" customFormat="false" ht="15" hidden="false" customHeight="false" outlineLevel="0" collapsed="false">
      <c r="A363" s="27"/>
      <c r="B363" s="1"/>
      <c r="C363" s="24" t="str">
        <f aca="false">IF(B363="","",IFERROR(INDEX(Patients!$B$2:$B$501,MATCH(B363,Patients!$A$2:$A$501,0))&amp;"",""))</f>
        <v/>
      </c>
      <c r="D363" s="1"/>
      <c r="E363" s="1"/>
      <c r="F363" s="1"/>
      <c r="G363" s="28"/>
      <c r="H363" s="1"/>
      <c r="I363" s="1"/>
      <c r="J363" s="29"/>
      <c r="K363" s="1"/>
      <c r="L363" s="20" t="str">
        <f aca="false">IF(E363="","",IFERROR(INDEX(Settings!$D$13:$D$32,MATCH(E363,Settings!$A$13:$A$32,0)),0)*IF(F363="",1,F363))</f>
        <v/>
      </c>
      <c r="M363" s="20" t="str">
        <f aca="false">IF(L363="","",IF(I363="",L363,L363*(1-IF(J363="",Settings!$B$6,J363))))</f>
        <v/>
      </c>
      <c r="N363" s="20" t="str">
        <f aca="false">IF(OR(L363="",I363=""),"",L363-M363)</f>
        <v/>
      </c>
      <c r="O363" s="1"/>
    </row>
    <row r="364" customFormat="false" ht="15" hidden="false" customHeight="false" outlineLevel="0" collapsed="false">
      <c r="A364" s="27"/>
      <c r="B364" s="1"/>
      <c r="C364" s="24" t="str">
        <f aca="false">IF(B364="","",IFERROR(INDEX(Patients!$B$2:$B$501,MATCH(B364,Patients!$A$2:$A$501,0))&amp;"",""))</f>
        <v/>
      </c>
      <c r="D364" s="1"/>
      <c r="E364" s="1"/>
      <c r="F364" s="1"/>
      <c r="G364" s="28"/>
      <c r="H364" s="1"/>
      <c r="I364" s="1"/>
      <c r="J364" s="29"/>
      <c r="K364" s="1"/>
      <c r="L364" s="20" t="str">
        <f aca="false">IF(E364="","",IFERROR(INDEX(Settings!$D$13:$D$32,MATCH(E364,Settings!$A$13:$A$32,0)),0)*IF(F364="",1,F364))</f>
        <v/>
      </c>
      <c r="M364" s="20" t="str">
        <f aca="false">IF(L364="","",IF(I364="",L364,L364*(1-IF(J364="",Settings!$B$6,J364))))</f>
        <v/>
      </c>
      <c r="N364" s="20" t="str">
        <f aca="false">IF(OR(L364="",I364=""),"",L364-M364)</f>
        <v/>
      </c>
      <c r="O364" s="1"/>
    </row>
    <row r="365" customFormat="false" ht="15" hidden="false" customHeight="false" outlineLevel="0" collapsed="false">
      <c r="A365" s="27"/>
      <c r="B365" s="1"/>
      <c r="C365" s="24" t="str">
        <f aca="false">IF(B365="","",IFERROR(INDEX(Patients!$B$2:$B$501,MATCH(B365,Patients!$A$2:$A$501,0))&amp;"",""))</f>
        <v/>
      </c>
      <c r="D365" s="1"/>
      <c r="E365" s="1"/>
      <c r="F365" s="1"/>
      <c r="G365" s="28"/>
      <c r="H365" s="1"/>
      <c r="I365" s="1"/>
      <c r="J365" s="29"/>
      <c r="K365" s="1"/>
      <c r="L365" s="20" t="str">
        <f aca="false">IF(E365="","",IFERROR(INDEX(Settings!$D$13:$D$32,MATCH(E365,Settings!$A$13:$A$32,0)),0)*IF(F365="",1,F365))</f>
        <v/>
      </c>
      <c r="M365" s="20" t="str">
        <f aca="false">IF(L365="","",IF(I365="",L365,L365*(1-IF(J365="",Settings!$B$6,J365))))</f>
        <v/>
      </c>
      <c r="N365" s="20" t="str">
        <f aca="false">IF(OR(L365="",I365=""),"",L365-M365)</f>
        <v/>
      </c>
      <c r="O365" s="1"/>
    </row>
    <row r="366" customFormat="false" ht="15" hidden="false" customHeight="false" outlineLevel="0" collapsed="false">
      <c r="A366" s="27"/>
      <c r="B366" s="1"/>
      <c r="C366" s="24" t="str">
        <f aca="false">IF(B366="","",IFERROR(INDEX(Patients!$B$2:$B$501,MATCH(B366,Patients!$A$2:$A$501,0))&amp;"",""))</f>
        <v/>
      </c>
      <c r="D366" s="1"/>
      <c r="E366" s="1"/>
      <c r="F366" s="1"/>
      <c r="G366" s="28"/>
      <c r="H366" s="1"/>
      <c r="I366" s="1"/>
      <c r="J366" s="29"/>
      <c r="K366" s="1"/>
      <c r="L366" s="20" t="str">
        <f aca="false">IF(E366="","",IFERROR(INDEX(Settings!$D$13:$D$32,MATCH(E366,Settings!$A$13:$A$32,0)),0)*IF(F366="",1,F366))</f>
        <v/>
      </c>
      <c r="M366" s="20" t="str">
        <f aca="false">IF(L366="","",IF(I366="",L366,L366*(1-IF(J366="",Settings!$B$6,J366))))</f>
        <v/>
      </c>
      <c r="N366" s="20" t="str">
        <f aca="false">IF(OR(L366="",I366=""),"",L366-M366)</f>
        <v/>
      </c>
      <c r="O366" s="1"/>
    </row>
    <row r="367" customFormat="false" ht="15" hidden="false" customHeight="false" outlineLevel="0" collapsed="false">
      <c r="A367" s="27"/>
      <c r="B367" s="1"/>
      <c r="C367" s="24" t="str">
        <f aca="false">IF(B367="","",IFERROR(INDEX(Patients!$B$2:$B$501,MATCH(B367,Patients!$A$2:$A$501,0))&amp;"",""))</f>
        <v/>
      </c>
      <c r="D367" s="1"/>
      <c r="E367" s="1"/>
      <c r="F367" s="1"/>
      <c r="G367" s="28"/>
      <c r="H367" s="1"/>
      <c r="I367" s="1"/>
      <c r="J367" s="29"/>
      <c r="K367" s="1"/>
      <c r="L367" s="20" t="str">
        <f aca="false">IF(E367="","",IFERROR(INDEX(Settings!$D$13:$D$32,MATCH(E367,Settings!$A$13:$A$32,0)),0)*IF(F367="",1,F367))</f>
        <v/>
      </c>
      <c r="M367" s="20" t="str">
        <f aca="false">IF(L367="","",IF(I367="",L367,L367*(1-IF(J367="",Settings!$B$6,J367))))</f>
        <v/>
      </c>
      <c r="N367" s="20" t="str">
        <f aca="false">IF(OR(L367="",I367=""),"",L367-M367)</f>
        <v/>
      </c>
      <c r="O367" s="1"/>
    </row>
    <row r="368" customFormat="false" ht="15" hidden="false" customHeight="false" outlineLevel="0" collapsed="false">
      <c r="A368" s="27"/>
      <c r="B368" s="1"/>
      <c r="C368" s="24" t="str">
        <f aca="false">IF(B368="","",IFERROR(INDEX(Patients!$B$2:$B$501,MATCH(B368,Patients!$A$2:$A$501,0))&amp;"",""))</f>
        <v/>
      </c>
      <c r="D368" s="1"/>
      <c r="E368" s="1"/>
      <c r="F368" s="1"/>
      <c r="G368" s="28"/>
      <c r="H368" s="1"/>
      <c r="I368" s="1"/>
      <c r="J368" s="29"/>
      <c r="K368" s="1"/>
      <c r="L368" s="20" t="str">
        <f aca="false">IF(E368="","",IFERROR(INDEX(Settings!$D$13:$D$32,MATCH(E368,Settings!$A$13:$A$32,0)),0)*IF(F368="",1,F368))</f>
        <v/>
      </c>
      <c r="M368" s="20" t="str">
        <f aca="false">IF(L368="","",IF(I368="",L368,L368*(1-IF(J368="",Settings!$B$6,J368))))</f>
        <v/>
      </c>
      <c r="N368" s="20" t="str">
        <f aca="false">IF(OR(L368="",I368=""),"",L368-M368)</f>
        <v/>
      </c>
      <c r="O368" s="1"/>
    </row>
    <row r="369" customFormat="false" ht="15" hidden="false" customHeight="false" outlineLevel="0" collapsed="false">
      <c r="A369" s="27"/>
      <c r="B369" s="1"/>
      <c r="C369" s="24" t="str">
        <f aca="false">IF(B369="","",IFERROR(INDEX(Patients!$B$2:$B$501,MATCH(B369,Patients!$A$2:$A$501,0))&amp;"",""))</f>
        <v/>
      </c>
      <c r="D369" s="1"/>
      <c r="E369" s="1"/>
      <c r="F369" s="1"/>
      <c r="G369" s="28"/>
      <c r="H369" s="1"/>
      <c r="I369" s="1"/>
      <c r="J369" s="29"/>
      <c r="K369" s="1"/>
      <c r="L369" s="20" t="str">
        <f aca="false">IF(E369="","",IFERROR(INDEX(Settings!$D$13:$D$32,MATCH(E369,Settings!$A$13:$A$32,0)),0)*IF(F369="",1,F369))</f>
        <v/>
      </c>
      <c r="M369" s="20" t="str">
        <f aca="false">IF(L369="","",IF(I369="",L369,L369*(1-IF(J369="",Settings!$B$6,J369))))</f>
        <v/>
      </c>
      <c r="N369" s="20" t="str">
        <f aca="false">IF(OR(L369="",I369=""),"",L369-M369)</f>
        <v/>
      </c>
      <c r="O369" s="1"/>
    </row>
    <row r="370" customFormat="false" ht="15" hidden="false" customHeight="false" outlineLevel="0" collapsed="false">
      <c r="A370" s="27"/>
      <c r="B370" s="1"/>
      <c r="C370" s="24" t="str">
        <f aca="false">IF(B370="","",IFERROR(INDEX(Patients!$B$2:$B$501,MATCH(B370,Patients!$A$2:$A$501,0))&amp;"",""))</f>
        <v/>
      </c>
      <c r="D370" s="1"/>
      <c r="E370" s="1"/>
      <c r="F370" s="1"/>
      <c r="G370" s="28"/>
      <c r="H370" s="1"/>
      <c r="I370" s="1"/>
      <c r="J370" s="29"/>
      <c r="K370" s="1"/>
      <c r="L370" s="20" t="str">
        <f aca="false">IF(E370="","",IFERROR(INDEX(Settings!$D$13:$D$32,MATCH(E370,Settings!$A$13:$A$32,0)),0)*IF(F370="",1,F370))</f>
        <v/>
      </c>
      <c r="M370" s="20" t="str">
        <f aca="false">IF(L370="","",IF(I370="",L370,L370*(1-IF(J370="",Settings!$B$6,J370))))</f>
        <v/>
      </c>
      <c r="N370" s="20" t="str">
        <f aca="false">IF(OR(L370="",I370=""),"",L370-M370)</f>
        <v/>
      </c>
      <c r="O370" s="1"/>
    </row>
    <row r="371" customFormat="false" ht="15" hidden="false" customHeight="false" outlineLevel="0" collapsed="false">
      <c r="A371" s="27"/>
      <c r="B371" s="1"/>
      <c r="C371" s="24" t="str">
        <f aca="false">IF(B371="","",IFERROR(INDEX(Patients!$B$2:$B$501,MATCH(B371,Patients!$A$2:$A$501,0))&amp;"",""))</f>
        <v/>
      </c>
      <c r="D371" s="1"/>
      <c r="E371" s="1"/>
      <c r="F371" s="1"/>
      <c r="G371" s="28"/>
      <c r="H371" s="1"/>
      <c r="I371" s="1"/>
      <c r="J371" s="29"/>
      <c r="K371" s="1"/>
      <c r="L371" s="20" t="str">
        <f aca="false">IF(E371="","",IFERROR(INDEX(Settings!$D$13:$D$32,MATCH(E371,Settings!$A$13:$A$32,0)),0)*IF(F371="",1,F371))</f>
        <v/>
      </c>
      <c r="M371" s="20" t="str">
        <f aca="false">IF(L371="","",IF(I371="",L371,L371*(1-IF(J371="",Settings!$B$6,J371))))</f>
        <v/>
      </c>
      <c r="N371" s="20" t="str">
        <f aca="false">IF(OR(L371="",I371=""),"",L371-M371)</f>
        <v/>
      </c>
      <c r="O371" s="1"/>
    </row>
    <row r="372" customFormat="false" ht="15" hidden="false" customHeight="false" outlineLevel="0" collapsed="false">
      <c r="A372" s="27"/>
      <c r="B372" s="1"/>
      <c r="C372" s="24" t="str">
        <f aca="false">IF(B372="","",IFERROR(INDEX(Patients!$B$2:$B$501,MATCH(B372,Patients!$A$2:$A$501,0))&amp;"",""))</f>
        <v/>
      </c>
      <c r="D372" s="1"/>
      <c r="E372" s="1"/>
      <c r="F372" s="1"/>
      <c r="G372" s="28"/>
      <c r="H372" s="1"/>
      <c r="I372" s="1"/>
      <c r="J372" s="29"/>
      <c r="K372" s="1"/>
      <c r="L372" s="20" t="str">
        <f aca="false">IF(E372="","",IFERROR(INDEX(Settings!$D$13:$D$32,MATCH(E372,Settings!$A$13:$A$32,0)),0)*IF(F372="",1,F372))</f>
        <v/>
      </c>
      <c r="M372" s="20" t="str">
        <f aca="false">IF(L372="","",IF(I372="",L372,L372*(1-IF(J372="",Settings!$B$6,J372))))</f>
        <v/>
      </c>
      <c r="N372" s="20" t="str">
        <f aca="false">IF(OR(L372="",I372=""),"",L372-M372)</f>
        <v/>
      </c>
      <c r="O372" s="1"/>
    </row>
    <row r="373" customFormat="false" ht="15" hidden="false" customHeight="false" outlineLevel="0" collapsed="false">
      <c r="A373" s="27"/>
      <c r="B373" s="1"/>
      <c r="C373" s="24" t="str">
        <f aca="false">IF(B373="","",IFERROR(INDEX(Patients!$B$2:$B$501,MATCH(B373,Patients!$A$2:$A$501,0))&amp;"",""))</f>
        <v/>
      </c>
      <c r="D373" s="1"/>
      <c r="E373" s="1"/>
      <c r="F373" s="1"/>
      <c r="G373" s="28"/>
      <c r="H373" s="1"/>
      <c r="I373" s="1"/>
      <c r="J373" s="29"/>
      <c r="K373" s="1"/>
      <c r="L373" s="20" t="str">
        <f aca="false">IF(E373="","",IFERROR(INDEX(Settings!$D$13:$D$32,MATCH(E373,Settings!$A$13:$A$32,0)),0)*IF(F373="",1,F373))</f>
        <v/>
      </c>
      <c r="M373" s="20" t="str">
        <f aca="false">IF(L373="","",IF(I373="",L373,L373*(1-IF(J373="",Settings!$B$6,J373))))</f>
        <v/>
      </c>
      <c r="N373" s="20" t="str">
        <f aca="false">IF(OR(L373="",I373=""),"",L373-M373)</f>
        <v/>
      </c>
      <c r="O373" s="1"/>
    </row>
    <row r="374" customFormat="false" ht="15" hidden="false" customHeight="false" outlineLevel="0" collapsed="false">
      <c r="A374" s="27"/>
      <c r="B374" s="1"/>
      <c r="C374" s="24" t="str">
        <f aca="false">IF(B374="","",IFERROR(INDEX(Patients!$B$2:$B$501,MATCH(B374,Patients!$A$2:$A$501,0))&amp;"",""))</f>
        <v/>
      </c>
      <c r="D374" s="1"/>
      <c r="E374" s="1"/>
      <c r="F374" s="1"/>
      <c r="G374" s="28"/>
      <c r="H374" s="1"/>
      <c r="I374" s="1"/>
      <c r="J374" s="29"/>
      <c r="K374" s="1"/>
      <c r="L374" s="20" t="str">
        <f aca="false">IF(E374="","",IFERROR(INDEX(Settings!$D$13:$D$32,MATCH(E374,Settings!$A$13:$A$32,0)),0)*IF(F374="",1,F374))</f>
        <v/>
      </c>
      <c r="M374" s="20" t="str">
        <f aca="false">IF(L374="","",IF(I374="",L374,L374*(1-IF(J374="",Settings!$B$6,J374))))</f>
        <v/>
      </c>
      <c r="N374" s="20" t="str">
        <f aca="false">IF(OR(L374="",I374=""),"",L374-M374)</f>
        <v/>
      </c>
      <c r="O374" s="1"/>
    </row>
    <row r="375" customFormat="false" ht="15" hidden="false" customHeight="false" outlineLevel="0" collapsed="false">
      <c r="A375" s="27"/>
      <c r="B375" s="1"/>
      <c r="C375" s="24" t="str">
        <f aca="false">IF(B375="","",IFERROR(INDEX(Patients!$B$2:$B$501,MATCH(B375,Patients!$A$2:$A$501,0))&amp;"",""))</f>
        <v/>
      </c>
      <c r="D375" s="1"/>
      <c r="E375" s="1"/>
      <c r="F375" s="1"/>
      <c r="G375" s="28"/>
      <c r="H375" s="1"/>
      <c r="I375" s="1"/>
      <c r="J375" s="29"/>
      <c r="K375" s="1"/>
      <c r="L375" s="20" t="str">
        <f aca="false">IF(E375="","",IFERROR(INDEX(Settings!$D$13:$D$32,MATCH(E375,Settings!$A$13:$A$32,0)),0)*IF(F375="",1,F375))</f>
        <v/>
      </c>
      <c r="M375" s="20" t="str">
        <f aca="false">IF(L375="","",IF(I375="",L375,L375*(1-IF(J375="",Settings!$B$6,J375))))</f>
        <v/>
      </c>
      <c r="N375" s="20" t="str">
        <f aca="false">IF(OR(L375="",I375=""),"",L375-M375)</f>
        <v/>
      </c>
      <c r="O375" s="1"/>
    </row>
    <row r="376" customFormat="false" ht="15" hidden="false" customHeight="false" outlineLevel="0" collapsed="false">
      <c r="A376" s="27"/>
      <c r="B376" s="1"/>
      <c r="C376" s="24" t="str">
        <f aca="false">IF(B376="","",IFERROR(INDEX(Patients!$B$2:$B$501,MATCH(B376,Patients!$A$2:$A$501,0))&amp;"",""))</f>
        <v/>
      </c>
      <c r="D376" s="1"/>
      <c r="E376" s="1"/>
      <c r="F376" s="1"/>
      <c r="G376" s="28"/>
      <c r="H376" s="1"/>
      <c r="I376" s="1"/>
      <c r="J376" s="29"/>
      <c r="K376" s="1"/>
      <c r="L376" s="20" t="str">
        <f aca="false">IF(E376="","",IFERROR(INDEX(Settings!$D$13:$D$32,MATCH(E376,Settings!$A$13:$A$32,0)),0)*IF(F376="",1,F376))</f>
        <v/>
      </c>
      <c r="M376" s="20" t="str">
        <f aca="false">IF(L376="","",IF(I376="",L376,L376*(1-IF(J376="",Settings!$B$6,J376))))</f>
        <v/>
      </c>
      <c r="N376" s="20" t="str">
        <f aca="false">IF(OR(L376="",I376=""),"",L376-M376)</f>
        <v/>
      </c>
      <c r="O376" s="1"/>
    </row>
    <row r="377" customFormat="false" ht="15" hidden="false" customHeight="false" outlineLevel="0" collapsed="false">
      <c r="A377" s="27"/>
      <c r="B377" s="1"/>
      <c r="C377" s="24" t="str">
        <f aca="false">IF(B377="","",IFERROR(INDEX(Patients!$B$2:$B$501,MATCH(B377,Patients!$A$2:$A$501,0))&amp;"",""))</f>
        <v/>
      </c>
      <c r="D377" s="1"/>
      <c r="E377" s="1"/>
      <c r="F377" s="1"/>
      <c r="G377" s="28"/>
      <c r="H377" s="1"/>
      <c r="I377" s="1"/>
      <c r="J377" s="29"/>
      <c r="K377" s="1"/>
      <c r="L377" s="20" t="str">
        <f aca="false">IF(E377="","",IFERROR(INDEX(Settings!$D$13:$D$32,MATCH(E377,Settings!$A$13:$A$32,0)),0)*IF(F377="",1,F377))</f>
        <v/>
      </c>
      <c r="M377" s="20" t="str">
        <f aca="false">IF(L377="","",IF(I377="",L377,L377*(1-IF(J377="",Settings!$B$6,J377))))</f>
        <v/>
      </c>
      <c r="N377" s="20" t="str">
        <f aca="false">IF(OR(L377="",I377=""),"",L377-M377)</f>
        <v/>
      </c>
      <c r="O377" s="1"/>
    </row>
    <row r="378" customFormat="false" ht="15" hidden="false" customHeight="false" outlineLevel="0" collapsed="false">
      <c r="A378" s="27"/>
      <c r="B378" s="1"/>
      <c r="C378" s="24" t="str">
        <f aca="false">IF(B378="","",IFERROR(INDEX(Patients!$B$2:$B$501,MATCH(B378,Patients!$A$2:$A$501,0))&amp;"",""))</f>
        <v/>
      </c>
      <c r="D378" s="1"/>
      <c r="E378" s="1"/>
      <c r="F378" s="1"/>
      <c r="G378" s="28"/>
      <c r="H378" s="1"/>
      <c r="I378" s="1"/>
      <c r="J378" s="29"/>
      <c r="K378" s="1"/>
      <c r="L378" s="20" t="str">
        <f aca="false">IF(E378="","",IFERROR(INDEX(Settings!$D$13:$D$32,MATCH(E378,Settings!$A$13:$A$32,0)),0)*IF(F378="",1,F378))</f>
        <v/>
      </c>
      <c r="M378" s="20" t="str">
        <f aca="false">IF(L378="","",IF(I378="",L378,L378*(1-IF(J378="",Settings!$B$6,J378))))</f>
        <v/>
      </c>
      <c r="N378" s="20" t="str">
        <f aca="false">IF(OR(L378="",I378=""),"",L378-M378)</f>
        <v/>
      </c>
      <c r="O378" s="1"/>
    </row>
    <row r="379" customFormat="false" ht="15" hidden="false" customHeight="false" outlineLevel="0" collapsed="false">
      <c r="A379" s="27"/>
      <c r="B379" s="1"/>
      <c r="C379" s="24" t="str">
        <f aca="false">IF(B379="","",IFERROR(INDEX(Patients!$B$2:$B$501,MATCH(B379,Patients!$A$2:$A$501,0))&amp;"",""))</f>
        <v/>
      </c>
      <c r="D379" s="1"/>
      <c r="E379" s="1"/>
      <c r="F379" s="1"/>
      <c r="G379" s="28"/>
      <c r="H379" s="1"/>
      <c r="I379" s="1"/>
      <c r="J379" s="29"/>
      <c r="K379" s="1"/>
      <c r="L379" s="20" t="str">
        <f aca="false">IF(E379="","",IFERROR(INDEX(Settings!$D$13:$D$32,MATCH(E379,Settings!$A$13:$A$32,0)),0)*IF(F379="",1,F379))</f>
        <v/>
      </c>
      <c r="M379" s="20" t="str">
        <f aca="false">IF(L379="","",IF(I379="",L379,L379*(1-IF(J379="",Settings!$B$6,J379))))</f>
        <v/>
      </c>
      <c r="N379" s="20" t="str">
        <f aca="false">IF(OR(L379="",I379=""),"",L379-M379)</f>
        <v/>
      </c>
      <c r="O379" s="1"/>
    </row>
    <row r="380" customFormat="false" ht="15" hidden="false" customHeight="false" outlineLevel="0" collapsed="false">
      <c r="A380" s="27"/>
      <c r="B380" s="1"/>
      <c r="C380" s="24" t="str">
        <f aca="false">IF(B380="","",IFERROR(INDEX(Patients!$B$2:$B$501,MATCH(B380,Patients!$A$2:$A$501,0))&amp;"",""))</f>
        <v/>
      </c>
      <c r="D380" s="1"/>
      <c r="E380" s="1"/>
      <c r="F380" s="1"/>
      <c r="G380" s="28"/>
      <c r="H380" s="1"/>
      <c r="I380" s="1"/>
      <c r="J380" s="29"/>
      <c r="K380" s="1"/>
      <c r="L380" s="20" t="str">
        <f aca="false">IF(E380="","",IFERROR(INDEX(Settings!$D$13:$D$32,MATCH(E380,Settings!$A$13:$A$32,0)),0)*IF(F380="",1,F380))</f>
        <v/>
      </c>
      <c r="M380" s="20" t="str">
        <f aca="false">IF(L380="","",IF(I380="",L380,L380*(1-IF(J380="",Settings!$B$6,J380))))</f>
        <v/>
      </c>
      <c r="N380" s="20" t="str">
        <f aca="false">IF(OR(L380="",I380=""),"",L380-M380)</f>
        <v/>
      </c>
      <c r="O380" s="1"/>
    </row>
    <row r="381" customFormat="false" ht="15" hidden="false" customHeight="false" outlineLevel="0" collapsed="false">
      <c r="A381" s="27"/>
      <c r="B381" s="1"/>
      <c r="C381" s="24" t="str">
        <f aca="false">IF(B381="","",IFERROR(INDEX(Patients!$B$2:$B$501,MATCH(B381,Patients!$A$2:$A$501,0))&amp;"",""))</f>
        <v/>
      </c>
      <c r="D381" s="1"/>
      <c r="E381" s="1"/>
      <c r="F381" s="1"/>
      <c r="G381" s="28"/>
      <c r="H381" s="1"/>
      <c r="I381" s="1"/>
      <c r="J381" s="29"/>
      <c r="K381" s="1"/>
      <c r="L381" s="20" t="str">
        <f aca="false">IF(E381="","",IFERROR(INDEX(Settings!$D$13:$D$32,MATCH(E381,Settings!$A$13:$A$32,0)),0)*IF(F381="",1,F381))</f>
        <v/>
      </c>
      <c r="M381" s="20" t="str">
        <f aca="false">IF(L381="","",IF(I381="",L381,L381*(1-IF(J381="",Settings!$B$6,J381))))</f>
        <v/>
      </c>
      <c r="N381" s="20" t="str">
        <f aca="false">IF(OR(L381="",I381=""),"",L381-M381)</f>
        <v/>
      </c>
      <c r="O381" s="1"/>
    </row>
    <row r="382" customFormat="false" ht="15" hidden="false" customHeight="false" outlineLevel="0" collapsed="false">
      <c r="A382" s="27"/>
      <c r="B382" s="1"/>
      <c r="C382" s="24" t="str">
        <f aca="false">IF(B382="","",IFERROR(INDEX(Patients!$B$2:$B$501,MATCH(B382,Patients!$A$2:$A$501,0))&amp;"",""))</f>
        <v/>
      </c>
      <c r="D382" s="1"/>
      <c r="E382" s="1"/>
      <c r="F382" s="1"/>
      <c r="G382" s="28"/>
      <c r="H382" s="1"/>
      <c r="I382" s="1"/>
      <c r="J382" s="29"/>
      <c r="K382" s="1"/>
      <c r="L382" s="20" t="str">
        <f aca="false">IF(E382="","",IFERROR(INDEX(Settings!$D$13:$D$32,MATCH(E382,Settings!$A$13:$A$32,0)),0)*IF(F382="",1,F382))</f>
        <v/>
      </c>
      <c r="M382" s="20" t="str">
        <f aca="false">IF(L382="","",IF(I382="",L382,L382*(1-IF(J382="",Settings!$B$6,J382))))</f>
        <v/>
      </c>
      <c r="N382" s="20" t="str">
        <f aca="false">IF(OR(L382="",I382=""),"",L382-M382)</f>
        <v/>
      </c>
      <c r="O382" s="1"/>
    </row>
    <row r="383" customFormat="false" ht="15" hidden="false" customHeight="false" outlineLevel="0" collapsed="false">
      <c r="A383" s="27"/>
      <c r="B383" s="1"/>
      <c r="C383" s="24" t="str">
        <f aca="false">IF(B383="","",IFERROR(INDEX(Patients!$B$2:$B$501,MATCH(B383,Patients!$A$2:$A$501,0))&amp;"",""))</f>
        <v/>
      </c>
      <c r="D383" s="1"/>
      <c r="E383" s="1"/>
      <c r="F383" s="1"/>
      <c r="G383" s="28"/>
      <c r="H383" s="1"/>
      <c r="I383" s="1"/>
      <c r="J383" s="29"/>
      <c r="K383" s="1"/>
      <c r="L383" s="20" t="str">
        <f aca="false">IF(E383="","",IFERROR(INDEX(Settings!$D$13:$D$32,MATCH(E383,Settings!$A$13:$A$32,0)),0)*IF(F383="",1,F383))</f>
        <v/>
      </c>
      <c r="M383" s="20" t="str">
        <f aca="false">IF(L383="","",IF(I383="",L383,L383*(1-IF(J383="",Settings!$B$6,J383))))</f>
        <v/>
      </c>
      <c r="N383" s="20" t="str">
        <f aca="false">IF(OR(L383="",I383=""),"",L383-M383)</f>
        <v/>
      </c>
      <c r="O383" s="1"/>
    </row>
    <row r="384" customFormat="false" ht="15" hidden="false" customHeight="false" outlineLevel="0" collapsed="false">
      <c r="A384" s="27"/>
      <c r="B384" s="1"/>
      <c r="C384" s="24" t="str">
        <f aca="false">IF(B384="","",IFERROR(INDEX(Patients!$B$2:$B$501,MATCH(B384,Patients!$A$2:$A$501,0))&amp;"",""))</f>
        <v/>
      </c>
      <c r="D384" s="1"/>
      <c r="E384" s="1"/>
      <c r="F384" s="1"/>
      <c r="G384" s="28"/>
      <c r="H384" s="1"/>
      <c r="I384" s="1"/>
      <c r="J384" s="29"/>
      <c r="K384" s="1"/>
      <c r="L384" s="20" t="str">
        <f aca="false">IF(E384="","",IFERROR(INDEX(Settings!$D$13:$D$32,MATCH(E384,Settings!$A$13:$A$32,0)),0)*IF(F384="",1,F384))</f>
        <v/>
      </c>
      <c r="M384" s="20" t="str">
        <f aca="false">IF(L384="","",IF(I384="",L384,L384*(1-IF(J384="",Settings!$B$6,J384))))</f>
        <v/>
      </c>
      <c r="N384" s="20" t="str">
        <f aca="false">IF(OR(L384="",I384=""),"",L384-M384)</f>
        <v/>
      </c>
      <c r="O384" s="1"/>
    </row>
    <row r="385" customFormat="false" ht="15" hidden="false" customHeight="false" outlineLevel="0" collapsed="false">
      <c r="A385" s="27"/>
      <c r="B385" s="1"/>
      <c r="C385" s="24" t="str">
        <f aca="false">IF(B385="","",IFERROR(INDEX(Patients!$B$2:$B$501,MATCH(B385,Patients!$A$2:$A$501,0))&amp;"",""))</f>
        <v/>
      </c>
      <c r="D385" s="1"/>
      <c r="E385" s="1"/>
      <c r="F385" s="1"/>
      <c r="G385" s="28"/>
      <c r="H385" s="1"/>
      <c r="I385" s="1"/>
      <c r="J385" s="29"/>
      <c r="K385" s="1"/>
      <c r="L385" s="20" t="str">
        <f aca="false">IF(E385="","",IFERROR(INDEX(Settings!$D$13:$D$32,MATCH(E385,Settings!$A$13:$A$32,0)),0)*IF(F385="",1,F385))</f>
        <v/>
      </c>
      <c r="M385" s="20" t="str">
        <f aca="false">IF(L385="","",IF(I385="",L385,L385*(1-IF(J385="",Settings!$B$6,J385))))</f>
        <v/>
      </c>
      <c r="N385" s="20" t="str">
        <f aca="false">IF(OR(L385="",I385=""),"",L385-M385)</f>
        <v/>
      </c>
      <c r="O385" s="1"/>
    </row>
    <row r="386" customFormat="false" ht="15" hidden="false" customHeight="false" outlineLevel="0" collapsed="false">
      <c r="A386" s="27"/>
      <c r="B386" s="1"/>
      <c r="C386" s="24" t="str">
        <f aca="false">IF(B386="","",IFERROR(INDEX(Patients!$B$2:$B$501,MATCH(B386,Patients!$A$2:$A$501,0))&amp;"",""))</f>
        <v/>
      </c>
      <c r="D386" s="1"/>
      <c r="E386" s="1"/>
      <c r="F386" s="1"/>
      <c r="G386" s="28"/>
      <c r="H386" s="1"/>
      <c r="I386" s="1"/>
      <c r="J386" s="29"/>
      <c r="K386" s="1"/>
      <c r="L386" s="20" t="str">
        <f aca="false">IF(E386="","",IFERROR(INDEX(Settings!$D$13:$D$32,MATCH(E386,Settings!$A$13:$A$32,0)),0)*IF(F386="",1,F386))</f>
        <v/>
      </c>
      <c r="M386" s="20" t="str">
        <f aca="false">IF(L386="","",IF(I386="",L386,L386*(1-IF(J386="",Settings!$B$6,J386))))</f>
        <v/>
      </c>
      <c r="N386" s="20" t="str">
        <f aca="false">IF(OR(L386="",I386=""),"",L386-M386)</f>
        <v/>
      </c>
      <c r="O386" s="1"/>
    </row>
    <row r="387" customFormat="false" ht="15" hidden="false" customHeight="false" outlineLevel="0" collapsed="false">
      <c r="A387" s="27"/>
      <c r="B387" s="1"/>
      <c r="C387" s="24" t="str">
        <f aca="false">IF(B387="","",IFERROR(INDEX(Patients!$B$2:$B$501,MATCH(B387,Patients!$A$2:$A$501,0))&amp;"",""))</f>
        <v/>
      </c>
      <c r="D387" s="1"/>
      <c r="E387" s="1"/>
      <c r="F387" s="1"/>
      <c r="G387" s="28"/>
      <c r="H387" s="1"/>
      <c r="I387" s="1"/>
      <c r="J387" s="29"/>
      <c r="K387" s="1"/>
      <c r="L387" s="20" t="str">
        <f aca="false">IF(E387="","",IFERROR(INDEX(Settings!$D$13:$D$32,MATCH(E387,Settings!$A$13:$A$32,0)),0)*IF(F387="",1,F387))</f>
        <v/>
      </c>
      <c r="M387" s="20" t="str">
        <f aca="false">IF(L387="","",IF(I387="",L387,L387*(1-IF(J387="",Settings!$B$6,J387))))</f>
        <v/>
      </c>
      <c r="N387" s="20" t="str">
        <f aca="false">IF(OR(L387="",I387=""),"",L387-M387)</f>
        <v/>
      </c>
      <c r="O387" s="1"/>
    </row>
    <row r="388" customFormat="false" ht="15" hidden="false" customHeight="false" outlineLevel="0" collapsed="false">
      <c r="A388" s="27"/>
      <c r="B388" s="1"/>
      <c r="C388" s="24" t="str">
        <f aca="false">IF(B388="","",IFERROR(INDEX(Patients!$B$2:$B$501,MATCH(B388,Patients!$A$2:$A$501,0))&amp;"",""))</f>
        <v/>
      </c>
      <c r="D388" s="1"/>
      <c r="E388" s="1"/>
      <c r="F388" s="1"/>
      <c r="G388" s="28"/>
      <c r="H388" s="1"/>
      <c r="I388" s="1"/>
      <c r="J388" s="29"/>
      <c r="K388" s="1"/>
      <c r="L388" s="20" t="str">
        <f aca="false">IF(E388="","",IFERROR(INDEX(Settings!$D$13:$D$32,MATCH(E388,Settings!$A$13:$A$32,0)),0)*IF(F388="",1,F388))</f>
        <v/>
      </c>
      <c r="M388" s="20" t="str">
        <f aca="false">IF(L388="","",IF(I388="",L388,L388*(1-IF(J388="",Settings!$B$6,J388))))</f>
        <v/>
      </c>
      <c r="N388" s="20" t="str">
        <f aca="false">IF(OR(L388="",I388=""),"",L388-M388)</f>
        <v/>
      </c>
      <c r="O388" s="1"/>
    </row>
    <row r="389" customFormat="false" ht="15" hidden="false" customHeight="false" outlineLevel="0" collapsed="false">
      <c r="A389" s="27"/>
      <c r="B389" s="1"/>
      <c r="C389" s="24" t="str">
        <f aca="false">IF(B389="","",IFERROR(INDEX(Patients!$B$2:$B$501,MATCH(B389,Patients!$A$2:$A$501,0))&amp;"",""))</f>
        <v/>
      </c>
      <c r="D389" s="1"/>
      <c r="E389" s="1"/>
      <c r="F389" s="1"/>
      <c r="G389" s="28"/>
      <c r="H389" s="1"/>
      <c r="I389" s="1"/>
      <c r="J389" s="29"/>
      <c r="K389" s="1"/>
      <c r="L389" s="20" t="str">
        <f aca="false">IF(E389="","",IFERROR(INDEX(Settings!$D$13:$D$32,MATCH(E389,Settings!$A$13:$A$32,0)),0)*IF(F389="",1,F389))</f>
        <v/>
      </c>
      <c r="M389" s="20" t="str">
        <f aca="false">IF(L389="","",IF(I389="",L389,L389*(1-IF(J389="",Settings!$B$6,J389))))</f>
        <v/>
      </c>
      <c r="N389" s="20" t="str">
        <f aca="false">IF(OR(L389="",I389=""),"",L389-M389)</f>
        <v/>
      </c>
      <c r="O389" s="1"/>
    </row>
    <row r="390" customFormat="false" ht="15" hidden="false" customHeight="false" outlineLevel="0" collapsed="false">
      <c r="A390" s="27"/>
      <c r="B390" s="1"/>
      <c r="C390" s="24" t="str">
        <f aca="false">IF(B390="","",IFERROR(INDEX(Patients!$B$2:$B$501,MATCH(B390,Patients!$A$2:$A$501,0))&amp;"",""))</f>
        <v/>
      </c>
      <c r="D390" s="1"/>
      <c r="E390" s="1"/>
      <c r="F390" s="1"/>
      <c r="G390" s="28"/>
      <c r="H390" s="1"/>
      <c r="I390" s="1"/>
      <c r="J390" s="29"/>
      <c r="K390" s="1"/>
      <c r="L390" s="20" t="str">
        <f aca="false">IF(E390="","",IFERROR(INDEX(Settings!$D$13:$D$32,MATCH(E390,Settings!$A$13:$A$32,0)),0)*IF(F390="",1,F390))</f>
        <v/>
      </c>
      <c r="M390" s="20" t="str">
        <f aca="false">IF(L390="","",IF(I390="",L390,L390*(1-IF(J390="",Settings!$B$6,J390))))</f>
        <v/>
      </c>
      <c r="N390" s="20" t="str">
        <f aca="false">IF(OR(L390="",I390=""),"",L390-M390)</f>
        <v/>
      </c>
      <c r="O390" s="1"/>
    </row>
    <row r="391" customFormat="false" ht="15" hidden="false" customHeight="false" outlineLevel="0" collapsed="false">
      <c r="A391" s="27"/>
      <c r="B391" s="1"/>
      <c r="C391" s="24" t="str">
        <f aca="false">IF(B391="","",IFERROR(INDEX(Patients!$B$2:$B$501,MATCH(B391,Patients!$A$2:$A$501,0))&amp;"",""))</f>
        <v/>
      </c>
      <c r="D391" s="1"/>
      <c r="E391" s="1"/>
      <c r="F391" s="1"/>
      <c r="G391" s="28"/>
      <c r="H391" s="1"/>
      <c r="I391" s="1"/>
      <c r="J391" s="29"/>
      <c r="K391" s="1"/>
      <c r="L391" s="20" t="str">
        <f aca="false">IF(E391="","",IFERROR(INDEX(Settings!$D$13:$D$32,MATCH(E391,Settings!$A$13:$A$32,0)),0)*IF(F391="",1,F391))</f>
        <v/>
      </c>
      <c r="M391" s="20" t="str">
        <f aca="false">IF(L391="","",IF(I391="",L391,L391*(1-IF(J391="",Settings!$B$6,J391))))</f>
        <v/>
      </c>
      <c r="N391" s="20" t="str">
        <f aca="false">IF(OR(L391="",I391=""),"",L391-M391)</f>
        <v/>
      </c>
      <c r="O391" s="1"/>
    </row>
    <row r="392" customFormat="false" ht="15" hidden="false" customHeight="false" outlineLevel="0" collapsed="false">
      <c r="A392" s="27"/>
      <c r="B392" s="1"/>
      <c r="C392" s="24" t="str">
        <f aca="false">IF(B392="","",IFERROR(INDEX(Patients!$B$2:$B$501,MATCH(B392,Patients!$A$2:$A$501,0))&amp;"",""))</f>
        <v/>
      </c>
      <c r="D392" s="1"/>
      <c r="E392" s="1"/>
      <c r="F392" s="1"/>
      <c r="G392" s="28"/>
      <c r="H392" s="1"/>
      <c r="I392" s="1"/>
      <c r="J392" s="29"/>
      <c r="K392" s="1"/>
      <c r="L392" s="20" t="str">
        <f aca="false">IF(E392="","",IFERROR(INDEX(Settings!$D$13:$D$32,MATCH(E392,Settings!$A$13:$A$32,0)),0)*IF(F392="",1,F392))</f>
        <v/>
      </c>
      <c r="M392" s="20" t="str">
        <f aca="false">IF(L392="","",IF(I392="",L392,L392*(1-IF(J392="",Settings!$B$6,J392))))</f>
        <v/>
      </c>
      <c r="N392" s="20" t="str">
        <f aca="false">IF(OR(L392="",I392=""),"",L392-M392)</f>
        <v/>
      </c>
      <c r="O392" s="1"/>
    </row>
    <row r="393" customFormat="false" ht="15" hidden="false" customHeight="false" outlineLevel="0" collapsed="false">
      <c r="A393" s="27"/>
      <c r="B393" s="1"/>
      <c r="C393" s="24" t="str">
        <f aca="false">IF(B393="","",IFERROR(INDEX(Patients!$B$2:$B$501,MATCH(B393,Patients!$A$2:$A$501,0))&amp;"",""))</f>
        <v/>
      </c>
      <c r="D393" s="1"/>
      <c r="E393" s="1"/>
      <c r="F393" s="1"/>
      <c r="G393" s="28"/>
      <c r="H393" s="1"/>
      <c r="I393" s="1"/>
      <c r="J393" s="29"/>
      <c r="K393" s="1"/>
      <c r="L393" s="20" t="str">
        <f aca="false">IF(E393="","",IFERROR(INDEX(Settings!$D$13:$D$32,MATCH(E393,Settings!$A$13:$A$32,0)),0)*IF(F393="",1,F393))</f>
        <v/>
      </c>
      <c r="M393" s="20" t="str">
        <f aca="false">IF(L393="","",IF(I393="",L393,L393*(1-IF(J393="",Settings!$B$6,J393))))</f>
        <v/>
      </c>
      <c r="N393" s="20" t="str">
        <f aca="false">IF(OR(L393="",I393=""),"",L393-M393)</f>
        <v/>
      </c>
      <c r="O393" s="1"/>
    </row>
    <row r="394" customFormat="false" ht="15" hidden="false" customHeight="false" outlineLevel="0" collapsed="false">
      <c r="A394" s="27"/>
      <c r="B394" s="1"/>
      <c r="C394" s="24" t="str">
        <f aca="false">IF(B394="","",IFERROR(INDEX(Patients!$B$2:$B$501,MATCH(B394,Patients!$A$2:$A$501,0))&amp;"",""))</f>
        <v/>
      </c>
      <c r="D394" s="1"/>
      <c r="E394" s="1"/>
      <c r="F394" s="1"/>
      <c r="G394" s="28"/>
      <c r="H394" s="1"/>
      <c r="I394" s="1"/>
      <c r="J394" s="29"/>
      <c r="K394" s="1"/>
      <c r="L394" s="20" t="str">
        <f aca="false">IF(E394="","",IFERROR(INDEX(Settings!$D$13:$D$32,MATCH(E394,Settings!$A$13:$A$32,0)),0)*IF(F394="",1,F394))</f>
        <v/>
      </c>
      <c r="M394" s="20" t="str">
        <f aca="false">IF(L394="","",IF(I394="",L394,L394*(1-IF(J394="",Settings!$B$6,J394))))</f>
        <v/>
      </c>
      <c r="N394" s="20" t="str">
        <f aca="false">IF(OR(L394="",I394=""),"",L394-M394)</f>
        <v/>
      </c>
      <c r="O394" s="1"/>
    </row>
    <row r="395" customFormat="false" ht="15" hidden="false" customHeight="false" outlineLevel="0" collapsed="false">
      <c r="A395" s="27"/>
      <c r="B395" s="1"/>
      <c r="C395" s="24" t="str">
        <f aca="false">IF(B395="","",IFERROR(INDEX(Patients!$B$2:$B$501,MATCH(B395,Patients!$A$2:$A$501,0))&amp;"",""))</f>
        <v/>
      </c>
      <c r="D395" s="1"/>
      <c r="E395" s="1"/>
      <c r="F395" s="1"/>
      <c r="G395" s="28"/>
      <c r="H395" s="1"/>
      <c r="I395" s="1"/>
      <c r="J395" s="29"/>
      <c r="K395" s="1"/>
      <c r="L395" s="20" t="str">
        <f aca="false">IF(E395="","",IFERROR(INDEX(Settings!$D$13:$D$32,MATCH(E395,Settings!$A$13:$A$32,0)),0)*IF(F395="",1,F395))</f>
        <v/>
      </c>
      <c r="M395" s="20" t="str">
        <f aca="false">IF(L395="","",IF(I395="",L395,L395*(1-IF(J395="",Settings!$B$6,J395))))</f>
        <v/>
      </c>
      <c r="N395" s="20" t="str">
        <f aca="false">IF(OR(L395="",I395=""),"",L395-M395)</f>
        <v/>
      </c>
      <c r="O395" s="1"/>
    </row>
    <row r="396" customFormat="false" ht="15" hidden="false" customHeight="false" outlineLevel="0" collapsed="false">
      <c r="A396" s="27"/>
      <c r="B396" s="1"/>
      <c r="C396" s="24" t="str">
        <f aca="false">IF(B396="","",IFERROR(INDEX(Patients!$B$2:$B$501,MATCH(B396,Patients!$A$2:$A$501,0))&amp;"",""))</f>
        <v/>
      </c>
      <c r="D396" s="1"/>
      <c r="E396" s="1"/>
      <c r="F396" s="1"/>
      <c r="G396" s="28"/>
      <c r="H396" s="1"/>
      <c r="I396" s="1"/>
      <c r="J396" s="29"/>
      <c r="K396" s="1"/>
      <c r="L396" s="20" t="str">
        <f aca="false">IF(E396="","",IFERROR(INDEX(Settings!$D$13:$D$32,MATCH(E396,Settings!$A$13:$A$32,0)),0)*IF(F396="",1,F396))</f>
        <v/>
      </c>
      <c r="M396" s="20" t="str">
        <f aca="false">IF(L396="","",IF(I396="",L396,L396*(1-IF(J396="",Settings!$B$6,J396))))</f>
        <v/>
      </c>
      <c r="N396" s="20" t="str">
        <f aca="false">IF(OR(L396="",I396=""),"",L396-M396)</f>
        <v/>
      </c>
      <c r="O396" s="1"/>
    </row>
    <row r="397" customFormat="false" ht="15" hidden="false" customHeight="false" outlineLevel="0" collapsed="false">
      <c r="A397" s="27"/>
      <c r="B397" s="1"/>
      <c r="C397" s="24" t="str">
        <f aca="false">IF(B397="","",IFERROR(INDEX(Patients!$B$2:$B$501,MATCH(B397,Patients!$A$2:$A$501,0))&amp;"",""))</f>
        <v/>
      </c>
      <c r="D397" s="1"/>
      <c r="E397" s="1"/>
      <c r="F397" s="1"/>
      <c r="G397" s="28"/>
      <c r="H397" s="1"/>
      <c r="I397" s="1"/>
      <c r="J397" s="29"/>
      <c r="K397" s="1"/>
      <c r="L397" s="20" t="str">
        <f aca="false">IF(E397="","",IFERROR(INDEX(Settings!$D$13:$D$32,MATCH(E397,Settings!$A$13:$A$32,0)),0)*IF(F397="",1,F397))</f>
        <v/>
      </c>
      <c r="M397" s="20" t="str">
        <f aca="false">IF(L397="","",IF(I397="",L397,L397*(1-IF(J397="",Settings!$B$6,J397))))</f>
        <v/>
      </c>
      <c r="N397" s="20" t="str">
        <f aca="false">IF(OR(L397="",I397=""),"",L397-M397)</f>
        <v/>
      </c>
      <c r="O397" s="1"/>
    </row>
    <row r="398" customFormat="false" ht="15" hidden="false" customHeight="false" outlineLevel="0" collapsed="false">
      <c r="A398" s="27"/>
      <c r="B398" s="1"/>
      <c r="C398" s="24" t="str">
        <f aca="false">IF(B398="","",IFERROR(INDEX(Patients!$B$2:$B$501,MATCH(B398,Patients!$A$2:$A$501,0))&amp;"",""))</f>
        <v/>
      </c>
      <c r="D398" s="1"/>
      <c r="E398" s="1"/>
      <c r="F398" s="1"/>
      <c r="G398" s="28"/>
      <c r="H398" s="1"/>
      <c r="I398" s="1"/>
      <c r="J398" s="29"/>
      <c r="K398" s="1"/>
      <c r="L398" s="20" t="str">
        <f aca="false">IF(E398="","",IFERROR(INDEX(Settings!$D$13:$D$32,MATCH(E398,Settings!$A$13:$A$32,0)),0)*IF(F398="",1,F398))</f>
        <v/>
      </c>
      <c r="M398" s="20" t="str">
        <f aca="false">IF(L398="","",IF(I398="",L398,L398*(1-IF(J398="",Settings!$B$6,J398))))</f>
        <v/>
      </c>
      <c r="N398" s="20" t="str">
        <f aca="false">IF(OR(L398="",I398=""),"",L398-M398)</f>
        <v/>
      </c>
      <c r="O398" s="1"/>
    </row>
    <row r="399" customFormat="false" ht="15" hidden="false" customHeight="false" outlineLevel="0" collapsed="false">
      <c r="A399" s="27"/>
      <c r="B399" s="1"/>
      <c r="C399" s="24" t="str">
        <f aca="false">IF(B399="","",IFERROR(INDEX(Patients!$B$2:$B$501,MATCH(B399,Patients!$A$2:$A$501,0))&amp;"",""))</f>
        <v/>
      </c>
      <c r="D399" s="1"/>
      <c r="E399" s="1"/>
      <c r="F399" s="1"/>
      <c r="G399" s="28"/>
      <c r="H399" s="1"/>
      <c r="I399" s="1"/>
      <c r="J399" s="29"/>
      <c r="K399" s="1"/>
      <c r="L399" s="20" t="str">
        <f aca="false">IF(E399="","",IFERROR(INDEX(Settings!$D$13:$D$32,MATCH(E399,Settings!$A$13:$A$32,0)),0)*IF(F399="",1,F399))</f>
        <v/>
      </c>
      <c r="M399" s="20" t="str">
        <f aca="false">IF(L399="","",IF(I399="",L399,L399*(1-IF(J399="",Settings!$B$6,J399))))</f>
        <v/>
      </c>
      <c r="N399" s="20" t="str">
        <f aca="false">IF(OR(L399="",I399=""),"",L399-M399)</f>
        <v/>
      </c>
      <c r="O399" s="1"/>
    </row>
    <row r="400" customFormat="false" ht="15" hidden="false" customHeight="false" outlineLevel="0" collapsed="false">
      <c r="A400" s="27"/>
      <c r="B400" s="1"/>
      <c r="C400" s="24" t="str">
        <f aca="false">IF(B400="","",IFERROR(INDEX(Patients!$B$2:$B$501,MATCH(B400,Patients!$A$2:$A$501,0))&amp;"",""))</f>
        <v/>
      </c>
      <c r="D400" s="1"/>
      <c r="E400" s="1"/>
      <c r="F400" s="1"/>
      <c r="G400" s="28"/>
      <c r="H400" s="1"/>
      <c r="I400" s="1"/>
      <c r="J400" s="29"/>
      <c r="K400" s="1"/>
      <c r="L400" s="20" t="str">
        <f aca="false">IF(E400="","",IFERROR(INDEX(Settings!$D$13:$D$32,MATCH(E400,Settings!$A$13:$A$32,0)),0)*IF(F400="",1,F400))</f>
        <v/>
      </c>
      <c r="M400" s="20" t="str">
        <f aca="false">IF(L400="","",IF(I400="",L400,L400*(1-IF(J400="",Settings!$B$6,J400))))</f>
        <v/>
      </c>
      <c r="N400" s="20" t="str">
        <f aca="false">IF(OR(L400="",I400=""),"",L400-M400)</f>
        <v/>
      </c>
      <c r="O400" s="1"/>
    </row>
    <row r="401" customFormat="false" ht="15" hidden="false" customHeight="false" outlineLevel="0" collapsed="false">
      <c r="A401" s="27"/>
      <c r="B401" s="1"/>
      <c r="C401" s="24" t="str">
        <f aca="false">IF(B401="","",IFERROR(INDEX(Patients!$B$2:$B$501,MATCH(B401,Patients!$A$2:$A$501,0))&amp;"",""))</f>
        <v/>
      </c>
      <c r="D401" s="1"/>
      <c r="E401" s="1"/>
      <c r="F401" s="1"/>
      <c r="G401" s="28"/>
      <c r="H401" s="1"/>
      <c r="I401" s="1"/>
      <c r="J401" s="29"/>
      <c r="K401" s="1"/>
      <c r="L401" s="20" t="str">
        <f aca="false">IF(E401="","",IFERROR(INDEX(Settings!$D$13:$D$32,MATCH(E401,Settings!$A$13:$A$32,0)),0)*IF(F401="",1,F401))</f>
        <v/>
      </c>
      <c r="M401" s="20" t="str">
        <f aca="false">IF(L401="","",IF(I401="",L401,L401*(1-IF(J401="",Settings!$B$6,J401))))</f>
        <v/>
      </c>
      <c r="N401" s="20" t="str">
        <f aca="false">IF(OR(L401="",I401=""),"",L401-M401)</f>
        <v/>
      </c>
      <c r="O401" s="1"/>
    </row>
    <row r="402" customFormat="false" ht="15" hidden="false" customHeight="false" outlineLevel="0" collapsed="false">
      <c r="A402" s="27"/>
      <c r="B402" s="1"/>
      <c r="C402" s="24" t="str">
        <f aca="false">IF(B402="","",IFERROR(INDEX(Patients!$B$2:$B$501,MATCH(B402,Patients!$A$2:$A$501,0))&amp;"",""))</f>
        <v/>
      </c>
      <c r="D402" s="1"/>
      <c r="E402" s="1"/>
      <c r="F402" s="1"/>
      <c r="G402" s="28"/>
      <c r="H402" s="1"/>
      <c r="I402" s="1"/>
      <c r="J402" s="29"/>
      <c r="K402" s="1"/>
      <c r="L402" s="20" t="str">
        <f aca="false">IF(E402="","",IFERROR(INDEX(Settings!$D$13:$D$32,MATCH(E402,Settings!$A$13:$A$32,0)),0)*IF(F402="",1,F402))</f>
        <v/>
      </c>
      <c r="M402" s="20" t="str">
        <f aca="false">IF(L402="","",IF(I402="",L402,L402*(1-IF(J402="",Settings!$B$6,J402))))</f>
        <v/>
      </c>
      <c r="N402" s="20" t="str">
        <f aca="false">IF(OR(L402="",I402=""),"",L402-M402)</f>
        <v/>
      </c>
      <c r="O402" s="1"/>
    </row>
    <row r="403" customFormat="false" ht="15" hidden="false" customHeight="false" outlineLevel="0" collapsed="false">
      <c r="A403" s="27"/>
      <c r="B403" s="1"/>
      <c r="C403" s="24" t="str">
        <f aca="false">IF(B403="","",IFERROR(INDEX(Patients!$B$2:$B$501,MATCH(B403,Patients!$A$2:$A$501,0))&amp;"",""))</f>
        <v/>
      </c>
      <c r="D403" s="1"/>
      <c r="E403" s="1"/>
      <c r="F403" s="1"/>
      <c r="G403" s="28"/>
      <c r="H403" s="1"/>
      <c r="I403" s="1"/>
      <c r="J403" s="29"/>
      <c r="K403" s="1"/>
      <c r="L403" s="20" t="str">
        <f aca="false">IF(E403="","",IFERROR(INDEX(Settings!$D$13:$D$32,MATCH(E403,Settings!$A$13:$A$32,0)),0)*IF(F403="",1,F403))</f>
        <v/>
      </c>
      <c r="M403" s="20" t="str">
        <f aca="false">IF(L403="","",IF(I403="",L403,L403*(1-IF(J403="",Settings!$B$6,J403))))</f>
        <v/>
      </c>
      <c r="N403" s="20" t="str">
        <f aca="false">IF(OR(L403="",I403=""),"",L403-M403)</f>
        <v/>
      </c>
      <c r="O403" s="1"/>
    </row>
    <row r="404" customFormat="false" ht="15" hidden="false" customHeight="false" outlineLevel="0" collapsed="false">
      <c r="A404" s="27"/>
      <c r="B404" s="1"/>
      <c r="C404" s="24" t="str">
        <f aca="false">IF(B404="","",IFERROR(INDEX(Patients!$B$2:$B$501,MATCH(B404,Patients!$A$2:$A$501,0))&amp;"",""))</f>
        <v/>
      </c>
      <c r="D404" s="1"/>
      <c r="E404" s="1"/>
      <c r="F404" s="1"/>
      <c r="G404" s="28"/>
      <c r="H404" s="1"/>
      <c r="I404" s="1"/>
      <c r="J404" s="29"/>
      <c r="K404" s="1"/>
      <c r="L404" s="20" t="str">
        <f aca="false">IF(E404="","",IFERROR(INDEX(Settings!$D$13:$D$32,MATCH(E404,Settings!$A$13:$A$32,0)),0)*IF(F404="",1,F404))</f>
        <v/>
      </c>
      <c r="M404" s="20" t="str">
        <f aca="false">IF(L404="","",IF(I404="",L404,L404*(1-IF(J404="",Settings!$B$6,J404))))</f>
        <v/>
      </c>
      <c r="N404" s="20" t="str">
        <f aca="false">IF(OR(L404="",I404=""),"",L404-M404)</f>
        <v/>
      </c>
      <c r="O404" s="1"/>
    </row>
    <row r="405" customFormat="false" ht="15" hidden="false" customHeight="false" outlineLevel="0" collapsed="false">
      <c r="A405" s="27"/>
      <c r="B405" s="1"/>
      <c r="C405" s="24" t="str">
        <f aca="false">IF(B405="","",IFERROR(INDEX(Patients!$B$2:$B$501,MATCH(B405,Patients!$A$2:$A$501,0))&amp;"",""))</f>
        <v/>
      </c>
      <c r="D405" s="1"/>
      <c r="E405" s="1"/>
      <c r="F405" s="1"/>
      <c r="G405" s="28"/>
      <c r="H405" s="1"/>
      <c r="I405" s="1"/>
      <c r="J405" s="29"/>
      <c r="K405" s="1"/>
      <c r="L405" s="20" t="str">
        <f aca="false">IF(E405="","",IFERROR(INDEX(Settings!$D$13:$D$32,MATCH(E405,Settings!$A$13:$A$32,0)),0)*IF(F405="",1,F405))</f>
        <v/>
      </c>
      <c r="M405" s="20" t="str">
        <f aca="false">IF(L405="","",IF(I405="",L405,L405*(1-IF(J405="",Settings!$B$6,J405))))</f>
        <v/>
      </c>
      <c r="N405" s="20" t="str">
        <f aca="false">IF(OR(L405="",I405=""),"",L405-M405)</f>
        <v/>
      </c>
      <c r="O405" s="1"/>
    </row>
    <row r="406" customFormat="false" ht="15" hidden="false" customHeight="false" outlineLevel="0" collapsed="false">
      <c r="A406" s="27"/>
      <c r="B406" s="1"/>
      <c r="C406" s="24" t="str">
        <f aca="false">IF(B406="","",IFERROR(INDEX(Patients!$B$2:$B$501,MATCH(B406,Patients!$A$2:$A$501,0))&amp;"",""))</f>
        <v/>
      </c>
      <c r="D406" s="1"/>
      <c r="E406" s="1"/>
      <c r="F406" s="1"/>
      <c r="G406" s="28"/>
      <c r="H406" s="1"/>
      <c r="I406" s="1"/>
      <c r="J406" s="29"/>
      <c r="K406" s="1"/>
      <c r="L406" s="20" t="str">
        <f aca="false">IF(E406="","",IFERROR(INDEX(Settings!$D$13:$D$32,MATCH(E406,Settings!$A$13:$A$32,0)),0)*IF(F406="",1,F406))</f>
        <v/>
      </c>
      <c r="M406" s="20" t="str">
        <f aca="false">IF(L406="","",IF(I406="",L406,L406*(1-IF(J406="",Settings!$B$6,J406))))</f>
        <v/>
      </c>
      <c r="N406" s="20" t="str">
        <f aca="false">IF(OR(L406="",I406=""),"",L406-M406)</f>
        <v/>
      </c>
      <c r="O406" s="1"/>
    </row>
    <row r="407" customFormat="false" ht="15" hidden="false" customHeight="false" outlineLevel="0" collapsed="false">
      <c r="A407" s="27"/>
      <c r="B407" s="1"/>
      <c r="C407" s="24" t="str">
        <f aca="false">IF(B407="","",IFERROR(INDEX(Patients!$B$2:$B$501,MATCH(B407,Patients!$A$2:$A$501,0))&amp;"",""))</f>
        <v/>
      </c>
      <c r="D407" s="1"/>
      <c r="E407" s="1"/>
      <c r="F407" s="1"/>
      <c r="G407" s="28"/>
      <c r="H407" s="1"/>
      <c r="I407" s="1"/>
      <c r="J407" s="29"/>
      <c r="K407" s="1"/>
      <c r="L407" s="20" t="str">
        <f aca="false">IF(E407="","",IFERROR(INDEX(Settings!$D$13:$D$32,MATCH(E407,Settings!$A$13:$A$32,0)),0)*IF(F407="",1,F407))</f>
        <v/>
      </c>
      <c r="M407" s="20" t="str">
        <f aca="false">IF(L407="","",IF(I407="",L407,L407*(1-IF(J407="",Settings!$B$6,J407))))</f>
        <v/>
      </c>
      <c r="N407" s="20" t="str">
        <f aca="false">IF(OR(L407="",I407=""),"",L407-M407)</f>
        <v/>
      </c>
      <c r="O407" s="1"/>
    </row>
    <row r="408" customFormat="false" ht="15" hidden="false" customHeight="false" outlineLevel="0" collapsed="false">
      <c r="A408" s="27"/>
      <c r="B408" s="1"/>
      <c r="C408" s="24" t="str">
        <f aca="false">IF(B408="","",IFERROR(INDEX(Patients!$B$2:$B$501,MATCH(B408,Patients!$A$2:$A$501,0))&amp;"",""))</f>
        <v/>
      </c>
      <c r="D408" s="1"/>
      <c r="E408" s="1"/>
      <c r="F408" s="1"/>
      <c r="G408" s="28"/>
      <c r="H408" s="1"/>
      <c r="I408" s="1"/>
      <c r="J408" s="29"/>
      <c r="K408" s="1"/>
      <c r="L408" s="20" t="str">
        <f aca="false">IF(E408="","",IFERROR(INDEX(Settings!$D$13:$D$32,MATCH(E408,Settings!$A$13:$A$32,0)),0)*IF(F408="",1,F408))</f>
        <v/>
      </c>
      <c r="M408" s="20" t="str">
        <f aca="false">IF(L408="","",IF(I408="",L408,L408*(1-IF(J408="",Settings!$B$6,J408))))</f>
        <v/>
      </c>
      <c r="N408" s="20" t="str">
        <f aca="false">IF(OR(L408="",I408=""),"",L408-M408)</f>
        <v/>
      </c>
      <c r="O408" s="1"/>
    </row>
    <row r="409" customFormat="false" ht="15" hidden="false" customHeight="false" outlineLevel="0" collapsed="false">
      <c r="A409" s="27"/>
      <c r="B409" s="1"/>
      <c r="C409" s="24" t="str">
        <f aca="false">IF(B409="","",IFERROR(INDEX(Patients!$B$2:$B$501,MATCH(B409,Patients!$A$2:$A$501,0))&amp;"",""))</f>
        <v/>
      </c>
      <c r="D409" s="1"/>
      <c r="E409" s="1"/>
      <c r="F409" s="1"/>
      <c r="G409" s="28"/>
      <c r="H409" s="1"/>
      <c r="I409" s="1"/>
      <c r="J409" s="29"/>
      <c r="K409" s="1"/>
      <c r="L409" s="20" t="str">
        <f aca="false">IF(E409="","",IFERROR(INDEX(Settings!$D$13:$D$32,MATCH(E409,Settings!$A$13:$A$32,0)),0)*IF(F409="",1,F409))</f>
        <v/>
      </c>
      <c r="M409" s="20" t="str">
        <f aca="false">IF(L409="","",IF(I409="",L409,L409*(1-IF(J409="",Settings!$B$6,J409))))</f>
        <v/>
      </c>
      <c r="N409" s="20" t="str">
        <f aca="false">IF(OR(L409="",I409=""),"",L409-M409)</f>
        <v/>
      </c>
      <c r="O409" s="1"/>
    </row>
    <row r="410" customFormat="false" ht="15" hidden="false" customHeight="false" outlineLevel="0" collapsed="false">
      <c r="A410" s="27"/>
      <c r="B410" s="1"/>
      <c r="C410" s="24" t="str">
        <f aca="false">IF(B410="","",IFERROR(INDEX(Patients!$B$2:$B$501,MATCH(B410,Patients!$A$2:$A$501,0))&amp;"",""))</f>
        <v/>
      </c>
      <c r="D410" s="1"/>
      <c r="E410" s="1"/>
      <c r="F410" s="1"/>
      <c r="G410" s="28"/>
      <c r="H410" s="1"/>
      <c r="I410" s="1"/>
      <c r="J410" s="29"/>
      <c r="K410" s="1"/>
      <c r="L410" s="20" t="str">
        <f aca="false">IF(E410="","",IFERROR(INDEX(Settings!$D$13:$D$32,MATCH(E410,Settings!$A$13:$A$32,0)),0)*IF(F410="",1,F410))</f>
        <v/>
      </c>
      <c r="M410" s="20" t="str">
        <f aca="false">IF(L410="","",IF(I410="",L410,L410*(1-IF(J410="",Settings!$B$6,J410))))</f>
        <v/>
      </c>
      <c r="N410" s="20" t="str">
        <f aca="false">IF(OR(L410="",I410=""),"",L410-M410)</f>
        <v/>
      </c>
      <c r="O410" s="1"/>
    </row>
    <row r="411" customFormat="false" ht="15" hidden="false" customHeight="false" outlineLevel="0" collapsed="false">
      <c r="A411" s="27"/>
      <c r="B411" s="1"/>
      <c r="C411" s="24" t="str">
        <f aca="false">IF(B411="","",IFERROR(INDEX(Patients!$B$2:$B$501,MATCH(B411,Patients!$A$2:$A$501,0))&amp;"",""))</f>
        <v/>
      </c>
      <c r="D411" s="1"/>
      <c r="E411" s="1"/>
      <c r="F411" s="1"/>
      <c r="G411" s="28"/>
      <c r="H411" s="1"/>
      <c r="I411" s="1"/>
      <c r="J411" s="29"/>
      <c r="K411" s="1"/>
      <c r="L411" s="20" t="str">
        <f aca="false">IF(E411="","",IFERROR(INDEX(Settings!$D$13:$D$32,MATCH(E411,Settings!$A$13:$A$32,0)),0)*IF(F411="",1,F411))</f>
        <v/>
      </c>
      <c r="M411" s="20" t="str">
        <f aca="false">IF(L411="","",IF(I411="",L411,L411*(1-IF(J411="",Settings!$B$6,J411))))</f>
        <v/>
      </c>
      <c r="N411" s="20" t="str">
        <f aca="false">IF(OR(L411="",I411=""),"",L411-M411)</f>
        <v/>
      </c>
      <c r="O411" s="1"/>
    </row>
    <row r="412" customFormat="false" ht="15" hidden="false" customHeight="false" outlineLevel="0" collapsed="false">
      <c r="A412" s="27"/>
      <c r="B412" s="1"/>
      <c r="C412" s="24" t="str">
        <f aca="false">IF(B412="","",IFERROR(INDEX(Patients!$B$2:$B$501,MATCH(B412,Patients!$A$2:$A$501,0))&amp;"",""))</f>
        <v/>
      </c>
      <c r="D412" s="1"/>
      <c r="E412" s="1"/>
      <c r="F412" s="1"/>
      <c r="G412" s="28"/>
      <c r="H412" s="1"/>
      <c r="I412" s="1"/>
      <c r="J412" s="29"/>
      <c r="K412" s="1"/>
      <c r="L412" s="20" t="str">
        <f aca="false">IF(E412="","",IFERROR(INDEX(Settings!$D$13:$D$32,MATCH(E412,Settings!$A$13:$A$32,0)),0)*IF(F412="",1,F412))</f>
        <v/>
      </c>
      <c r="M412" s="20" t="str">
        <f aca="false">IF(L412="","",IF(I412="",L412,L412*(1-IF(J412="",Settings!$B$6,J412))))</f>
        <v/>
      </c>
      <c r="N412" s="20" t="str">
        <f aca="false">IF(OR(L412="",I412=""),"",L412-M412)</f>
        <v/>
      </c>
      <c r="O412" s="1"/>
    </row>
    <row r="413" customFormat="false" ht="15" hidden="false" customHeight="false" outlineLevel="0" collapsed="false">
      <c r="A413" s="27"/>
      <c r="B413" s="1"/>
      <c r="C413" s="24" t="str">
        <f aca="false">IF(B413="","",IFERROR(INDEX(Patients!$B$2:$B$501,MATCH(B413,Patients!$A$2:$A$501,0))&amp;"",""))</f>
        <v/>
      </c>
      <c r="D413" s="1"/>
      <c r="E413" s="1"/>
      <c r="F413" s="1"/>
      <c r="G413" s="28"/>
      <c r="H413" s="1"/>
      <c r="I413" s="1"/>
      <c r="J413" s="29"/>
      <c r="K413" s="1"/>
      <c r="L413" s="20" t="str">
        <f aca="false">IF(E413="","",IFERROR(INDEX(Settings!$D$13:$D$32,MATCH(E413,Settings!$A$13:$A$32,0)),0)*IF(F413="",1,F413))</f>
        <v/>
      </c>
      <c r="M413" s="20" t="str">
        <f aca="false">IF(L413="","",IF(I413="",L413,L413*(1-IF(J413="",Settings!$B$6,J413))))</f>
        <v/>
      </c>
      <c r="N413" s="20" t="str">
        <f aca="false">IF(OR(L413="",I413=""),"",L413-M413)</f>
        <v/>
      </c>
      <c r="O413" s="1"/>
    </row>
    <row r="414" customFormat="false" ht="15" hidden="false" customHeight="false" outlineLevel="0" collapsed="false">
      <c r="A414" s="27"/>
      <c r="B414" s="1"/>
      <c r="C414" s="24" t="str">
        <f aca="false">IF(B414="","",IFERROR(INDEX(Patients!$B$2:$B$501,MATCH(B414,Patients!$A$2:$A$501,0))&amp;"",""))</f>
        <v/>
      </c>
      <c r="D414" s="1"/>
      <c r="E414" s="1"/>
      <c r="F414" s="1"/>
      <c r="G414" s="28"/>
      <c r="H414" s="1"/>
      <c r="I414" s="1"/>
      <c r="J414" s="29"/>
      <c r="K414" s="1"/>
      <c r="L414" s="20" t="str">
        <f aca="false">IF(E414="","",IFERROR(INDEX(Settings!$D$13:$D$32,MATCH(E414,Settings!$A$13:$A$32,0)),0)*IF(F414="",1,F414))</f>
        <v/>
      </c>
      <c r="M414" s="20" t="str">
        <f aca="false">IF(L414="","",IF(I414="",L414,L414*(1-IF(J414="",Settings!$B$6,J414))))</f>
        <v/>
      </c>
      <c r="N414" s="20" t="str">
        <f aca="false">IF(OR(L414="",I414=""),"",L414-M414)</f>
        <v/>
      </c>
      <c r="O414" s="1"/>
    </row>
    <row r="415" customFormat="false" ht="15" hidden="false" customHeight="false" outlineLevel="0" collapsed="false">
      <c r="A415" s="27"/>
      <c r="B415" s="1"/>
      <c r="C415" s="24" t="str">
        <f aca="false">IF(B415="","",IFERROR(INDEX(Patients!$B$2:$B$501,MATCH(B415,Patients!$A$2:$A$501,0))&amp;"",""))</f>
        <v/>
      </c>
      <c r="D415" s="1"/>
      <c r="E415" s="1"/>
      <c r="F415" s="1"/>
      <c r="G415" s="28"/>
      <c r="H415" s="1"/>
      <c r="I415" s="1"/>
      <c r="J415" s="29"/>
      <c r="K415" s="1"/>
      <c r="L415" s="20" t="str">
        <f aca="false">IF(E415="","",IFERROR(INDEX(Settings!$D$13:$D$32,MATCH(E415,Settings!$A$13:$A$32,0)),0)*IF(F415="",1,F415))</f>
        <v/>
      </c>
      <c r="M415" s="20" t="str">
        <f aca="false">IF(L415="","",IF(I415="",L415,L415*(1-IF(J415="",Settings!$B$6,J415))))</f>
        <v/>
      </c>
      <c r="N415" s="20" t="str">
        <f aca="false">IF(OR(L415="",I415=""),"",L415-M415)</f>
        <v/>
      </c>
      <c r="O415" s="1"/>
    </row>
    <row r="416" customFormat="false" ht="15" hidden="false" customHeight="false" outlineLevel="0" collapsed="false">
      <c r="A416" s="27"/>
      <c r="B416" s="1"/>
      <c r="C416" s="24" t="str">
        <f aca="false">IF(B416="","",IFERROR(INDEX(Patients!$B$2:$B$501,MATCH(B416,Patients!$A$2:$A$501,0))&amp;"",""))</f>
        <v/>
      </c>
      <c r="D416" s="1"/>
      <c r="E416" s="1"/>
      <c r="F416" s="1"/>
      <c r="G416" s="28"/>
      <c r="H416" s="1"/>
      <c r="I416" s="1"/>
      <c r="J416" s="29"/>
      <c r="K416" s="1"/>
      <c r="L416" s="20" t="str">
        <f aca="false">IF(E416="","",IFERROR(INDEX(Settings!$D$13:$D$32,MATCH(E416,Settings!$A$13:$A$32,0)),0)*IF(F416="",1,F416))</f>
        <v/>
      </c>
      <c r="M416" s="20" t="str">
        <f aca="false">IF(L416="","",IF(I416="",L416,L416*(1-IF(J416="",Settings!$B$6,J416))))</f>
        <v/>
      </c>
      <c r="N416" s="20" t="str">
        <f aca="false">IF(OR(L416="",I416=""),"",L416-M416)</f>
        <v/>
      </c>
      <c r="O416" s="1"/>
    </row>
    <row r="417" customFormat="false" ht="15" hidden="false" customHeight="false" outlineLevel="0" collapsed="false">
      <c r="A417" s="27"/>
      <c r="B417" s="1"/>
      <c r="C417" s="24" t="str">
        <f aca="false">IF(B417="","",IFERROR(INDEX(Patients!$B$2:$B$501,MATCH(B417,Patients!$A$2:$A$501,0))&amp;"",""))</f>
        <v/>
      </c>
      <c r="D417" s="1"/>
      <c r="E417" s="1"/>
      <c r="F417" s="1"/>
      <c r="G417" s="28"/>
      <c r="H417" s="1"/>
      <c r="I417" s="1"/>
      <c r="J417" s="29"/>
      <c r="K417" s="1"/>
      <c r="L417" s="20" t="str">
        <f aca="false">IF(E417="","",IFERROR(INDEX(Settings!$D$13:$D$32,MATCH(E417,Settings!$A$13:$A$32,0)),0)*IF(F417="",1,F417))</f>
        <v/>
      </c>
      <c r="M417" s="20" t="str">
        <f aca="false">IF(L417="","",IF(I417="",L417,L417*(1-IF(J417="",Settings!$B$6,J417))))</f>
        <v/>
      </c>
      <c r="N417" s="20" t="str">
        <f aca="false">IF(OR(L417="",I417=""),"",L417-M417)</f>
        <v/>
      </c>
      <c r="O417" s="1"/>
    </row>
    <row r="418" customFormat="false" ht="15" hidden="false" customHeight="false" outlineLevel="0" collapsed="false">
      <c r="A418" s="27"/>
      <c r="B418" s="1"/>
      <c r="C418" s="24" t="str">
        <f aca="false">IF(B418="","",IFERROR(INDEX(Patients!$B$2:$B$501,MATCH(B418,Patients!$A$2:$A$501,0))&amp;"",""))</f>
        <v/>
      </c>
      <c r="D418" s="1"/>
      <c r="E418" s="1"/>
      <c r="F418" s="1"/>
      <c r="G418" s="28"/>
      <c r="H418" s="1"/>
      <c r="I418" s="1"/>
      <c r="J418" s="29"/>
      <c r="K418" s="1"/>
      <c r="L418" s="20" t="str">
        <f aca="false">IF(E418="","",IFERROR(INDEX(Settings!$D$13:$D$32,MATCH(E418,Settings!$A$13:$A$32,0)),0)*IF(F418="",1,F418))</f>
        <v/>
      </c>
      <c r="M418" s="20" t="str">
        <f aca="false">IF(L418="","",IF(I418="",L418,L418*(1-IF(J418="",Settings!$B$6,J418))))</f>
        <v/>
      </c>
      <c r="N418" s="20" t="str">
        <f aca="false">IF(OR(L418="",I418=""),"",L418-M418)</f>
        <v/>
      </c>
      <c r="O418" s="1"/>
    </row>
    <row r="419" customFormat="false" ht="15" hidden="false" customHeight="false" outlineLevel="0" collapsed="false">
      <c r="A419" s="27"/>
      <c r="B419" s="1"/>
      <c r="C419" s="24" t="str">
        <f aca="false">IF(B419="","",IFERROR(INDEX(Patients!$B$2:$B$501,MATCH(B419,Patients!$A$2:$A$501,0))&amp;"",""))</f>
        <v/>
      </c>
      <c r="D419" s="1"/>
      <c r="E419" s="1"/>
      <c r="F419" s="1"/>
      <c r="G419" s="28"/>
      <c r="H419" s="1"/>
      <c r="I419" s="1"/>
      <c r="J419" s="29"/>
      <c r="K419" s="1"/>
      <c r="L419" s="20" t="str">
        <f aca="false">IF(E419="","",IFERROR(INDEX(Settings!$D$13:$D$32,MATCH(E419,Settings!$A$13:$A$32,0)),0)*IF(F419="",1,F419))</f>
        <v/>
      </c>
      <c r="M419" s="20" t="str">
        <f aca="false">IF(L419="","",IF(I419="",L419,L419*(1-IF(J419="",Settings!$B$6,J419))))</f>
        <v/>
      </c>
      <c r="N419" s="20" t="str">
        <f aca="false">IF(OR(L419="",I419=""),"",L419-M419)</f>
        <v/>
      </c>
      <c r="O419" s="1"/>
    </row>
    <row r="420" customFormat="false" ht="15" hidden="false" customHeight="false" outlineLevel="0" collapsed="false">
      <c r="A420" s="27"/>
      <c r="B420" s="1"/>
      <c r="C420" s="24" t="str">
        <f aca="false">IF(B420="","",IFERROR(INDEX(Patients!$B$2:$B$501,MATCH(B420,Patients!$A$2:$A$501,0))&amp;"",""))</f>
        <v/>
      </c>
      <c r="D420" s="1"/>
      <c r="E420" s="1"/>
      <c r="F420" s="1"/>
      <c r="G420" s="28"/>
      <c r="H420" s="1"/>
      <c r="I420" s="1"/>
      <c r="J420" s="29"/>
      <c r="K420" s="1"/>
      <c r="L420" s="20" t="str">
        <f aca="false">IF(E420="","",IFERROR(INDEX(Settings!$D$13:$D$32,MATCH(E420,Settings!$A$13:$A$32,0)),0)*IF(F420="",1,F420))</f>
        <v/>
      </c>
      <c r="M420" s="20" t="str">
        <f aca="false">IF(L420="","",IF(I420="",L420,L420*(1-IF(J420="",Settings!$B$6,J420))))</f>
        <v/>
      </c>
      <c r="N420" s="20" t="str">
        <f aca="false">IF(OR(L420="",I420=""),"",L420-M420)</f>
        <v/>
      </c>
      <c r="O420" s="1"/>
    </row>
    <row r="421" customFormat="false" ht="15" hidden="false" customHeight="false" outlineLevel="0" collapsed="false">
      <c r="A421" s="27"/>
      <c r="B421" s="1"/>
      <c r="C421" s="24" t="str">
        <f aca="false">IF(B421="","",IFERROR(INDEX(Patients!$B$2:$B$501,MATCH(B421,Patients!$A$2:$A$501,0))&amp;"",""))</f>
        <v/>
      </c>
      <c r="D421" s="1"/>
      <c r="E421" s="1"/>
      <c r="F421" s="1"/>
      <c r="G421" s="28"/>
      <c r="H421" s="1"/>
      <c r="I421" s="1"/>
      <c r="J421" s="29"/>
      <c r="K421" s="1"/>
      <c r="L421" s="20" t="str">
        <f aca="false">IF(E421="","",IFERROR(INDEX(Settings!$D$13:$D$32,MATCH(E421,Settings!$A$13:$A$32,0)),0)*IF(F421="",1,F421))</f>
        <v/>
      </c>
      <c r="M421" s="20" t="str">
        <f aca="false">IF(L421="","",IF(I421="",L421,L421*(1-IF(J421="",Settings!$B$6,J421))))</f>
        <v/>
      </c>
      <c r="N421" s="20" t="str">
        <f aca="false">IF(OR(L421="",I421=""),"",L421-M421)</f>
        <v/>
      </c>
      <c r="O421" s="1"/>
    </row>
    <row r="422" customFormat="false" ht="15" hidden="false" customHeight="false" outlineLevel="0" collapsed="false">
      <c r="A422" s="27"/>
      <c r="B422" s="1"/>
      <c r="C422" s="24" t="str">
        <f aca="false">IF(B422="","",IFERROR(INDEX(Patients!$B$2:$B$501,MATCH(B422,Patients!$A$2:$A$501,0))&amp;"",""))</f>
        <v/>
      </c>
      <c r="D422" s="1"/>
      <c r="E422" s="1"/>
      <c r="F422" s="1"/>
      <c r="G422" s="28"/>
      <c r="H422" s="1"/>
      <c r="I422" s="1"/>
      <c r="J422" s="29"/>
      <c r="K422" s="1"/>
      <c r="L422" s="20" t="str">
        <f aca="false">IF(E422="","",IFERROR(INDEX(Settings!$D$13:$D$32,MATCH(E422,Settings!$A$13:$A$32,0)),0)*IF(F422="",1,F422))</f>
        <v/>
      </c>
      <c r="M422" s="20" t="str">
        <f aca="false">IF(L422="","",IF(I422="",L422,L422*(1-IF(J422="",Settings!$B$6,J422))))</f>
        <v/>
      </c>
      <c r="N422" s="20" t="str">
        <f aca="false">IF(OR(L422="",I422=""),"",L422-M422)</f>
        <v/>
      </c>
      <c r="O422" s="1"/>
    </row>
    <row r="423" customFormat="false" ht="15" hidden="false" customHeight="false" outlineLevel="0" collapsed="false">
      <c r="A423" s="27"/>
      <c r="B423" s="1"/>
      <c r="C423" s="24" t="str">
        <f aca="false">IF(B423="","",IFERROR(INDEX(Patients!$B$2:$B$501,MATCH(B423,Patients!$A$2:$A$501,0))&amp;"",""))</f>
        <v/>
      </c>
      <c r="D423" s="1"/>
      <c r="E423" s="1"/>
      <c r="F423" s="1"/>
      <c r="G423" s="28"/>
      <c r="H423" s="1"/>
      <c r="I423" s="1"/>
      <c r="J423" s="29"/>
      <c r="K423" s="1"/>
      <c r="L423" s="20" t="str">
        <f aca="false">IF(E423="","",IFERROR(INDEX(Settings!$D$13:$D$32,MATCH(E423,Settings!$A$13:$A$32,0)),0)*IF(F423="",1,F423))</f>
        <v/>
      </c>
      <c r="M423" s="20" t="str">
        <f aca="false">IF(L423="","",IF(I423="",L423,L423*(1-IF(J423="",Settings!$B$6,J423))))</f>
        <v/>
      </c>
      <c r="N423" s="20" t="str">
        <f aca="false">IF(OR(L423="",I423=""),"",L423-M423)</f>
        <v/>
      </c>
      <c r="O423" s="1"/>
    </row>
    <row r="424" customFormat="false" ht="15" hidden="false" customHeight="false" outlineLevel="0" collapsed="false">
      <c r="A424" s="27"/>
      <c r="B424" s="1"/>
      <c r="C424" s="24" t="str">
        <f aca="false">IF(B424="","",IFERROR(INDEX(Patients!$B$2:$B$501,MATCH(B424,Patients!$A$2:$A$501,0))&amp;"",""))</f>
        <v/>
      </c>
      <c r="D424" s="1"/>
      <c r="E424" s="1"/>
      <c r="F424" s="1"/>
      <c r="G424" s="28"/>
      <c r="H424" s="1"/>
      <c r="I424" s="1"/>
      <c r="J424" s="29"/>
      <c r="K424" s="1"/>
      <c r="L424" s="20" t="str">
        <f aca="false">IF(E424="","",IFERROR(INDEX(Settings!$D$13:$D$32,MATCH(E424,Settings!$A$13:$A$32,0)),0)*IF(F424="",1,F424))</f>
        <v/>
      </c>
      <c r="M424" s="20" t="str">
        <f aca="false">IF(L424="","",IF(I424="",L424,L424*(1-IF(J424="",Settings!$B$6,J424))))</f>
        <v/>
      </c>
      <c r="N424" s="20" t="str">
        <f aca="false">IF(OR(L424="",I424=""),"",L424-M424)</f>
        <v/>
      </c>
      <c r="O424" s="1"/>
    </row>
    <row r="425" customFormat="false" ht="15" hidden="false" customHeight="false" outlineLevel="0" collapsed="false">
      <c r="A425" s="27"/>
      <c r="B425" s="1"/>
      <c r="C425" s="24" t="str">
        <f aca="false">IF(B425="","",IFERROR(INDEX(Patients!$B$2:$B$501,MATCH(B425,Patients!$A$2:$A$501,0))&amp;"",""))</f>
        <v/>
      </c>
      <c r="D425" s="1"/>
      <c r="E425" s="1"/>
      <c r="F425" s="1"/>
      <c r="G425" s="28"/>
      <c r="H425" s="1"/>
      <c r="I425" s="1"/>
      <c r="J425" s="29"/>
      <c r="K425" s="1"/>
      <c r="L425" s="20" t="str">
        <f aca="false">IF(E425="","",IFERROR(INDEX(Settings!$D$13:$D$32,MATCH(E425,Settings!$A$13:$A$32,0)),0)*IF(F425="",1,F425))</f>
        <v/>
      </c>
      <c r="M425" s="20" t="str">
        <f aca="false">IF(L425="","",IF(I425="",L425,L425*(1-IF(J425="",Settings!$B$6,J425))))</f>
        <v/>
      </c>
      <c r="N425" s="20" t="str">
        <f aca="false">IF(OR(L425="",I425=""),"",L425-M425)</f>
        <v/>
      </c>
      <c r="O425" s="1"/>
    </row>
    <row r="426" customFormat="false" ht="15" hidden="false" customHeight="false" outlineLevel="0" collapsed="false">
      <c r="A426" s="27"/>
      <c r="B426" s="1"/>
      <c r="C426" s="24" t="str">
        <f aca="false">IF(B426="","",IFERROR(INDEX(Patients!$B$2:$B$501,MATCH(B426,Patients!$A$2:$A$501,0))&amp;"",""))</f>
        <v/>
      </c>
      <c r="D426" s="1"/>
      <c r="E426" s="1"/>
      <c r="F426" s="1"/>
      <c r="G426" s="28"/>
      <c r="H426" s="1"/>
      <c r="I426" s="1"/>
      <c r="J426" s="29"/>
      <c r="K426" s="1"/>
      <c r="L426" s="20" t="str">
        <f aca="false">IF(E426="","",IFERROR(INDEX(Settings!$D$13:$D$32,MATCH(E426,Settings!$A$13:$A$32,0)),0)*IF(F426="",1,F426))</f>
        <v/>
      </c>
      <c r="M426" s="20" t="str">
        <f aca="false">IF(L426="","",IF(I426="",L426,L426*(1-IF(J426="",Settings!$B$6,J426))))</f>
        <v/>
      </c>
      <c r="N426" s="20" t="str">
        <f aca="false">IF(OR(L426="",I426=""),"",L426-M426)</f>
        <v/>
      </c>
      <c r="O426" s="1"/>
    </row>
    <row r="427" customFormat="false" ht="15" hidden="false" customHeight="false" outlineLevel="0" collapsed="false">
      <c r="A427" s="27"/>
      <c r="B427" s="1"/>
      <c r="C427" s="24" t="str">
        <f aca="false">IF(B427="","",IFERROR(INDEX(Patients!$B$2:$B$501,MATCH(B427,Patients!$A$2:$A$501,0))&amp;"",""))</f>
        <v/>
      </c>
      <c r="D427" s="1"/>
      <c r="E427" s="1"/>
      <c r="F427" s="1"/>
      <c r="G427" s="28"/>
      <c r="H427" s="1"/>
      <c r="I427" s="1"/>
      <c r="J427" s="29"/>
      <c r="K427" s="1"/>
      <c r="L427" s="20" t="str">
        <f aca="false">IF(E427="","",IFERROR(INDEX(Settings!$D$13:$D$32,MATCH(E427,Settings!$A$13:$A$32,0)),0)*IF(F427="",1,F427))</f>
        <v/>
      </c>
      <c r="M427" s="20" t="str">
        <f aca="false">IF(L427="","",IF(I427="",L427,L427*(1-IF(J427="",Settings!$B$6,J427))))</f>
        <v/>
      </c>
      <c r="N427" s="20" t="str">
        <f aca="false">IF(OR(L427="",I427=""),"",L427-M427)</f>
        <v/>
      </c>
      <c r="O427" s="1"/>
    </row>
    <row r="428" customFormat="false" ht="15" hidden="false" customHeight="false" outlineLevel="0" collapsed="false">
      <c r="A428" s="27"/>
      <c r="B428" s="1"/>
      <c r="C428" s="24" t="str">
        <f aca="false">IF(B428="","",IFERROR(INDEX(Patients!$B$2:$B$501,MATCH(B428,Patients!$A$2:$A$501,0))&amp;"",""))</f>
        <v/>
      </c>
      <c r="D428" s="1"/>
      <c r="E428" s="1"/>
      <c r="F428" s="1"/>
      <c r="G428" s="28"/>
      <c r="H428" s="1"/>
      <c r="I428" s="1"/>
      <c r="J428" s="29"/>
      <c r="K428" s="1"/>
      <c r="L428" s="20" t="str">
        <f aca="false">IF(E428="","",IFERROR(INDEX(Settings!$D$13:$D$32,MATCH(E428,Settings!$A$13:$A$32,0)),0)*IF(F428="",1,F428))</f>
        <v/>
      </c>
      <c r="M428" s="20" t="str">
        <f aca="false">IF(L428="","",IF(I428="",L428,L428*(1-IF(J428="",Settings!$B$6,J428))))</f>
        <v/>
      </c>
      <c r="N428" s="20" t="str">
        <f aca="false">IF(OR(L428="",I428=""),"",L428-M428)</f>
        <v/>
      </c>
      <c r="O428" s="1"/>
    </row>
    <row r="429" customFormat="false" ht="15" hidden="false" customHeight="false" outlineLevel="0" collapsed="false">
      <c r="A429" s="27"/>
      <c r="B429" s="1"/>
      <c r="C429" s="24" t="str">
        <f aca="false">IF(B429="","",IFERROR(INDEX(Patients!$B$2:$B$501,MATCH(B429,Patients!$A$2:$A$501,0))&amp;"",""))</f>
        <v/>
      </c>
      <c r="D429" s="1"/>
      <c r="E429" s="1"/>
      <c r="F429" s="1"/>
      <c r="G429" s="28"/>
      <c r="H429" s="1"/>
      <c r="I429" s="1"/>
      <c r="J429" s="29"/>
      <c r="K429" s="1"/>
      <c r="L429" s="20" t="str">
        <f aca="false">IF(E429="","",IFERROR(INDEX(Settings!$D$13:$D$32,MATCH(E429,Settings!$A$13:$A$32,0)),0)*IF(F429="",1,F429))</f>
        <v/>
      </c>
      <c r="M429" s="20" t="str">
        <f aca="false">IF(L429="","",IF(I429="",L429,L429*(1-IF(J429="",Settings!$B$6,J429))))</f>
        <v/>
      </c>
      <c r="N429" s="20" t="str">
        <f aca="false">IF(OR(L429="",I429=""),"",L429-M429)</f>
        <v/>
      </c>
      <c r="O429" s="1"/>
    </row>
    <row r="430" customFormat="false" ht="15" hidden="false" customHeight="false" outlineLevel="0" collapsed="false">
      <c r="A430" s="27"/>
      <c r="B430" s="1"/>
      <c r="C430" s="24" t="str">
        <f aca="false">IF(B430="","",IFERROR(INDEX(Patients!$B$2:$B$501,MATCH(B430,Patients!$A$2:$A$501,0))&amp;"",""))</f>
        <v/>
      </c>
      <c r="D430" s="1"/>
      <c r="E430" s="1"/>
      <c r="F430" s="1"/>
      <c r="G430" s="28"/>
      <c r="H430" s="1"/>
      <c r="I430" s="1"/>
      <c r="J430" s="29"/>
      <c r="K430" s="1"/>
      <c r="L430" s="20" t="str">
        <f aca="false">IF(E430="","",IFERROR(INDEX(Settings!$D$13:$D$32,MATCH(E430,Settings!$A$13:$A$32,0)),0)*IF(F430="",1,F430))</f>
        <v/>
      </c>
      <c r="M430" s="20" t="str">
        <f aca="false">IF(L430="","",IF(I430="",L430,L430*(1-IF(J430="",Settings!$B$6,J430))))</f>
        <v/>
      </c>
      <c r="N430" s="20" t="str">
        <f aca="false">IF(OR(L430="",I430=""),"",L430-M430)</f>
        <v/>
      </c>
      <c r="O430" s="1"/>
    </row>
    <row r="431" customFormat="false" ht="15" hidden="false" customHeight="false" outlineLevel="0" collapsed="false">
      <c r="A431" s="27"/>
      <c r="B431" s="1"/>
      <c r="C431" s="24" t="str">
        <f aca="false">IF(B431="","",IFERROR(INDEX(Patients!$B$2:$B$501,MATCH(B431,Patients!$A$2:$A$501,0))&amp;"",""))</f>
        <v/>
      </c>
      <c r="D431" s="1"/>
      <c r="E431" s="1"/>
      <c r="F431" s="1"/>
      <c r="G431" s="28"/>
      <c r="H431" s="1"/>
      <c r="I431" s="1"/>
      <c r="J431" s="29"/>
      <c r="K431" s="1"/>
      <c r="L431" s="20" t="str">
        <f aca="false">IF(E431="","",IFERROR(INDEX(Settings!$D$13:$D$32,MATCH(E431,Settings!$A$13:$A$32,0)),0)*IF(F431="",1,F431))</f>
        <v/>
      </c>
      <c r="M431" s="20" t="str">
        <f aca="false">IF(L431="","",IF(I431="",L431,L431*(1-IF(J431="",Settings!$B$6,J431))))</f>
        <v/>
      </c>
      <c r="N431" s="20" t="str">
        <f aca="false">IF(OR(L431="",I431=""),"",L431-M431)</f>
        <v/>
      </c>
      <c r="O431" s="1"/>
    </row>
    <row r="432" customFormat="false" ht="15" hidden="false" customHeight="false" outlineLevel="0" collapsed="false">
      <c r="A432" s="27"/>
      <c r="B432" s="1"/>
      <c r="C432" s="24" t="str">
        <f aca="false">IF(B432="","",IFERROR(INDEX(Patients!$B$2:$B$501,MATCH(B432,Patients!$A$2:$A$501,0))&amp;"",""))</f>
        <v/>
      </c>
      <c r="D432" s="1"/>
      <c r="E432" s="1"/>
      <c r="F432" s="1"/>
      <c r="G432" s="28"/>
      <c r="H432" s="1"/>
      <c r="I432" s="1"/>
      <c r="J432" s="29"/>
      <c r="K432" s="1"/>
      <c r="L432" s="20" t="str">
        <f aca="false">IF(E432="","",IFERROR(INDEX(Settings!$D$13:$D$32,MATCH(E432,Settings!$A$13:$A$32,0)),0)*IF(F432="",1,F432))</f>
        <v/>
      </c>
      <c r="M432" s="20" t="str">
        <f aca="false">IF(L432="","",IF(I432="",L432,L432*(1-IF(J432="",Settings!$B$6,J432))))</f>
        <v/>
      </c>
      <c r="N432" s="20" t="str">
        <f aca="false">IF(OR(L432="",I432=""),"",L432-M432)</f>
        <v/>
      </c>
      <c r="O432" s="1"/>
    </row>
    <row r="433" customFormat="false" ht="15" hidden="false" customHeight="false" outlineLevel="0" collapsed="false">
      <c r="A433" s="27"/>
      <c r="B433" s="1"/>
      <c r="C433" s="24" t="str">
        <f aca="false">IF(B433="","",IFERROR(INDEX(Patients!$B$2:$B$501,MATCH(B433,Patients!$A$2:$A$501,0))&amp;"",""))</f>
        <v/>
      </c>
      <c r="D433" s="1"/>
      <c r="E433" s="1"/>
      <c r="F433" s="1"/>
      <c r="G433" s="28"/>
      <c r="H433" s="1"/>
      <c r="I433" s="1"/>
      <c r="J433" s="29"/>
      <c r="K433" s="1"/>
      <c r="L433" s="20" t="str">
        <f aca="false">IF(E433="","",IFERROR(INDEX(Settings!$D$13:$D$32,MATCH(E433,Settings!$A$13:$A$32,0)),0)*IF(F433="",1,F433))</f>
        <v/>
      </c>
      <c r="M433" s="20" t="str">
        <f aca="false">IF(L433="","",IF(I433="",L433,L433*(1-IF(J433="",Settings!$B$6,J433))))</f>
        <v/>
      </c>
      <c r="N433" s="20" t="str">
        <f aca="false">IF(OR(L433="",I433=""),"",L433-M433)</f>
        <v/>
      </c>
      <c r="O433" s="1"/>
    </row>
    <row r="434" customFormat="false" ht="15" hidden="false" customHeight="false" outlineLevel="0" collapsed="false">
      <c r="A434" s="27"/>
      <c r="B434" s="1"/>
      <c r="C434" s="24" t="str">
        <f aca="false">IF(B434="","",IFERROR(INDEX(Patients!$B$2:$B$501,MATCH(B434,Patients!$A$2:$A$501,0))&amp;"",""))</f>
        <v/>
      </c>
      <c r="D434" s="1"/>
      <c r="E434" s="1"/>
      <c r="F434" s="1"/>
      <c r="G434" s="28"/>
      <c r="H434" s="1"/>
      <c r="I434" s="1"/>
      <c r="J434" s="29"/>
      <c r="K434" s="1"/>
      <c r="L434" s="20" t="str">
        <f aca="false">IF(E434="","",IFERROR(INDEX(Settings!$D$13:$D$32,MATCH(E434,Settings!$A$13:$A$32,0)),0)*IF(F434="",1,F434))</f>
        <v/>
      </c>
      <c r="M434" s="20" t="str">
        <f aca="false">IF(L434="","",IF(I434="",L434,L434*(1-IF(J434="",Settings!$B$6,J434))))</f>
        <v/>
      </c>
      <c r="N434" s="20" t="str">
        <f aca="false">IF(OR(L434="",I434=""),"",L434-M434)</f>
        <v/>
      </c>
      <c r="O434" s="1"/>
    </row>
    <row r="435" customFormat="false" ht="15" hidden="false" customHeight="false" outlineLevel="0" collapsed="false">
      <c r="A435" s="27"/>
      <c r="B435" s="1"/>
      <c r="C435" s="24" t="str">
        <f aca="false">IF(B435="","",IFERROR(INDEX(Patients!$B$2:$B$501,MATCH(B435,Patients!$A$2:$A$501,0))&amp;"",""))</f>
        <v/>
      </c>
      <c r="D435" s="1"/>
      <c r="E435" s="1"/>
      <c r="F435" s="1"/>
      <c r="G435" s="28"/>
      <c r="H435" s="1"/>
      <c r="I435" s="1"/>
      <c r="J435" s="29"/>
      <c r="K435" s="1"/>
      <c r="L435" s="20" t="str">
        <f aca="false">IF(E435="","",IFERROR(INDEX(Settings!$D$13:$D$32,MATCH(E435,Settings!$A$13:$A$32,0)),0)*IF(F435="",1,F435))</f>
        <v/>
      </c>
      <c r="M435" s="20" t="str">
        <f aca="false">IF(L435="","",IF(I435="",L435,L435*(1-IF(J435="",Settings!$B$6,J435))))</f>
        <v/>
      </c>
      <c r="N435" s="20" t="str">
        <f aca="false">IF(OR(L435="",I435=""),"",L435-M435)</f>
        <v/>
      </c>
      <c r="O435" s="1"/>
    </row>
    <row r="436" customFormat="false" ht="15" hidden="false" customHeight="false" outlineLevel="0" collapsed="false">
      <c r="A436" s="27"/>
      <c r="B436" s="1"/>
      <c r="C436" s="24" t="str">
        <f aca="false">IF(B436="","",IFERROR(INDEX(Patients!$B$2:$B$501,MATCH(B436,Patients!$A$2:$A$501,0))&amp;"",""))</f>
        <v/>
      </c>
      <c r="D436" s="1"/>
      <c r="E436" s="1"/>
      <c r="F436" s="1"/>
      <c r="G436" s="28"/>
      <c r="H436" s="1"/>
      <c r="I436" s="1"/>
      <c r="J436" s="29"/>
      <c r="K436" s="1"/>
      <c r="L436" s="20" t="str">
        <f aca="false">IF(E436="","",IFERROR(INDEX(Settings!$D$13:$D$32,MATCH(E436,Settings!$A$13:$A$32,0)),0)*IF(F436="",1,F436))</f>
        <v/>
      </c>
      <c r="M436" s="20" t="str">
        <f aca="false">IF(L436="","",IF(I436="",L436,L436*(1-IF(J436="",Settings!$B$6,J436))))</f>
        <v/>
      </c>
      <c r="N436" s="20" t="str">
        <f aca="false">IF(OR(L436="",I436=""),"",L436-M436)</f>
        <v/>
      </c>
      <c r="O436" s="1"/>
    </row>
    <row r="437" customFormat="false" ht="15" hidden="false" customHeight="false" outlineLevel="0" collapsed="false">
      <c r="A437" s="27"/>
      <c r="B437" s="1"/>
      <c r="C437" s="24" t="str">
        <f aca="false">IF(B437="","",IFERROR(INDEX(Patients!$B$2:$B$501,MATCH(B437,Patients!$A$2:$A$501,0))&amp;"",""))</f>
        <v/>
      </c>
      <c r="D437" s="1"/>
      <c r="E437" s="1"/>
      <c r="F437" s="1"/>
      <c r="G437" s="28"/>
      <c r="H437" s="1"/>
      <c r="I437" s="1"/>
      <c r="J437" s="29"/>
      <c r="K437" s="1"/>
      <c r="L437" s="20" t="str">
        <f aca="false">IF(E437="","",IFERROR(INDEX(Settings!$D$13:$D$32,MATCH(E437,Settings!$A$13:$A$32,0)),0)*IF(F437="",1,F437))</f>
        <v/>
      </c>
      <c r="M437" s="20" t="str">
        <f aca="false">IF(L437="","",IF(I437="",L437,L437*(1-IF(J437="",Settings!$B$6,J437))))</f>
        <v/>
      </c>
      <c r="N437" s="20" t="str">
        <f aca="false">IF(OR(L437="",I437=""),"",L437-M437)</f>
        <v/>
      </c>
      <c r="O437" s="1"/>
    </row>
    <row r="438" customFormat="false" ht="15" hidden="false" customHeight="false" outlineLevel="0" collapsed="false">
      <c r="A438" s="27"/>
      <c r="B438" s="1"/>
      <c r="C438" s="24" t="str">
        <f aca="false">IF(B438="","",IFERROR(INDEX(Patients!$B$2:$B$501,MATCH(B438,Patients!$A$2:$A$501,0))&amp;"",""))</f>
        <v/>
      </c>
      <c r="D438" s="1"/>
      <c r="E438" s="1"/>
      <c r="F438" s="1"/>
      <c r="G438" s="28"/>
      <c r="H438" s="1"/>
      <c r="I438" s="1"/>
      <c r="J438" s="29"/>
      <c r="K438" s="1"/>
      <c r="L438" s="20" t="str">
        <f aca="false">IF(E438="","",IFERROR(INDEX(Settings!$D$13:$D$32,MATCH(E438,Settings!$A$13:$A$32,0)),0)*IF(F438="",1,F438))</f>
        <v/>
      </c>
      <c r="M438" s="20" t="str">
        <f aca="false">IF(L438="","",IF(I438="",L438,L438*(1-IF(J438="",Settings!$B$6,J438))))</f>
        <v/>
      </c>
      <c r="N438" s="20" t="str">
        <f aca="false">IF(OR(L438="",I438=""),"",L438-M438)</f>
        <v/>
      </c>
      <c r="O438" s="1"/>
    </row>
    <row r="439" customFormat="false" ht="15" hidden="false" customHeight="false" outlineLevel="0" collapsed="false">
      <c r="A439" s="27"/>
      <c r="B439" s="1"/>
      <c r="C439" s="24" t="str">
        <f aca="false">IF(B439="","",IFERROR(INDEX(Patients!$B$2:$B$501,MATCH(B439,Patients!$A$2:$A$501,0))&amp;"",""))</f>
        <v/>
      </c>
      <c r="D439" s="1"/>
      <c r="E439" s="1"/>
      <c r="F439" s="1"/>
      <c r="G439" s="28"/>
      <c r="H439" s="1"/>
      <c r="I439" s="1"/>
      <c r="J439" s="29"/>
      <c r="K439" s="1"/>
      <c r="L439" s="20" t="str">
        <f aca="false">IF(E439="","",IFERROR(INDEX(Settings!$D$13:$D$32,MATCH(E439,Settings!$A$13:$A$32,0)),0)*IF(F439="",1,F439))</f>
        <v/>
      </c>
      <c r="M439" s="20" t="str">
        <f aca="false">IF(L439="","",IF(I439="",L439,L439*(1-IF(J439="",Settings!$B$6,J439))))</f>
        <v/>
      </c>
      <c r="N439" s="20" t="str">
        <f aca="false">IF(OR(L439="",I439=""),"",L439-M439)</f>
        <v/>
      </c>
      <c r="O439" s="1"/>
    </row>
    <row r="440" customFormat="false" ht="15" hidden="false" customHeight="false" outlineLevel="0" collapsed="false">
      <c r="A440" s="27"/>
      <c r="B440" s="1"/>
      <c r="C440" s="24" t="str">
        <f aca="false">IF(B440="","",IFERROR(INDEX(Patients!$B$2:$B$501,MATCH(B440,Patients!$A$2:$A$501,0))&amp;"",""))</f>
        <v/>
      </c>
      <c r="D440" s="1"/>
      <c r="E440" s="1"/>
      <c r="F440" s="1"/>
      <c r="G440" s="28"/>
      <c r="H440" s="1"/>
      <c r="I440" s="1"/>
      <c r="J440" s="29"/>
      <c r="K440" s="1"/>
      <c r="L440" s="20" t="str">
        <f aca="false">IF(E440="","",IFERROR(INDEX(Settings!$D$13:$D$32,MATCH(E440,Settings!$A$13:$A$32,0)),0)*IF(F440="",1,F440))</f>
        <v/>
      </c>
      <c r="M440" s="20" t="str">
        <f aca="false">IF(L440="","",IF(I440="",L440,L440*(1-IF(J440="",Settings!$B$6,J440))))</f>
        <v/>
      </c>
      <c r="N440" s="20" t="str">
        <f aca="false">IF(OR(L440="",I440=""),"",L440-M440)</f>
        <v/>
      </c>
      <c r="O440" s="1"/>
    </row>
    <row r="441" customFormat="false" ht="15" hidden="false" customHeight="false" outlineLevel="0" collapsed="false">
      <c r="A441" s="27"/>
      <c r="B441" s="1"/>
      <c r="C441" s="24" t="str">
        <f aca="false">IF(B441="","",IFERROR(INDEX(Patients!$B$2:$B$501,MATCH(B441,Patients!$A$2:$A$501,0))&amp;"",""))</f>
        <v/>
      </c>
      <c r="D441" s="1"/>
      <c r="E441" s="1"/>
      <c r="F441" s="1"/>
      <c r="G441" s="28"/>
      <c r="H441" s="1"/>
      <c r="I441" s="1"/>
      <c r="J441" s="29"/>
      <c r="K441" s="1"/>
      <c r="L441" s="20" t="str">
        <f aca="false">IF(E441="","",IFERROR(INDEX(Settings!$D$13:$D$32,MATCH(E441,Settings!$A$13:$A$32,0)),0)*IF(F441="",1,F441))</f>
        <v/>
      </c>
      <c r="M441" s="20" t="str">
        <f aca="false">IF(L441="","",IF(I441="",L441,L441*(1-IF(J441="",Settings!$B$6,J441))))</f>
        <v/>
      </c>
      <c r="N441" s="20" t="str">
        <f aca="false">IF(OR(L441="",I441=""),"",L441-M441)</f>
        <v/>
      </c>
      <c r="O441" s="1"/>
    </row>
    <row r="442" customFormat="false" ht="15" hidden="false" customHeight="false" outlineLevel="0" collapsed="false">
      <c r="A442" s="27"/>
      <c r="B442" s="1"/>
      <c r="C442" s="24" t="str">
        <f aca="false">IF(B442="","",IFERROR(INDEX(Patients!$B$2:$B$501,MATCH(B442,Patients!$A$2:$A$501,0))&amp;"",""))</f>
        <v/>
      </c>
      <c r="D442" s="1"/>
      <c r="E442" s="1"/>
      <c r="F442" s="1"/>
      <c r="G442" s="28"/>
      <c r="H442" s="1"/>
      <c r="I442" s="1"/>
      <c r="J442" s="29"/>
      <c r="K442" s="1"/>
      <c r="L442" s="20" t="str">
        <f aca="false">IF(E442="","",IFERROR(INDEX(Settings!$D$13:$D$32,MATCH(E442,Settings!$A$13:$A$32,0)),0)*IF(F442="",1,F442))</f>
        <v/>
      </c>
      <c r="M442" s="20" t="str">
        <f aca="false">IF(L442="","",IF(I442="",L442,L442*(1-IF(J442="",Settings!$B$6,J442))))</f>
        <v/>
      </c>
      <c r="N442" s="20" t="str">
        <f aca="false">IF(OR(L442="",I442=""),"",L442-M442)</f>
        <v/>
      </c>
      <c r="O442" s="1"/>
    </row>
    <row r="443" customFormat="false" ht="15" hidden="false" customHeight="false" outlineLevel="0" collapsed="false">
      <c r="A443" s="27"/>
      <c r="B443" s="1"/>
      <c r="C443" s="24" t="str">
        <f aca="false">IF(B443="","",IFERROR(INDEX(Patients!$B$2:$B$501,MATCH(B443,Patients!$A$2:$A$501,0))&amp;"",""))</f>
        <v/>
      </c>
      <c r="D443" s="1"/>
      <c r="E443" s="1"/>
      <c r="F443" s="1"/>
      <c r="G443" s="28"/>
      <c r="H443" s="1"/>
      <c r="I443" s="1"/>
      <c r="J443" s="29"/>
      <c r="K443" s="1"/>
      <c r="L443" s="20" t="str">
        <f aca="false">IF(E443="","",IFERROR(INDEX(Settings!$D$13:$D$32,MATCH(E443,Settings!$A$13:$A$32,0)),0)*IF(F443="",1,F443))</f>
        <v/>
      </c>
      <c r="M443" s="20" t="str">
        <f aca="false">IF(L443="","",IF(I443="",L443,L443*(1-IF(J443="",Settings!$B$6,J443))))</f>
        <v/>
      </c>
      <c r="N443" s="20" t="str">
        <f aca="false">IF(OR(L443="",I443=""),"",L443-M443)</f>
        <v/>
      </c>
      <c r="O443" s="1"/>
    </row>
    <row r="444" customFormat="false" ht="15" hidden="false" customHeight="false" outlineLevel="0" collapsed="false">
      <c r="A444" s="27"/>
      <c r="B444" s="1"/>
      <c r="C444" s="24" t="str">
        <f aca="false">IF(B444="","",IFERROR(INDEX(Patients!$B$2:$B$501,MATCH(B444,Patients!$A$2:$A$501,0))&amp;"",""))</f>
        <v/>
      </c>
      <c r="D444" s="1"/>
      <c r="E444" s="1"/>
      <c r="F444" s="1"/>
      <c r="G444" s="28"/>
      <c r="H444" s="1"/>
      <c r="I444" s="1"/>
      <c r="J444" s="29"/>
      <c r="K444" s="1"/>
      <c r="L444" s="20" t="str">
        <f aca="false">IF(E444="","",IFERROR(INDEX(Settings!$D$13:$D$32,MATCH(E444,Settings!$A$13:$A$32,0)),0)*IF(F444="",1,F444))</f>
        <v/>
      </c>
      <c r="M444" s="20" t="str">
        <f aca="false">IF(L444="","",IF(I444="",L444,L444*(1-IF(J444="",Settings!$B$6,J444))))</f>
        <v/>
      </c>
      <c r="N444" s="20" t="str">
        <f aca="false">IF(OR(L444="",I444=""),"",L444-M444)</f>
        <v/>
      </c>
      <c r="O444" s="1"/>
    </row>
    <row r="445" customFormat="false" ht="15" hidden="false" customHeight="false" outlineLevel="0" collapsed="false">
      <c r="A445" s="27"/>
      <c r="B445" s="1"/>
      <c r="C445" s="24" t="str">
        <f aca="false">IF(B445="","",IFERROR(INDEX(Patients!$B$2:$B$501,MATCH(B445,Patients!$A$2:$A$501,0))&amp;"",""))</f>
        <v/>
      </c>
      <c r="D445" s="1"/>
      <c r="E445" s="1"/>
      <c r="F445" s="1"/>
      <c r="G445" s="28"/>
      <c r="H445" s="1"/>
      <c r="I445" s="1"/>
      <c r="J445" s="29"/>
      <c r="K445" s="1"/>
      <c r="L445" s="20" t="str">
        <f aca="false">IF(E445="","",IFERROR(INDEX(Settings!$D$13:$D$32,MATCH(E445,Settings!$A$13:$A$32,0)),0)*IF(F445="",1,F445))</f>
        <v/>
      </c>
      <c r="M445" s="20" t="str">
        <f aca="false">IF(L445="","",IF(I445="",L445,L445*(1-IF(J445="",Settings!$B$6,J445))))</f>
        <v/>
      </c>
      <c r="N445" s="20" t="str">
        <f aca="false">IF(OR(L445="",I445=""),"",L445-M445)</f>
        <v/>
      </c>
      <c r="O445" s="1"/>
    </row>
    <row r="446" customFormat="false" ht="15" hidden="false" customHeight="false" outlineLevel="0" collapsed="false">
      <c r="A446" s="27"/>
      <c r="B446" s="1"/>
      <c r="C446" s="24" t="str">
        <f aca="false">IF(B446="","",IFERROR(INDEX(Patients!$B$2:$B$501,MATCH(B446,Patients!$A$2:$A$501,0))&amp;"",""))</f>
        <v/>
      </c>
      <c r="D446" s="1"/>
      <c r="E446" s="1"/>
      <c r="F446" s="1"/>
      <c r="G446" s="28"/>
      <c r="H446" s="1"/>
      <c r="I446" s="1"/>
      <c r="J446" s="29"/>
      <c r="K446" s="1"/>
      <c r="L446" s="20" t="str">
        <f aca="false">IF(E446="","",IFERROR(INDEX(Settings!$D$13:$D$32,MATCH(E446,Settings!$A$13:$A$32,0)),0)*IF(F446="",1,F446))</f>
        <v/>
      </c>
      <c r="M446" s="20" t="str">
        <f aca="false">IF(L446="","",IF(I446="",L446,L446*(1-IF(J446="",Settings!$B$6,J446))))</f>
        <v/>
      </c>
      <c r="N446" s="20" t="str">
        <f aca="false">IF(OR(L446="",I446=""),"",L446-M446)</f>
        <v/>
      </c>
      <c r="O446" s="1"/>
    </row>
    <row r="447" customFormat="false" ht="15" hidden="false" customHeight="false" outlineLevel="0" collapsed="false">
      <c r="A447" s="27"/>
      <c r="B447" s="1"/>
      <c r="C447" s="24" t="str">
        <f aca="false">IF(B447="","",IFERROR(INDEX(Patients!$B$2:$B$501,MATCH(B447,Patients!$A$2:$A$501,0))&amp;"",""))</f>
        <v/>
      </c>
      <c r="D447" s="1"/>
      <c r="E447" s="1"/>
      <c r="F447" s="1"/>
      <c r="G447" s="28"/>
      <c r="H447" s="1"/>
      <c r="I447" s="1"/>
      <c r="J447" s="29"/>
      <c r="K447" s="1"/>
      <c r="L447" s="20" t="str">
        <f aca="false">IF(E447="","",IFERROR(INDEX(Settings!$D$13:$D$32,MATCH(E447,Settings!$A$13:$A$32,0)),0)*IF(F447="",1,F447))</f>
        <v/>
      </c>
      <c r="M447" s="20" t="str">
        <f aca="false">IF(L447="","",IF(I447="",L447,L447*(1-IF(J447="",Settings!$B$6,J447))))</f>
        <v/>
      </c>
      <c r="N447" s="20" t="str">
        <f aca="false">IF(OR(L447="",I447=""),"",L447-M447)</f>
        <v/>
      </c>
      <c r="O447" s="1"/>
    </row>
    <row r="448" customFormat="false" ht="15" hidden="false" customHeight="false" outlineLevel="0" collapsed="false">
      <c r="A448" s="27"/>
      <c r="B448" s="1"/>
      <c r="C448" s="24" t="str">
        <f aca="false">IF(B448="","",IFERROR(INDEX(Patients!$B$2:$B$501,MATCH(B448,Patients!$A$2:$A$501,0))&amp;"",""))</f>
        <v/>
      </c>
      <c r="D448" s="1"/>
      <c r="E448" s="1"/>
      <c r="F448" s="1"/>
      <c r="G448" s="28"/>
      <c r="H448" s="1"/>
      <c r="I448" s="1"/>
      <c r="J448" s="29"/>
      <c r="K448" s="1"/>
      <c r="L448" s="20" t="str">
        <f aca="false">IF(E448="","",IFERROR(INDEX(Settings!$D$13:$D$32,MATCH(E448,Settings!$A$13:$A$32,0)),0)*IF(F448="",1,F448))</f>
        <v/>
      </c>
      <c r="M448" s="20" t="str">
        <f aca="false">IF(L448="","",IF(I448="",L448,L448*(1-IF(J448="",Settings!$B$6,J448))))</f>
        <v/>
      </c>
      <c r="N448" s="20" t="str">
        <f aca="false">IF(OR(L448="",I448=""),"",L448-M448)</f>
        <v/>
      </c>
      <c r="O448" s="1"/>
    </row>
    <row r="449" customFormat="false" ht="15" hidden="false" customHeight="false" outlineLevel="0" collapsed="false">
      <c r="A449" s="27"/>
      <c r="B449" s="1"/>
      <c r="C449" s="24" t="str">
        <f aca="false">IF(B449="","",IFERROR(INDEX(Patients!$B$2:$B$501,MATCH(B449,Patients!$A$2:$A$501,0))&amp;"",""))</f>
        <v/>
      </c>
      <c r="D449" s="1"/>
      <c r="E449" s="1"/>
      <c r="F449" s="1"/>
      <c r="G449" s="28"/>
      <c r="H449" s="1"/>
      <c r="I449" s="1"/>
      <c r="J449" s="29"/>
      <c r="K449" s="1"/>
      <c r="L449" s="20" t="str">
        <f aca="false">IF(E449="","",IFERROR(INDEX(Settings!$D$13:$D$32,MATCH(E449,Settings!$A$13:$A$32,0)),0)*IF(F449="",1,F449))</f>
        <v/>
      </c>
      <c r="M449" s="20" t="str">
        <f aca="false">IF(L449="","",IF(I449="",L449,L449*(1-IF(J449="",Settings!$B$6,J449))))</f>
        <v/>
      </c>
      <c r="N449" s="20" t="str">
        <f aca="false">IF(OR(L449="",I449=""),"",L449-M449)</f>
        <v/>
      </c>
      <c r="O449" s="1"/>
    </row>
    <row r="450" customFormat="false" ht="15" hidden="false" customHeight="false" outlineLevel="0" collapsed="false">
      <c r="A450" s="27"/>
      <c r="B450" s="1"/>
      <c r="C450" s="24" t="str">
        <f aca="false">IF(B450="","",IFERROR(INDEX(Patients!$B$2:$B$501,MATCH(B450,Patients!$A$2:$A$501,0))&amp;"",""))</f>
        <v/>
      </c>
      <c r="D450" s="1"/>
      <c r="E450" s="1"/>
      <c r="F450" s="1"/>
      <c r="G450" s="28"/>
      <c r="H450" s="1"/>
      <c r="I450" s="1"/>
      <c r="J450" s="29"/>
      <c r="K450" s="1"/>
      <c r="L450" s="20" t="str">
        <f aca="false">IF(E450="","",IFERROR(INDEX(Settings!$D$13:$D$32,MATCH(E450,Settings!$A$13:$A$32,0)),0)*IF(F450="",1,F450))</f>
        <v/>
      </c>
      <c r="M450" s="20" t="str">
        <f aca="false">IF(L450="","",IF(I450="",L450,L450*(1-IF(J450="",Settings!$B$6,J450))))</f>
        <v/>
      </c>
      <c r="N450" s="20" t="str">
        <f aca="false">IF(OR(L450="",I450=""),"",L450-M450)</f>
        <v/>
      </c>
      <c r="O450" s="1"/>
    </row>
    <row r="451" customFormat="false" ht="15" hidden="false" customHeight="false" outlineLevel="0" collapsed="false">
      <c r="A451" s="27"/>
      <c r="B451" s="1"/>
      <c r="C451" s="24" t="str">
        <f aca="false">IF(B451="","",IFERROR(INDEX(Patients!$B$2:$B$501,MATCH(B451,Patients!$A$2:$A$501,0))&amp;"",""))</f>
        <v/>
      </c>
      <c r="D451" s="1"/>
      <c r="E451" s="1"/>
      <c r="F451" s="1"/>
      <c r="G451" s="28"/>
      <c r="H451" s="1"/>
      <c r="I451" s="1"/>
      <c r="J451" s="29"/>
      <c r="K451" s="1"/>
      <c r="L451" s="20" t="str">
        <f aca="false">IF(E451="","",IFERROR(INDEX(Settings!$D$13:$D$32,MATCH(E451,Settings!$A$13:$A$32,0)),0)*IF(F451="",1,F451))</f>
        <v/>
      </c>
      <c r="M451" s="20" t="str">
        <f aca="false">IF(L451="","",IF(I451="",L451,L451*(1-IF(J451="",Settings!$B$6,J451))))</f>
        <v/>
      </c>
      <c r="N451" s="20" t="str">
        <f aca="false">IF(OR(L451="",I451=""),"",L451-M451)</f>
        <v/>
      </c>
      <c r="O451" s="1"/>
    </row>
    <row r="452" customFormat="false" ht="15" hidden="false" customHeight="false" outlineLevel="0" collapsed="false">
      <c r="A452" s="27"/>
      <c r="B452" s="1"/>
      <c r="C452" s="24" t="str">
        <f aca="false">IF(B452="","",IFERROR(INDEX(Patients!$B$2:$B$501,MATCH(B452,Patients!$A$2:$A$501,0))&amp;"",""))</f>
        <v/>
      </c>
      <c r="D452" s="1"/>
      <c r="E452" s="1"/>
      <c r="F452" s="1"/>
      <c r="G452" s="28"/>
      <c r="H452" s="1"/>
      <c r="I452" s="1"/>
      <c r="J452" s="29"/>
      <c r="K452" s="1"/>
      <c r="L452" s="20" t="str">
        <f aca="false">IF(E452="","",IFERROR(INDEX(Settings!$D$13:$D$32,MATCH(E452,Settings!$A$13:$A$32,0)),0)*IF(F452="",1,F452))</f>
        <v/>
      </c>
      <c r="M452" s="20" t="str">
        <f aca="false">IF(L452="","",IF(I452="",L452,L452*(1-IF(J452="",Settings!$B$6,J452))))</f>
        <v/>
      </c>
      <c r="N452" s="20" t="str">
        <f aca="false">IF(OR(L452="",I452=""),"",L452-M452)</f>
        <v/>
      </c>
      <c r="O452" s="1"/>
    </row>
    <row r="453" customFormat="false" ht="15" hidden="false" customHeight="false" outlineLevel="0" collapsed="false">
      <c r="A453" s="27"/>
      <c r="B453" s="1"/>
      <c r="C453" s="24" t="str">
        <f aca="false">IF(B453="","",IFERROR(INDEX(Patients!$B$2:$B$501,MATCH(B453,Patients!$A$2:$A$501,0))&amp;"",""))</f>
        <v/>
      </c>
      <c r="D453" s="1"/>
      <c r="E453" s="1"/>
      <c r="F453" s="1"/>
      <c r="G453" s="28"/>
      <c r="H453" s="1"/>
      <c r="I453" s="1"/>
      <c r="J453" s="29"/>
      <c r="K453" s="1"/>
      <c r="L453" s="20" t="str">
        <f aca="false">IF(E453="","",IFERROR(INDEX(Settings!$D$13:$D$32,MATCH(E453,Settings!$A$13:$A$32,0)),0)*IF(F453="",1,F453))</f>
        <v/>
      </c>
      <c r="M453" s="20" t="str">
        <f aca="false">IF(L453="","",IF(I453="",L453,L453*(1-IF(J453="",Settings!$B$6,J453))))</f>
        <v/>
      </c>
      <c r="N453" s="20" t="str">
        <f aca="false">IF(OR(L453="",I453=""),"",L453-M453)</f>
        <v/>
      </c>
      <c r="O453" s="1"/>
    </row>
    <row r="454" customFormat="false" ht="15" hidden="false" customHeight="false" outlineLevel="0" collapsed="false">
      <c r="A454" s="27"/>
      <c r="B454" s="1"/>
      <c r="C454" s="24" t="str">
        <f aca="false">IF(B454="","",IFERROR(INDEX(Patients!$B$2:$B$501,MATCH(B454,Patients!$A$2:$A$501,0))&amp;"",""))</f>
        <v/>
      </c>
      <c r="D454" s="1"/>
      <c r="E454" s="1"/>
      <c r="F454" s="1"/>
      <c r="G454" s="28"/>
      <c r="H454" s="1"/>
      <c r="I454" s="1"/>
      <c r="J454" s="29"/>
      <c r="K454" s="1"/>
      <c r="L454" s="20" t="str">
        <f aca="false">IF(E454="","",IFERROR(INDEX(Settings!$D$13:$D$32,MATCH(E454,Settings!$A$13:$A$32,0)),0)*IF(F454="",1,F454))</f>
        <v/>
      </c>
      <c r="M454" s="20" t="str">
        <f aca="false">IF(L454="","",IF(I454="",L454,L454*(1-IF(J454="",Settings!$B$6,J454))))</f>
        <v/>
      </c>
      <c r="N454" s="20" t="str">
        <f aca="false">IF(OR(L454="",I454=""),"",L454-M454)</f>
        <v/>
      </c>
      <c r="O454" s="1"/>
    </row>
    <row r="455" customFormat="false" ht="15" hidden="false" customHeight="false" outlineLevel="0" collapsed="false">
      <c r="A455" s="27"/>
      <c r="B455" s="1"/>
      <c r="C455" s="24" t="str">
        <f aca="false">IF(B455="","",IFERROR(INDEX(Patients!$B$2:$B$501,MATCH(B455,Patients!$A$2:$A$501,0))&amp;"",""))</f>
        <v/>
      </c>
      <c r="D455" s="1"/>
      <c r="E455" s="1"/>
      <c r="F455" s="1"/>
      <c r="G455" s="28"/>
      <c r="H455" s="1"/>
      <c r="I455" s="1"/>
      <c r="J455" s="29"/>
      <c r="K455" s="1"/>
      <c r="L455" s="20" t="str">
        <f aca="false">IF(E455="","",IFERROR(INDEX(Settings!$D$13:$D$32,MATCH(E455,Settings!$A$13:$A$32,0)),0)*IF(F455="",1,F455))</f>
        <v/>
      </c>
      <c r="M455" s="20" t="str">
        <f aca="false">IF(L455="","",IF(I455="",L455,L455*(1-IF(J455="",Settings!$B$6,J455))))</f>
        <v/>
      </c>
      <c r="N455" s="20" t="str">
        <f aca="false">IF(OR(L455="",I455=""),"",L455-M455)</f>
        <v/>
      </c>
      <c r="O455" s="1"/>
    </row>
    <row r="456" customFormat="false" ht="15" hidden="false" customHeight="false" outlineLevel="0" collapsed="false">
      <c r="A456" s="27"/>
      <c r="B456" s="1"/>
      <c r="C456" s="24" t="str">
        <f aca="false">IF(B456="","",IFERROR(INDEX(Patients!$B$2:$B$501,MATCH(B456,Patients!$A$2:$A$501,0))&amp;"",""))</f>
        <v/>
      </c>
      <c r="D456" s="1"/>
      <c r="E456" s="1"/>
      <c r="F456" s="1"/>
      <c r="G456" s="28"/>
      <c r="H456" s="1"/>
      <c r="I456" s="1"/>
      <c r="J456" s="29"/>
      <c r="K456" s="1"/>
      <c r="L456" s="20" t="str">
        <f aca="false">IF(E456="","",IFERROR(INDEX(Settings!$D$13:$D$32,MATCH(E456,Settings!$A$13:$A$32,0)),0)*IF(F456="",1,F456))</f>
        <v/>
      </c>
      <c r="M456" s="20" t="str">
        <f aca="false">IF(L456="","",IF(I456="",L456,L456*(1-IF(J456="",Settings!$B$6,J456))))</f>
        <v/>
      </c>
      <c r="N456" s="20" t="str">
        <f aca="false">IF(OR(L456="",I456=""),"",L456-M456)</f>
        <v/>
      </c>
      <c r="O456" s="1"/>
    </row>
    <row r="457" customFormat="false" ht="15" hidden="false" customHeight="false" outlineLevel="0" collapsed="false">
      <c r="A457" s="27"/>
      <c r="B457" s="1"/>
      <c r="C457" s="24" t="str">
        <f aca="false">IF(B457="","",IFERROR(INDEX(Patients!$B$2:$B$501,MATCH(B457,Patients!$A$2:$A$501,0))&amp;"",""))</f>
        <v/>
      </c>
      <c r="D457" s="1"/>
      <c r="E457" s="1"/>
      <c r="F457" s="1"/>
      <c r="G457" s="28"/>
      <c r="H457" s="1"/>
      <c r="I457" s="1"/>
      <c r="J457" s="29"/>
      <c r="K457" s="1"/>
      <c r="L457" s="20" t="str">
        <f aca="false">IF(E457="","",IFERROR(INDEX(Settings!$D$13:$D$32,MATCH(E457,Settings!$A$13:$A$32,0)),0)*IF(F457="",1,F457))</f>
        <v/>
      </c>
      <c r="M457" s="20" t="str">
        <f aca="false">IF(L457="","",IF(I457="",L457,L457*(1-IF(J457="",Settings!$B$6,J457))))</f>
        <v/>
      </c>
      <c r="N457" s="20" t="str">
        <f aca="false">IF(OR(L457="",I457=""),"",L457-M457)</f>
        <v/>
      </c>
      <c r="O457" s="1"/>
    </row>
    <row r="458" customFormat="false" ht="15" hidden="false" customHeight="false" outlineLevel="0" collapsed="false">
      <c r="A458" s="27"/>
      <c r="B458" s="1"/>
      <c r="C458" s="24" t="str">
        <f aca="false">IF(B458="","",IFERROR(INDEX(Patients!$B$2:$B$501,MATCH(B458,Patients!$A$2:$A$501,0))&amp;"",""))</f>
        <v/>
      </c>
      <c r="D458" s="1"/>
      <c r="E458" s="1"/>
      <c r="F458" s="1"/>
      <c r="G458" s="28"/>
      <c r="H458" s="1"/>
      <c r="I458" s="1"/>
      <c r="J458" s="29"/>
      <c r="K458" s="1"/>
      <c r="L458" s="20" t="str">
        <f aca="false">IF(E458="","",IFERROR(INDEX(Settings!$D$13:$D$32,MATCH(E458,Settings!$A$13:$A$32,0)),0)*IF(F458="",1,F458))</f>
        <v/>
      </c>
      <c r="M458" s="20" t="str">
        <f aca="false">IF(L458="","",IF(I458="",L458,L458*(1-IF(J458="",Settings!$B$6,J458))))</f>
        <v/>
      </c>
      <c r="N458" s="20" t="str">
        <f aca="false">IF(OR(L458="",I458=""),"",L458-M458)</f>
        <v/>
      </c>
      <c r="O458" s="1"/>
    </row>
    <row r="459" customFormat="false" ht="15" hidden="false" customHeight="false" outlineLevel="0" collapsed="false">
      <c r="A459" s="27"/>
      <c r="B459" s="1"/>
      <c r="C459" s="24" t="str">
        <f aca="false">IF(B459="","",IFERROR(INDEX(Patients!$B$2:$B$501,MATCH(B459,Patients!$A$2:$A$501,0))&amp;"",""))</f>
        <v/>
      </c>
      <c r="D459" s="1"/>
      <c r="E459" s="1"/>
      <c r="F459" s="1"/>
      <c r="G459" s="28"/>
      <c r="H459" s="1"/>
      <c r="I459" s="1"/>
      <c r="J459" s="29"/>
      <c r="K459" s="1"/>
      <c r="L459" s="20" t="str">
        <f aca="false">IF(E459="","",IFERROR(INDEX(Settings!$D$13:$D$32,MATCH(E459,Settings!$A$13:$A$32,0)),0)*IF(F459="",1,F459))</f>
        <v/>
      </c>
      <c r="M459" s="20" t="str">
        <f aca="false">IF(L459="","",IF(I459="",L459,L459*(1-IF(J459="",Settings!$B$6,J459))))</f>
        <v/>
      </c>
      <c r="N459" s="20" t="str">
        <f aca="false">IF(OR(L459="",I459=""),"",L459-M459)</f>
        <v/>
      </c>
      <c r="O459" s="1"/>
    </row>
    <row r="460" customFormat="false" ht="15" hidden="false" customHeight="false" outlineLevel="0" collapsed="false">
      <c r="A460" s="27"/>
      <c r="B460" s="1"/>
      <c r="C460" s="24" t="str">
        <f aca="false">IF(B460="","",IFERROR(INDEX(Patients!$B$2:$B$501,MATCH(B460,Patients!$A$2:$A$501,0))&amp;"",""))</f>
        <v/>
      </c>
      <c r="D460" s="1"/>
      <c r="E460" s="1"/>
      <c r="F460" s="1"/>
      <c r="G460" s="28"/>
      <c r="H460" s="1"/>
      <c r="I460" s="1"/>
      <c r="J460" s="29"/>
      <c r="K460" s="1"/>
      <c r="L460" s="20" t="str">
        <f aca="false">IF(E460="","",IFERROR(INDEX(Settings!$D$13:$D$32,MATCH(E460,Settings!$A$13:$A$32,0)),0)*IF(F460="",1,F460))</f>
        <v/>
      </c>
      <c r="M460" s="20" t="str">
        <f aca="false">IF(L460="","",IF(I460="",L460,L460*(1-IF(J460="",Settings!$B$6,J460))))</f>
        <v/>
      </c>
      <c r="N460" s="20" t="str">
        <f aca="false">IF(OR(L460="",I460=""),"",L460-M460)</f>
        <v/>
      </c>
      <c r="O460" s="1"/>
    </row>
    <row r="461" customFormat="false" ht="15" hidden="false" customHeight="false" outlineLevel="0" collapsed="false">
      <c r="A461" s="27"/>
      <c r="B461" s="1"/>
      <c r="C461" s="24" t="str">
        <f aca="false">IF(B461="","",IFERROR(INDEX(Patients!$B$2:$B$501,MATCH(B461,Patients!$A$2:$A$501,0))&amp;"",""))</f>
        <v/>
      </c>
      <c r="D461" s="1"/>
      <c r="E461" s="1"/>
      <c r="F461" s="1"/>
      <c r="G461" s="28"/>
      <c r="H461" s="1"/>
      <c r="I461" s="1"/>
      <c r="J461" s="29"/>
      <c r="K461" s="1"/>
      <c r="L461" s="20" t="str">
        <f aca="false">IF(E461="","",IFERROR(INDEX(Settings!$D$13:$D$32,MATCH(E461,Settings!$A$13:$A$32,0)),0)*IF(F461="",1,F461))</f>
        <v/>
      </c>
      <c r="M461" s="20" t="str">
        <f aca="false">IF(L461="","",IF(I461="",L461,L461*(1-IF(J461="",Settings!$B$6,J461))))</f>
        <v/>
      </c>
      <c r="N461" s="20" t="str">
        <f aca="false">IF(OR(L461="",I461=""),"",L461-M461)</f>
        <v/>
      </c>
      <c r="O461" s="1"/>
    </row>
    <row r="462" customFormat="false" ht="15" hidden="false" customHeight="false" outlineLevel="0" collapsed="false">
      <c r="A462" s="27"/>
      <c r="B462" s="1"/>
      <c r="C462" s="24" t="str">
        <f aca="false">IF(B462="","",IFERROR(INDEX(Patients!$B$2:$B$501,MATCH(B462,Patients!$A$2:$A$501,0))&amp;"",""))</f>
        <v/>
      </c>
      <c r="D462" s="1"/>
      <c r="E462" s="1"/>
      <c r="F462" s="1"/>
      <c r="G462" s="28"/>
      <c r="H462" s="1"/>
      <c r="I462" s="1"/>
      <c r="J462" s="29"/>
      <c r="K462" s="1"/>
      <c r="L462" s="20" t="str">
        <f aca="false">IF(E462="","",IFERROR(INDEX(Settings!$D$13:$D$32,MATCH(E462,Settings!$A$13:$A$32,0)),0)*IF(F462="",1,F462))</f>
        <v/>
      </c>
      <c r="M462" s="20" t="str">
        <f aca="false">IF(L462="","",IF(I462="",L462,L462*(1-IF(J462="",Settings!$B$6,J462))))</f>
        <v/>
      </c>
      <c r="N462" s="20" t="str">
        <f aca="false">IF(OR(L462="",I462=""),"",L462-M462)</f>
        <v/>
      </c>
      <c r="O462" s="1"/>
    </row>
    <row r="463" customFormat="false" ht="15" hidden="false" customHeight="false" outlineLevel="0" collapsed="false">
      <c r="A463" s="27"/>
      <c r="B463" s="1"/>
      <c r="C463" s="24" t="str">
        <f aca="false">IF(B463="","",IFERROR(INDEX(Patients!$B$2:$B$501,MATCH(B463,Patients!$A$2:$A$501,0))&amp;"",""))</f>
        <v/>
      </c>
      <c r="D463" s="1"/>
      <c r="E463" s="1"/>
      <c r="F463" s="1"/>
      <c r="G463" s="28"/>
      <c r="H463" s="1"/>
      <c r="I463" s="1"/>
      <c r="J463" s="29"/>
      <c r="K463" s="1"/>
      <c r="L463" s="20" t="str">
        <f aca="false">IF(E463="","",IFERROR(INDEX(Settings!$D$13:$D$32,MATCH(E463,Settings!$A$13:$A$32,0)),0)*IF(F463="",1,F463))</f>
        <v/>
      </c>
      <c r="M463" s="20" t="str">
        <f aca="false">IF(L463="","",IF(I463="",L463,L463*(1-IF(J463="",Settings!$B$6,J463))))</f>
        <v/>
      </c>
      <c r="N463" s="20" t="str">
        <f aca="false">IF(OR(L463="",I463=""),"",L463-M463)</f>
        <v/>
      </c>
      <c r="O463" s="1"/>
    </row>
    <row r="464" customFormat="false" ht="15" hidden="false" customHeight="false" outlineLevel="0" collapsed="false">
      <c r="A464" s="27"/>
      <c r="B464" s="1"/>
      <c r="C464" s="24" t="str">
        <f aca="false">IF(B464="","",IFERROR(INDEX(Patients!$B$2:$B$501,MATCH(B464,Patients!$A$2:$A$501,0))&amp;"",""))</f>
        <v/>
      </c>
      <c r="D464" s="1"/>
      <c r="E464" s="1"/>
      <c r="F464" s="1"/>
      <c r="G464" s="28"/>
      <c r="H464" s="1"/>
      <c r="I464" s="1"/>
      <c r="J464" s="29"/>
      <c r="K464" s="1"/>
      <c r="L464" s="20" t="str">
        <f aca="false">IF(E464="","",IFERROR(INDEX(Settings!$D$13:$D$32,MATCH(E464,Settings!$A$13:$A$32,0)),0)*IF(F464="",1,F464))</f>
        <v/>
      </c>
      <c r="M464" s="20" t="str">
        <f aca="false">IF(L464="","",IF(I464="",L464,L464*(1-IF(J464="",Settings!$B$6,J464))))</f>
        <v/>
      </c>
      <c r="N464" s="20" t="str">
        <f aca="false">IF(OR(L464="",I464=""),"",L464-M464)</f>
        <v/>
      </c>
      <c r="O464" s="1"/>
    </row>
    <row r="465" customFormat="false" ht="15" hidden="false" customHeight="false" outlineLevel="0" collapsed="false">
      <c r="A465" s="27"/>
      <c r="B465" s="1"/>
      <c r="C465" s="24" t="str">
        <f aca="false">IF(B465="","",IFERROR(INDEX(Patients!$B$2:$B$501,MATCH(B465,Patients!$A$2:$A$501,0))&amp;"",""))</f>
        <v/>
      </c>
      <c r="D465" s="1"/>
      <c r="E465" s="1"/>
      <c r="F465" s="1"/>
      <c r="G465" s="28"/>
      <c r="H465" s="1"/>
      <c r="I465" s="1"/>
      <c r="J465" s="29"/>
      <c r="K465" s="1"/>
      <c r="L465" s="20" t="str">
        <f aca="false">IF(E465="","",IFERROR(INDEX(Settings!$D$13:$D$32,MATCH(E465,Settings!$A$13:$A$32,0)),0)*IF(F465="",1,F465))</f>
        <v/>
      </c>
      <c r="M465" s="20" t="str">
        <f aca="false">IF(L465="","",IF(I465="",L465,L465*(1-IF(J465="",Settings!$B$6,J465))))</f>
        <v/>
      </c>
      <c r="N465" s="20" t="str">
        <f aca="false">IF(OR(L465="",I465=""),"",L465-M465)</f>
        <v/>
      </c>
      <c r="O465" s="1"/>
    </row>
    <row r="466" customFormat="false" ht="15" hidden="false" customHeight="false" outlineLevel="0" collapsed="false">
      <c r="A466" s="27"/>
      <c r="B466" s="1"/>
      <c r="C466" s="24" t="str">
        <f aca="false">IF(B466="","",IFERROR(INDEX(Patients!$B$2:$B$501,MATCH(B466,Patients!$A$2:$A$501,0))&amp;"",""))</f>
        <v/>
      </c>
      <c r="D466" s="1"/>
      <c r="E466" s="1"/>
      <c r="F466" s="1"/>
      <c r="G466" s="28"/>
      <c r="H466" s="1"/>
      <c r="I466" s="1"/>
      <c r="J466" s="29"/>
      <c r="K466" s="1"/>
      <c r="L466" s="20" t="str">
        <f aca="false">IF(E466="","",IFERROR(INDEX(Settings!$D$13:$D$32,MATCH(E466,Settings!$A$13:$A$32,0)),0)*IF(F466="",1,F466))</f>
        <v/>
      </c>
      <c r="M466" s="20" t="str">
        <f aca="false">IF(L466="","",IF(I466="",L466,L466*(1-IF(J466="",Settings!$B$6,J466))))</f>
        <v/>
      </c>
      <c r="N466" s="20" t="str">
        <f aca="false">IF(OR(L466="",I466=""),"",L466-M466)</f>
        <v/>
      </c>
      <c r="O466" s="1"/>
    </row>
    <row r="467" customFormat="false" ht="15" hidden="false" customHeight="false" outlineLevel="0" collapsed="false">
      <c r="A467" s="27"/>
      <c r="B467" s="1"/>
      <c r="C467" s="24" t="str">
        <f aca="false">IF(B467="","",IFERROR(INDEX(Patients!$B$2:$B$501,MATCH(B467,Patients!$A$2:$A$501,0))&amp;"",""))</f>
        <v/>
      </c>
      <c r="D467" s="1"/>
      <c r="E467" s="1"/>
      <c r="F467" s="1"/>
      <c r="G467" s="28"/>
      <c r="H467" s="1"/>
      <c r="I467" s="1"/>
      <c r="J467" s="29"/>
      <c r="K467" s="1"/>
      <c r="L467" s="20" t="str">
        <f aca="false">IF(E467="","",IFERROR(INDEX(Settings!$D$13:$D$32,MATCH(E467,Settings!$A$13:$A$32,0)),0)*IF(F467="",1,F467))</f>
        <v/>
      </c>
      <c r="M467" s="20" t="str">
        <f aca="false">IF(L467="","",IF(I467="",L467,L467*(1-IF(J467="",Settings!$B$6,J467))))</f>
        <v/>
      </c>
      <c r="N467" s="20" t="str">
        <f aca="false">IF(OR(L467="",I467=""),"",L467-M467)</f>
        <v/>
      </c>
      <c r="O467" s="1"/>
    </row>
    <row r="468" customFormat="false" ht="15" hidden="false" customHeight="false" outlineLevel="0" collapsed="false">
      <c r="A468" s="27"/>
      <c r="B468" s="1"/>
      <c r="C468" s="24" t="str">
        <f aca="false">IF(B468="","",IFERROR(INDEX(Patients!$B$2:$B$501,MATCH(B468,Patients!$A$2:$A$501,0))&amp;"",""))</f>
        <v/>
      </c>
      <c r="D468" s="1"/>
      <c r="E468" s="1"/>
      <c r="F468" s="1"/>
      <c r="G468" s="28"/>
      <c r="H468" s="1"/>
      <c r="I468" s="1"/>
      <c r="J468" s="29"/>
      <c r="K468" s="1"/>
      <c r="L468" s="20" t="str">
        <f aca="false">IF(E468="","",IFERROR(INDEX(Settings!$D$13:$D$32,MATCH(E468,Settings!$A$13:$A$32,0)),0)*IF(F468="",1,F468))</f>
        <v/>
      </c>
      <c r="M468" s="20" t="str">
        <f aca="false">IF(L468="","",IF(I468="",L468,L468*(1-IF(J468="",Settings!$B$6,J468))))</f>
        <v/>
      </c>
      <c r="N468" s="20" t="str">
        <f aca="false">IF(OR(L468="",I468=""),"",L468-M468)</f>
        <v/>
      </c>
      <c r="O468" s="1"/>
    </row>
    <row r="469" customFormat="false" ht="15" hidden="false" customHeight="false" outlineLevel="0" collapsed="false">
      <c r="A469" s="27"/>
      <c r="B469" s="1"/>
      <c r="C469" s="24" t="str">
        <f aca="false">IF(B469="","",IFERROR(INDEX(Patients!$B$2:$B$501,MATCH(B469,Patients!$A$2:$A$501,0))&amp;"",""))</f>
        <v/>
      </c>
      <c r="D469" s="1"/>
      <c r="E469" s="1"/>
      <c r="F469" s="1"/>
      <c r="G469" s="28"/>
      <c r="H469" s="1"/>
      <c r="I469" s="1"/>
      <c r="J469" s="29"/>
      <c r="K469" s="1"/>
      <c r="L469" s="20" t="str">
        <f aca="false">IF(E469="","",IFERROR(INDEX(Settings!$D$13:$D$32,MATCH(E469,Settings!$A$13:$A$32,0)),0)*IF(F469="",1,F469))</f>
        <v/>
      </c>
      <c r="M469" s="20" t="str">
        <f aca="false">IF(L469="","",IF(I469="",L469,L469*(1-IF(J469="",Settings!$B$6,J469))))</f>
        <v/>
      </c>
      <c r="N469" s="20" t="str">
        <f aca="false">IF(OR(L469="",I469=""),"",L469-M469)</f>
        <v/>
      </c>
      <c r="O469" s="1"/>
    </row>
    <row r="470" customFormat="false" ht="15" hidden="false" customHeight="false" outlineLevel="0" collapsed="false">
      <c r="A470" s="27"/>
      <c r="B470" s="1"/>
      <c r="C470" s="24" t="str">
        <f aca="false">IF(B470="","",IFERROR(INDEX(Patients!$B$2:$B$501,MATCH(B470,Patients!$A$2:$A$501,0))&amp;"",""))</f>
        <v/>
      </c>
      <c r="D470" s="1"/>
      <c r="E470" s="1"/>
      <c r="F470" s="1"/>
      <c r="G470" s="28"/>
      <c r="H470" s="1"/>
      <c r="I470" s="1"/>
      <c r="J470" s="29"/>
      <c r="K470" s="1"/>
      <c r="L470" s="20" t="str">
        <f aca="false">IF(E470="","",IFERROR(INDEX(Settings!$D$13:$D$32,MATCH(E470,Settings!$A$13:$A$32,0)),0)*IF(F470="",1,F470))</f>
        <v/>
      </c>
      <c r="M470" s="20" t="str">
        <f aca="false">IF(L470="","",IF(I470="",L470,L470*(1-IF(J470="",Settings!$B$6,J470))))</f>
        <v/>
      </c>
      <c r="N470" s="20" t="str">
        <f aca="false">IF(OR(L470="",I470=""),"",L470-M470)</f>
        <v/>
      </c>
      <c r="O470" s="1"/>
    </row>
    <row r="471" customFormat="false" ht="15" hidden="false" customHeight="false" outlineLevel="0" collapsed="false">
      <c r="A471" s="27"/>
      <c r="B471" s="1"/>
      <c r="C471" s="24" t="str">
        <f aca="false">IF(B471="","",IFERROR(INDEX(Patients!$B$2:$B$501,MATCH(B471,Patients!$A$2:$A$501,0))&amp;"",""))</f>
        <v/>
      </c>
      <c r="D471" s="1"/>
      <c r="E471" s="1"/>
      <c r="F471" s="1"/>
      <c r="G471" s="28"/>
      <c r="H471" s="1"/>
      <c r="I471" s="1"/>
      <c r="J471" s="29"/>
      <c r="K471" s="1"/>
      <c r="L471" s="20" t="str">
        <f aca="false">IF(E471="","",IFERROR(INDEX(Settings!$D$13:$D$32,MATCH(E471,Settings!$A$13:$A$32,0)),0)*IF(F471="",1,F471))</f>
        <v/>
      </c>
      <c r="M471" s="20" t="str">
        <f aca="false">IF(L471="","",IF(I471="",L471,L471*(1-IF(J471="",Settings!$B$6,J471))))</f>
        <v/>
      </c>
      <c r="N471" s="20" t="str">
        <f aca="false">IF(OR(L471="",I471=""),"",L471-M471)</f>
        <v/>
      </c>
      <c r="O471" s="1"/>
    </row>
    <row r="472" customFormat="false" ht="15" hidden="false" customHeight="false" outlineLevel="0" collapsed="false">
      <c r="A472" s="27"/>
      <c r="B472" s="1"/>
      <c r="C472" s="24" t="str">
        <f aca="false">IF(B472="","",IFERROR(INDEX(Patients!$B$2:$B$501,MATCH(B472,Patients!$A$2:$A$501,0))&amp;"",""))</f>
        <v/>
      </c>
      <c r="D472" s="1"/>
      <c r="E472" s="1"/>
      <c r="F472" s="1"/>
      <c r="G472" s="28"/>
      <c r="H472" s="1"/>
      <c r="I472" s="1"/>
      <c r="J472" s="29"/>
      <c r="K472" s="1"/>
      <c r="L472" s="20" t="str">
        <f aca="false">IF(E472="","",IFERROR(INDEX(Settings!$D$13:$D$32,MATCH(E472,Settings!$A$13:$A$32,0)),0)*IF(F472="",1,F472))</f>
        <v/>
      </c>
      <c r="M472" s="20" t="str">
        <f aca="false">IF(L472="","",IF(I472="",L472,L472*(1-IF(J472="",Settings!$B$6,J472))))</f>
        <v/>
      </c>
      <c r="N472" s="20" t="str">
        <f aca="false">IF(OR(L472="",I472=""),"",L472-M472)</f>
        <v/>
      </c>
      <c r="O472" s="1"/>
    </row>
    <row r="473" customFormat="false" ht="15" hidden="false" customHeight="false" outlineLevel="0" collapsed="false">
      <c r="A473" s="27"/>
      <c r="B473" s="1"/>
      <c r="C473" s="24" t="str">
        <f aca="false">IF(B473="","",IFERROR(INDEX(Patients!$B$2:$B$501,MATCH(B473,Patients!$A$2:$A$501,0))&amp;"",""))</f>
        <v/>
      </c>
      <c r="D473" s="1"/>
      <c r="E473" s="1"/>
      <c r="F473" s="1"/>
      <c r="G473" s="28"/>
      <c r="H473" s="1"/>
      <c r="I473" s="1"/>
      <c r="J473" s="29"/>
      <c r="K473" s="1"/>
      <c r="L473" s="20" t="str">
        <f aca="false">IF(E473="","",IFERROR(INDEX(Settings!$D$13:$D$32,MATCH(E473,Settings!$A$13:$A$32,0)),0)*IF(F473="",1,F473))</f>
        <v/>
      </c>
      <c r="M473" s="20" t="str">
        <f aca="false">IF(L473="","",IF(I473="",L473,L473*(1-IF(J473="",Settings!$B$6,J473))))</f>
        <v/>
      </c>
      <c r="N473" s="20" t="str">
        <f aca="false">IF(OR(L473="",I473=""),"",L473-M473)</f>
        <v/>
      </c>
      <c r="O473" s="1"/>
    </row>
    <row r="474" customFormat="false" ht="15" hidden="false" customHeight="false" outlineLevel="0" collapsed="false">
      <c r="A474" s="27"/>
      <c r="B474" s="1"/>
      <c r="C474" s="24" t="str">
        <f aca="false">IF(B474="","",IFERROR(INDEX(Patients!$B$2:$B$501,MATCH(B474,Patients!$A$2:$A$501,0))&amp;"",""))</f>
        <v/>
      </c>
      <c r="D474" s="1"/>
      <c r="E474" s="1"/>
      <c r="F474" s="1"/>
      <c r="G474" s="28"/>
      <c r="H474" s="1"/>
      <c r="I474" s="1"/>
      <c r="J474" s="29"/>
      <c r="K474" s="1"/>
      <c r="L474" s="20" t="str">
        <f aca="false">IF(E474="","",IFERROR(INDEX(Settings!$D$13:$D$32,MATCH(E474,Settings!$A$13:$A$32,0)),0)*IF(F474="",1,F474))</f>
        <v/>
      </c>
      <c r="M474" s="20" t="str">
        <f aca="false">IF(L474="","",IF(I474="",L474,L474*(1-IF(J474="",Settings!$B$6,J474))))</f>
        <v/>
      </c>
      <c r="N474" s="20" t="str">
        <f aca="false">IF(OR(L474="",I474=""),"",L474-M474)</f>
        <v/>
      </c>
      <c r="O474" s="1"/>
    </row>
    <row r="475" customFormat="false" ht="15" hidden="false" customHeight="false" outlineLevel="0" collapsed="false">
      <c r="A475" s="27"/>
      <c r="B475" s="1"/>
      <c r="C475" s="24" t="str">
        <f aca="false">IF(B475="","",IFERROR(INDEX(Patients!$B$2:$B$501,MATCH(B475,Patients!$A$2:$A$501,0))&amp;"",""))</f>
        <v/>
      </c>
      <c r="D475" s="1"/>
      <c r="E475" s="1"/>
      <c r="F475" s="1"/>
      <c r="G475" s="28"/>
      <c r="H475" s="1"/>
      <c r="I475" s="1"/>
      <c r="J475" s="29"/>
      <c r="K475" s="1"/>
      <c r="L475" s="20" t="str">
        <f aca="false">IF(E475="","",IFERROR(INDEX(Settings!$D$13:$D$32,MATCH(E475,Settings!$A$13:$A$32,0)),0)*IF(F475="",1,F475))</f>
        <v/>
      </c>
      <c r="M475" s="20" t="str">
        <f aca="false">IF(L475="","",IF(I475="",L475,L475*(1-IF(J475="",Settings!$B$6,J475))))</f>
        <v/>
      </c>
      <c r="N475" s="20" t="str">
        <f aca="false">IF(OR(L475="",I475=""),"",L475-M475)</f>
        <v/>
      </c>
      <c r="O475" s="1"/>
    </row>
    <row r="476" customFormat="false" ht="15" hidden="false" customHeight="false" outlineLevel="0" collapsed="false">
      <c r="A476" s="27"/>
      <c r="B476" s="1"/>
      <c r="C476" s="24" t="str">
        <f aca="false">IF(B476="","",IFERROR(INDEX(Patients!$B$2:$B$501,MATCH(B476,Patients!$A$2:$A$501,0))&amp;"",""))</f>
        <v/>
      </c>
      <c r="D476" s="1"/>
      <c r="E476" s="1"/>
      <c r="F476" s="1"/>
      <c r="G476" s="28"/>
      <c r="H476" s="1"/>
      <c r="I476" s="1"/>
      <c r="J476" s="29"/>
      <c r="K476" s="1"/>
      <c r="L476" s="20" t="str">
        <f aca="false">IF(E476="","",IFERROR(INDEX(Settings!$D$13:$D$32,MATCH(E476,Settings!$A$13:$A$32,0)),0)*IF(F476="",1,F476))</f>
        <v/>
      </c>
      <c r="M476" s="20" t="str">
        <f aca="false">IF(L476="","",IF(I476="",L476,L476*(1-IF(J476="",Settings!$B$6,J476))))</f>
        <v/>
      </c>
      <c r="N476" s="20" t="str">
        <f aca="false">IF(OR(L476="",I476=""),"",L476-M476)</f>
        <v/>
      </c>
      <c r="O476" s="1"/>
    </row>
    <row r="477" customFormat="false" ht="15" hidden="false" customHeight="false" outlineLevel="0" collapsed="false">
      <c r="A477" s="27"/>
      <c r="B477" s="1"/>
      <c r="C477" s="24" t="str">
        <f aca="false">IF(B477="","",IFERROR(INDEX(Patients!$B$2:$B$501,MATCH(B477,Patients!$A$2:$A$501,0))&amp;"",""))</f>
        <v/>
      </c>
      <c r="D477" s="1"/>
      <c r="E477" s="1"/>
      <c r="F477" s="1"/>
      <c r="G477" s="28"/>
      <c r="H477" s="1"/>
      <c r="I477" s="1"/>
      <c r="J477" s="29"/>
      <c r="K477" s="1"/>
      <c r="L477" s="20" t="str">
        <f aca="false">IF(E477="","",IFERROR(INDEX(Settings!$D$13:$D$32,MATCH(E477,Settings!$A$13:$A$32,0)),0)*IF(F477="",1,F477))</f>
        <v/>
      </c>
      <c r="M477" s="20" t="str">
        <f aca="false">IF(L477="","",IF(I477="",L477,L477*(1-IF(J477="",Settings!$B$6,J477))))</f>
        <v/>
      </c>
      <c r="N477" s="20" t="str">
        <f aca="false">IF(OR(L477="",I477=""),"",L477-M477)</f>
        <v/>
      </c>
      <c r="O477" s="1"/>
    </row>
    <row r="478" customFormat="false" ht="15" hidden="false" customHeight="false" outlineLevel="0" collapsed="false">
      <c r="A478" s="27"/>
      <c r="B478" s="1"/>
      <c r="C478" s="24" t="str">
        <f aca="false">IF(B478="","",IFERROR(INDEX(Patients!$B$2:$B$501,MATCH(B478,Patients!$A$2:$A$501,0))&amp;"",""))</f>
        <v/>
      </c>
      <c r="D478" s="1"/>
      <c r="E478" s="1"/>
      <c r="F478" s="1"/>
      <c r="G478" s="28"/>
      <c r="H478" s="1"/>
      <c r="I478" s="1"/>
      <c r="J478" s="29"/>
      <c r="K478" s="1"/>
      <c r="L478" s="20" t="str">
        <f aca="false">IF(E478="","",IFERROR(INDEX(Settings!$D$13:$D$32,MATCH(E478,Settings!$A$13:$A$32,0)),0)*IF(F478="",1,F478))</f>
        <v/>
      </c>
      <c r="M478" s="20" t="str">
        <f aca="false">IF(L478="","",IF(I478="",L478,L478*(1-IF(J478="",Settings!$B$6,J478))))</f>
        <v/>
      </c>
      <c r="N478" s="20" t="str">
        <f aca="false">IF(OR(L478="",I478=""),"",L478-M478)</f>
        <v/>
      </c>
      <c r="O478" s="1"/>
    </row>
    <row r="479" customFormat="false" ht="15" hidden="false" customHeight="false" outlineLevel="0" collapsed="false">
      <c r="A479" s="27"/>
      <c r="B479" s="1"/>
      <c r="C479" s="24" t="str">
        <f aca="false">IF(B479="","",IFERROR(INDEX(Patients!$B$2:$B$501,MATCH(B479,Patients!$A$2:$A$501,0))&amp;"",""))</f>
        <v/>
      </c>
      <c r="D479" s="1"/>
      <c r="E479" s="1"/>
      <c r="F479" s="1"/>
      <c r="G479" s="28"/>
      <c r="H479" s="1"/>
      <c r="I479" s="1"/>
      <c r="J479" s="29"/>
      <c r="K479" s="1"/>
      <c r="L479" s="20" t="str">
        <f aca="false">IF(E479="","",IFERROR(INDEX(Settings!$D$13:$D$32,MATCH(E479,Settings!$A$13:$A$32,0)),0)*IF(F479="",1,F479))</f>
        <v/>
      </c>
      <c r="M479" s="20" t="str">
        <f aca="false">IF(L479="","",IF(I479="",L479,L479*(1-IF(J479="",Settings!$B$6,J479))))</f>
        <v/>
      </c>
      <c r="N479" s="20" t="str">
        <f aca="false">IF(OR(L479="",I479=""),"",L479-M479)</f>
        <v/>
      </c>
      <c r="O479" s="1"/>
    </row>
    <row r="480" customFormat="false" ht="15" hidden="false" customHeight="false" outlineLevel="0" collapsed="false">
      <c r="A480" s="27"/>
      <c r="B480" s="1"/>
      <c r="C480" s="24" t="str">
        <f aca="false">IF(B480="","",IFERROR(INDEX(Patients!$B$2:$B$501,MATCH(B480,Patients!$A$2:$A$501,0))&amp;"",""))</f>
        <v/>
      </c>
      <c r="D480" s="1"/>
      <c r="E480" s="1"/>
      <c r="F480" s="1"/>
      <c r="G480" s="28"/>
      <c r="H480" s="1"/>
      <c r="I480" s="1"/>
      <c r="J480" s="29"/>
      <c r="K480" s="1"/>
      <c r="L480" s="20" t="str">
        <f aca="false">IF(E480="","",IFERROR(INDEX(Settings!$D$13:$D$32,MATCH(E480,Settings!$A$13:$A$32,0)),0)*IF(F480="",1,F480))</f>
        <v/>
      </c>
      <c r="M480" s="20" t="str">
        <f aca="false">IF(L480="","",IF(I480="",L480,L480*(1-IF(J480="",Settings!$B$6,J480))))</f>
        <v/>
      </c>
      <c r="N480" s="20" t="str">
        <f aca="false">IF(OR(L480="",I480=""),"",L480-M480)</f>
        <v/>
      </c>
      <c r="O480" s="1"/>
    </row>
    <row r="481" customFormat="false" ht="15" hidden="false" customHeight="false" outlineLevel="0" collapsed="false">
      <c r="A481" s="27"/>
      <c r="B481" s="1"/>
      <c r="C481" s="24" t="str">
        <f aca="false">IF(B481="","",IFERROR(INDEX(Patients!$B$2:$B$501,MATCH(B481,Patients!$A$2:$A$501,0))&amp;"",""))</f>
        <v/>
      </c>
      <c r="D481" s="1"/>
      <c r="E481" s="1"/>
      <c r="F481" s="1"/>
      <c r="G481" s="28"/>
      <c r="H481" s="1"/>
      <c r="I481" s="1"/>
      <c r="J481" s="29"/>
      <c r="K481" s="1"/>
      <c r="L481" s="20" t="str">
        <f aca="false">IF(E481="","",IFERROR(INDEX(Settings!$D$13:$D$32,MATCH(E481,Settings!$A$13:$A$32,0)),0)*IF(F481="",1,F481))</f>
        <v/>
      </c>
      <c r="M481" s="20" t="str">
        <f aca="false">IF(L481="","",IF(I481="",L481,L481*(1-IF(J481="",Settings!$B$6,J481))))</f>
        <v/>
      </c>
      <c r="N481" s="20" t="str">
        <f aca="false">IF(OR(L481="",I481=""),"",L481-M481)</f>
        <v/>
      </c>
      <c r="O481" s="1"/>
    </row>
    <row r="482" customFormat="false" ht="15" hidden="false" customHeight="false" outlineLevel="0" collapsed="false">
      <c r="A482" s="27"/>
      <c r="B482" s="1"/>
      <c r="C482" s="24" t="str">
        <f aca="false">IF(B482="","",IFERROR(INDEX(Patients!$B$2:$B$501,MATCH(B482,Patients!$A$2:$A$501,0))&amp;"",""))</f>
        <v/>
      </c>
      <c r="D482" s="1"/>
      <c r="E482" s="1"/>
      <c r="F482" s="1"/>
      <c r="G482" s="28"/>
      <c r="H482" s="1"/>
      <c r="I482" s="1"/>
      <c r="J482" s="29"/>
      <c r="K482" s="1"/>
      <c r="L482" s="20" t="str">
        <f aca="false">IF(E482="","",IFERROR(INDEX(Settings!$D$13:$D$32,MATCH(E482,Settings!$A$13:$A$32,0)),0)*IF(F482="",1,F482))</f>
        <v/>
      </c>
      <c r="M482" s="20" t="str">
        <f aca="false">IF(L482="","",IF(I482="",L482,L482*(1-IF(J482="",Settings!$B$6,J482))))</f>
        <v/>
      </c>
      <c r="N482" s="20" t="str">
        <f aca="false">IF(OR(L482="",I482=""),"",L482-M482)</f>
        <v/>
      </c>
      <c r="O482" s="1"/>
    </row>
    <row r="483" customFormat="false" ht="15" hidden="false" customHeight="false" outlineLevel="0" collapsed="false">
      <c r="A483" s="27"/>
      <c r="B483" s="1"/>
      <c r="C483" s="24" t="str">
        <f aca="false">IF(B483="","",IFERROR(INDEX(Patients!$B$2:$B$501,MATCH(B483,Patients!$A$2:$A$501,0))&amp;"",""))</f>
        <v/>
      </c>
      <c r="D483" s="1"/>
      <c r="E483" s="1"/>
      <c r="F483" s="1"/>
      <c r="G483" s="28"/>
      <c r="H483" s="1"/>
      <c r="I483" s="1"/>
      <c r="J483" s="29"/>
      <c r="K483" s="1"/>
      <c r="L483" s="20" t="str">
        <f aca="false">IF(E483="","",IFERROR(INDEX(Settings!$D$13:$D$32,MATCH(E483,Settings!$A$13:$A$32,0)),0)*IF(F483="",1,F483))</f>
        <v/>
      </c>
      <c r="M483" s="20" t="str">
        <f aca="false">IF(L483="","",IF(I483="",L483,L483*(1-IF(J483="",Settings!$B$6,J483))))</f>
        <v/>
      </c>
      <c r="N483" s="20" t="str">
        <f aca="false">IF(OR(L483="",I483=""),"",L483-M483)</f>
        <v/>
      </c>
      <c r="O483" s="1"/>
    </row>
    <row r="484" customFormat="false" ht="15" hidden="false" customHeight="false" outlineLevel="0" collapsed="false">
      <c r="A484" s="27"/>
      <c r="B484" s="1"/>
      <c r="C484" s="24" t="str">
        <f aca="false">IF(B484="","",IFERROR(INDEX(Patients!$B$2:$B$501,MATCH(B484,Patients!$A$2:$A$501,0))&amp;"",""))</f>
        <v/>
      </c>
      <c r="D484" s="1"/>
      <c r="E484" s="1"/>
      <c r="F484" s="1"/>
      <c r="G484" s="28"/>
      <c r="H484" s="1"/>
      <c r="I484" s="1"/>
      <c r="J484" s="29"/>
      <c r="K484" s="1"/>
      <c r="L484" s="20" t="str">
        <f aca="false">IF(E484="","",IFERROR(INDEX(Settings!$D$13:$D$32,MATCH(E484,Settings!$A$13:$A$32,0)),0)*IF(F484="",1,F484))</f>
        <v/>
      </c>
      <c r="M484" s="20" t="str">
        <f aca="false">IF(L484="","",IF(I484="",L484,L484*(1-IF(J484="",Settings!$B$6,J484))))</f>
        <v/>
      </c>
      <c r="N484" s="20" t="str">
        <f aca="false">IF(OR(L484="",I484=""),"",L484-M484)</f>
        <v/>
      </c>
      <c r="O484" s="1"/>
    </row>
    <row r="485" customFormat="false" ht="15" hidden="false" customHeight="false" outlineLevel="0" collapsed="false">
      <c r="A485" s="27"/>
      <c r="B485" s="1"/>
      <c r="C485" s="24" t="str">
        <f aca="false">IF(B485="","",IFERROR(INDEX(Patients!$B$2:$B$501,MATCH(B485,Patients!$A$2:$A$501,0))&amp;"",""))</f>
        <v/>
      </c>
      <c r="D485" s="1"/>
      <c r="E485" s="1"/>
      <c r="F485" s="1"/>
      <c r="G485" s="28"/>
      <c r="H485" s="1"/>
      <c r="I485" s="1"/>
      <c r="J485" s="29"/>
      <c r="K485" s="1"/>
      <c r="L485" s="20" t="str">
        <f aca="false">IF(E485="","",IFERROR(INDEX(Settings!$D$13:$D$32,MATCH(E485,Settings!$A$13:$A$32,0)),0)*IF(F485="",1,F485))</f>
        <v/>
      </c>
      <c r="M485" s="20" t="str">
        <f aca="false">IF(L485="","",IF(I485="",L485,L485*(1-IF(J485="",Settings!$B$6,J485))))</f>
        <v/>
      </c>
      <c r="N485" s="20" t="str">
        <f aca="false">IF(OR(L485="",I485=""),"",L485-M485)</f>
        <v/>
      </c>
      <c r="O485" s="1"/>
    </row>
    <row r="486" customFormat="false" ht="15" hidden="false" customHeight="false" outlineLevel="0" collapsed="false">
      <c r="A486" s="27"/>
      <c r="B486" s="1"/>
      <c r="C486" s="24" t="str">
        <f aca="false">IF(B486="","",IFERROR(INDEX(Patients!$B$2:$B$501,MATCH(B486,Patients!$A$2:$A$501,0))&amp;"",""))</f>
        <v/>
      </c>
      <c r="D486" s="1"/>
      <c r="E486" s="1"/>
      <c r="F486" s="1"/>
      <c r="G486" s="28"/>
      <c r="H486" s="1"/>
      <c r="I486" s="1"/>
      <c r="J486" s="29"/>
      <c r="K486" s="1"/>
      <c r="L486" s="20" t="str">
        <f aca="false">IF(E486="","",IFERROR(INDEX(Settings!$D$13:$D$32,MATCH(E486,Settings!$A$13:$A$32,0)),0)*IF(F486="",1,F486))</f>
        <v/>
      </c>
      <c r="M486" s="20" t="str">
        <f aca="false">IF(L486="","",IF(I486="",L486,L486*(1-IF(J486="",Settings!$B$6,J486))))</f>
        <v/>
      </c>
      <c r="N486" s="20" t="str">
        <f aca="false">IF(OR(L486="",I486=""),"",L486-M486)</f>
        <v/>
      </c>
      <c r="O486" s="1"/>
    </row>
    <row r="487" customFormat="false" ht="15" hidden="false" customHeight="false" outlineLevel="0" collapsed="false">
      <c r="A487" s="27"/>
      <c r="B487" s="1"/>
      <c r="C487" s="24" t="str">
        <f aca="false">IF(B487="","",IFERROR(INDEX(Patients!$B$2:$B$501,MATCH(B487,Patients!$A$2:$A$501,0))&amp;"",""))</f>
        <v/>
      </c>
      <c r="D487" s="1"/>
      <c r="E487" s="1"/>
      <c r="F487" s="1"/>
      <c r="G487" s="28"/>
      <c r="H487" s="1"/>
      <c r="I487" s="1"/>
      <c r="J487" s="29"/>
      <c r="K487" s="1"/>
      <c r="L487" s="20" t="str">
        <f aca="false">IF(E487="","",IFERROR(INDEX(Settings!$D$13:$D$32,MATCH(E487,Settings!$A$13:$A$32,0)),0)*IF(F487="",1,F487))</f>
        <v/>
      </c>
      <c r="M487" s="20" t="str">
        <f aca="false">IF(L487="","",IF(I487="",L487,L487*(1-IF(J487="",Settings!$B$6,J487))))</f>
        <v/>
      </c>
      <c r="N487" s="20" t="str">
        <f aca="false">IF(OR(L487="",I487=""),"",L487-M487)</f>
        <v/>
      </c>
      <c r="O487" s="1"/>
    </row>
    <row r="488" customFormat="false" ht="15" hidden="false" customHeight="false" outlineLevel="0" collapsed="false">
      <c r="A488" s="27"/>
      <c r="B488" s="1"/>
      <c r="C488" s="24" t="str">
        <f aca="false">IF(B488="","",IFERROR(INDEX(Patients!$B$2:$B$501,MATCH(B488,Patients!$A$2:$A$501,0))&amp;"",""))</f>
        <v/>
      </c>
      <c r="D488" s="1"/>
      <c r="E488" s="1"/>
      <c r="F488" s="1"/>
      <c r="G488" s="28"/>
      <c r="H488" s="1"/>
      <c r="I488" s="1"/>
      <c r="J488" s="29"/>
      <c r="K488" s="1"/>
      <c r="L488" s="20" t="str">
        <f aca="false">IF(E488="","",IFERROR(INDEX(Settings!$D$13:$D$32,MATCH(E488,Settings!$A$13:$A$32,0)),0)*IF(F488="",1,F488))</f>
        <v/>
      </c>
      <c r="M488" s="20" t="str">
        <f aca="false">IF(L488="","",IF(I488="",L488,L488*(1-IF(J488="",Settings!$B$6,J488))))</f>
        <v/>
      </c>
      <c r="N488" s="20" t="str">
        <f aca="false">IF(OR(L488="",I488=""),"",L488-M488)</f>
        <v/>
      </c>
      <c r="O488" s="1"/>
    </row>
    <row r="489" customFormat="false" ht="15" hidden="false" customHeight="false" outlineLevel="0" collapsed="false">
      <c r="A489" s="27"/>
      <c r="B489" s="1"/>
      <c r="C489" s="24" t="str">
        <f aca="false">IF(B489="","",IFERROR(INDEX(Patients!$B$2:$B$501,MATCH(B489,Patients!$A$2:$A$501,0))&amp;"",""))</f>
        <v/>
      </c>
      <c r="D489" s="1"/>
      <c r="E489" s="1"/>
      <c r="F489" s="1"/>
      <c r="G489" s="28"/>
      <c r="H489" s="1"/>
      <c r="I489" s="1"/>
      <c r="J489" s="29"/>
      <c r="K489" s="1"/>
      <c r="L489" s="20" t="str">
        <f aca="false">IF(E489="","",IFERROR(INDEX(Settings!$D$13:$D$32,MATCH(E489,Settings!$A$13:$A$32,0)),0)*IF(F489="",1,F489))</f>
        <v/>
      </c>
      <c r="M489" s="20" t="str">
        <f aca="false">IF(L489="","",IF(I489="",L489,L489*(1-IF(J489="",Settings!$B$6,J489))))</f>
        <v/>
      </c>
      <c r="N489" s="20" t="str">
        <f aca="false">IF(OR(L489="",I489=""),"",L489-M489)</f>
        <v/>
      </c>
      <c r="O489" s="1"/>
    </row>
    <row r="490" customFormat="false" ht="15" hidden="false" customHeight="false" outlineLevel="0" collapsed="false">
      <c r="A490" s="27"/>
      <c r="B490" s="1"/>
      <c r="C490" s="24" t="str">
        <f aca="false">IF(B490="","",IFERROR(INDEX(Patients!$B$2:$B$501,MATCH(B490,Patients!$A$2:$A$501,0))&amp;"",""))</f>
        <v/>
      </c>
      <c r="D490" s="1"/>
      <c r="E490" s="1"/>
      <c r="F490" s="1"/>
      <c r="G490" s="28"/>
      <c r="H490" s="1"/>
      <c r="I490" s="1"/>
      <c r="J490" s="29"/>
      <c r="K490" s="1"/>
      <c r="L490" s="20" t="str">
        <f aca="false">IF(E490="","",IFERROR(INDEX(Settings!$D$13:$D$32,MATCH(E490,Settings!$A$13:$A$32,0)),0)*IF(F490="",1,F490))</f>
        <v/>
      </c>
      <c r="M490" s="20" t="str">
        <f aca="false">IF(L490="","",IF(I490="",L490,L490*(1-IF(J490="",Settings!$B$6,J490))))</f>
        <v/>
      </c>
      <c r="N490" s="20" t="str">
        <f aca="false">IF(OR(L490="",I490=""),"",L490-M490)</f>
        <v/>
      </c>
      <c r="O490" s="1"/>
    </row>
    <row r="491" customFormat="false" ht="15" hidden="false" customHeight="false" outlineLevel="0" collapsed="false">
      <c r="A491" s="27"/>
      <c r="B491" s="1"/>
      <c r="C491" s="24" t="str">
        <f aca="false">IF(B491="","",IFERROR(INDEX(Patients!$B$2:$B$501,MATCH(B491,Patients!$A$2:$A$501,0))&amp;"",""))</f>
        <v/>
      </c>
      <c r="D491" s="1"/>
      <c r="E491" s="1"/>
      <c r="F491" s="1"/>
      <c r="G491" s="28"/>
      <c r="H491" s="1"/>
      <c r="I491" s="1"/>
      <c r="J491" s="29"/>
      <c r="K491" s="1"/>
      <c r="L491" s="20" t="str">
        <f aca="false">IF(E491="","",IFERROR(INDEX(Settings!$D$13:$D$32,MATCH(E491,Settings!$A$13:$A$32,0)),0)*IF(F491="",1,F491))</f>
        <v/>
      </c>
      <c r="M491" s="20" t="str">
        <f aca="false">IF(L491="","",IF(I491="",L491,L491*(1-IF(J491="",Settings!$B$6,J491))))</f>
        <v/>
      </c>
      <c r="N491" s="20" t="str">
        <f aca="false">IF(OR(L491="",I491=""),"",L491-M491)</f>
        <v/>
      </c>
      <c r="O491" s="1"/>
    </row>
    <row r="492" customFormat="false" ht="15" hidden="false" customHeight="false" outlineLevel="0" collapsed="false">
      <c r="A492" s="27"/>
      <c r="B492" s="1"/>
      <c r="C492" s="24" t="str">
        <f aca="false">IF(B492="","",IFERROR(INDEX(Patients!$B$2:$B$501,MATCH(B492,Patients!$A$2:$A$501,0))&amp;"",""))</f>
        <v/>
      </c>
      <c r="D492" s="1"/>
      <c r="E492" s="1"/>
      <c r="F492" s="1"/>
      <c r="G492" s="28"/>
      <c r="H492" s="1"/>
      <c r="I492" s="1"/>
      <c r="J492" s="29"/>
      <c r="K492" s="1"/>
      <c r="L492" s="20" t="str">
        <f aca="false">IF(E492="","",IFERROR(INDEX(Settings!$D$13:$D$32,MATCH(E492,Settings!$A$13:$A$32,0)),0)*IF(F492="",1,F492))</f>
        <v/>
      </c>
      <c r="M492" s="20" t="str">
        <f aca="false">IF(L492="","",IF(I492="",L492,L492*(1-IF(J492="",Settings!$B$6,J492))))</f>
        <v/>
      </c>
      <c r="N492" s="20" t="str">
        <f aca="false">IF(OR(L492="",I492=""),"",L492-M492)</f>
        <v/>
      </c>
      <c r="O492" s="1"/>
    </row>
    <row r="493" customFormat="false" ht="15" hidden="false" customHeight="false" outlineLevel="0" collapsed="false">
      <c r="A493" s="27"/>
      <c r="B493" s="1"/>
      <c r="C493" s="24" t="str">
        <f aca="false">IF(B493="","",IFERROR(INDEX(Patients!$B$2:$B$501,MATCH(B493,Patients!$A$2:$A$501,0))&amp;"",""))</f>
        <v/>
      </c>
      <c r="D493" s="1"/>
      <c r="E493" s="1"/>
      <c r="F493" s="1"/>
      <c r="G493" s="28"/>
      <c r="H493" s="1"/>
      <c r="I493" s="1"/>
      <c r="J493" s="29"/>
      <c r="K493" s="1"/>
      <c r="L493" s="20" t="str">
        <f aca="false">IF(E493="","",IFERROR(INDEX(Settings!$D$13:$D$32,MATCH(E493,Settings!$A$13:$A$32,0)),0)*IF(F493="",1,F493))</f>
        <v/>
      </c>
      <c r="M493" s="20" t="str">
        <f aca="false">IF(L493="","",IF(I493="",L493,L493*(1-IF(J493="",Settings!$B$6,J493))))</f>
        <v/>
      </c>
      <c r="N493" s="20" t="str">
        <f aca="false">IF(OR(L493="",I493=""),"",L493-M493)</f>
        <v/>
      </c>
      <c r="O493" s="1"/>
    </row>
    <row r="494" customFormat="false" ht="15" hidden="false" customHeight="false" outlineLevel="0" collapsed="false">
      <c r="A494" s="27"/>
      <c r="B494" s="1"/>
      <c r="C494" s="24" t="str">
        <f aca="false">IF(B494="","",IFERROR(INDEX(Patients!$B$2:$B$501,MATCH(B494,Patients!$A$2:$A$501,0))&amp;"",""))</f>
        <v/>
      </c>
      <c r="D494" s="1"/>
      <c r="E494" s="1"/>
      <c r="F494" s="1"/>
      <c r="G494" s="28"/>
      <c r="H494" s="1"/>
      <c r="I494" s="1"/>
      <c r="J494" s="29"/>
      <c r="K494" s="1"/>
      <c r="L494" s="20" t="str">
        <f aca="false">IF(E494="","",IFERROR(INDEX(Settings!$D$13:$D$32,MATCH(E494,Settings!$A$13:$A$32,0)),0)*IF(F494="",1,F494))</f>
        <v/>
      </c>
      <c r="M494" s="20" t="str">
        <f aca="false">IF(L494="","",IF(I494="",L494,L494*(1-IF(J494="",Settings!$B$6,J494))))</f>
        <v/>
      </c>
      <c r="N494" s="20" t="str">
        <f aca="false">IF(OR(L494="",I494=""),"",L494-M494)</f>
        <v/>
      </c>
      <c r="O494" s="1"/>
    </row>
    <row r="495" customFormat="false" ht="15" hidden="false" customHeight="false" outlineLevel="0" collapsed="false">
      <c r="A495" s="27"/>
      <c r="B495" s="1"/>
      <c r="C495" s="24" t="str">
        <f aca="false">IF(B495="","",IFERROR(INDEX(Patients!$B$2:$B$501,MATCH(B495,Patients!$A$2:$A$501,0))&amp;"",""))</f>
        <v/>
      </c>
      <c r="D495" s="1"/>
      <c r="E495" s="1"/>
      <c r="F495" s="1"/>
      <c r="G495" s="28"/>
      <c r="H495" s="1"/>
      <c r="I495" s="1"/>
      <c r="J495" s="29"/>
      <c r="K495" s="1"/>
      <c r="L495" s="20" t="str">
        <f aca="false">IF(E495="","",IFERROR(INDEX(Settings!$D$13:$D$32,MATCH(E495,Settings!$A$13:$A$32,0)),0)*IF(F495="",1,F495))</f>
        <v/>
      </c>
      <c r="M495" s="20" t="str">
        <f aca="false">IF(L495="","",IF(I495="",L495,L495*(1-IF(J495="",Settings!$B$6,J495))))</f>
        <v/>
      </c>
      <c r="N495" s="20" t="str">
        <f aca="false">IF(OR(L495="",I495=""),"",L495-M495)</f>
        <v/>
      </c>
      <c r="O495" s="1"/>
    </row>
    <row r="496" customFormat="false" ht="15" hidden="false" customHeight="false" outlineLevel="0" collapsed="false">
      <c r="A496" s="27"/>
      <c r="B496" s="1"/>
      <c r="C496" s="24" t="str">
        <f aca="false">IF(B496="","",IFERROR(INDEX(Patients!$B$2:$B$501,MATCH(B496,Patients!$A$2:$A$501,0))&amp;"",""))</f>
        <v/>
      </c>
      <c r="D496" s="1"/>
      <c r="E496" s="1"/>
      <c r="F496" s="1"/>
      <c r="G496" s="28"/>
      <c r="H496" s="1"/>
      <c r="I496" s="1"/>
      <c r="J496" s="29"/>
      <c r="K496" s="1"/>
      <c r="L496" s="20" t="str">
        <f aca="false">IF(E496="","",IFERROR(INDEX(Settings!$D$13:$D$32,MATCH(E496,Settings!$A$13:$A$32,0)),0)*IF(F496="",1,F496))</f>
        <v/>
      </c>
      <c r="M496" s="20" t="str">
        <f aca="false">IF(L496="","",IF(I496="",L496,L496*(1-IF(J496="",Settings!$B$6,J496))))</f>
        <v/>
      </c>
      <c r="N496" s="20" t="str">
        <f aca="false">IF(OR(L496="",I496=""),"",L496-M496)</f>
        <v/>
      </c>
      <c r="O496" s="1"/>
    </row>
    <row r="497" customFormat="false" ht="15" hidden="false" customHeight="false" outlineLevel="0" collapsed="false">
      <c r="A497" s="27"/>
      <c r="B497" s="1"/>
      <c r="C497" s="24" t="str">
        <f aca="false">IF(B497="","",IFERROR(INDEX(Patients!$B$2:$B$501,MATCH(B497,Patients!$A$2:$A$501,0))&amp;"",""))</f>
        <v/>
      </c>
      <c r="D497" s="1"/>
      <c r="E497" s="1"/>
      <c r="F497" s="1"/>
      <c r="G497" s="28"/>
      <c r="H497" s="1"/>
      <c r="I497" s="1"/>
      <c r="J497" s="29"/>
      <c r="K497" s="1"/>
      <c r="L497" s="20" t="str">
        <f aca="false">IF(E497="","",IFERROR(INDEX(Settings!$D$13:$D$32,MATCH(E497,Settings!$A$13:$A$32,0)),0)*IF(F497="",1,F497))</f>
        <v/>
      </c>
      <c r="M497" s="20" t="str">
        <f aca="false">IF(L497="","",IF(I497="",L497,L497*(1-IF(J497="",Settings!$B$6,J497))))</f>
        <v/>
      </c>
      <c r="N497" s="20" t="str">
        <f aca="false">IF(OR(L497="",I497=""),"",L497-M497)</f>
        <v/>
      </c>
      <c r="O497" s="1"/>
    </row>
    <row r="498" customFormat="false" ht="15" hidden="false" customHeight="false" outlineLevel="0" collapsed="false">
      <c r="A498" s="27"/>
      <c r="B498" s="1"/>
      <c r="C498" s="24" t="str">
        <f aca="false">IF(B498="","",IFERROR(INDEX(Patients!$B$2:$B$501,MATCH(B498,Patients!$A$2:$A$501,0))&amp;"",""))</f>
        <v/>
      </c>
      <c r="D498" s="1"/>
      <c r="E498" s="1"/>
      <c r="F498" s="1"/>
      <c r="G498" s="28"/>
      <c r="H498" s="1"/>
      <c r="I498" s="1"/>
      <c r="J498" s="29"/>
      <c r="K498" s="1"/>
      <c r="L498" s="20" t="str">
        <f aca="false">IF(E498="","",IFERROR(INDEX(Settings!$D$13:$D$32,MATCH(E498,Settings!$A$13:$A$32,0)),0)*IF(F498="",1,F498))</f>
        <v/>
      </c>
      <c r="M498" s="20" t="str">
        <f aca="false">IF(L498="","",IF(I498="",L498,L498*(1-IF(J498="",Settings!$B$6,J498))))</f>
        <v/>
      </c>
      <c r="N498" s="20" t="str">
        <f aca="false">IF(OR(L498="",I498=""),"",L498-M498)</f>
        <v/>
      </c>
      <c r="O498" s="1"/>
    </row>
    <row r="499" customFormat="false" ht="15" hidden="false" customHeight="false" outlineLevel="0" collapsed="false">
      <c r="A499" s="27"/>
      <c r="B499" s="1"/>
      <c r="C499" s="24" t="str">
        <f aca="false">IF(B499="","",IFERROR(INDEX(Patients!$B$2:$B$501,MATCH(B499,Patients!$A$2:$A$501,0))&amp;"",""))</f>
        <v/>
      </c>
      <c r="D499" s="1"/>
      <c r="E499" s="1"/>
      <c r="F499" s="1"/>
      <c r="G499" s="28"/>
      <c r="H499" s="1"/>
      <c r="I499" s="1"/>
      <c r="J499" s="29"/>
      <c r="K499" s="1"/>
      <c r="L499" s="20" t="str">
        <f aca="false">IF(E499="","",IFERROR(INDEX(Settings!$D$13:$D$32,MATCH(E499,Settings!$A$13:$A$32,0)),0)*IF(F499="",1,F499))</f>
        <v/>
      </c>
      <c r="M499" s="20" t="str">
        <f aca="false">IF(L499="","",IF(I499="",L499,L499*(1-IF(J499="",Settings!$B$6,J499))))</f>
        <v/>
      </c>
      <c r="N499" s="20" t="str">
        <f aca="false">IF(OR(L499="",I499=""),"",L499-M499)</f>
        <v/>
      </c>
      <c r="O499" s="1"/>
    </row>
    <row r="500" customFormat="false" ht="15" hidden="false" customHeight="false" outlineLevel="0" collapsed="false">
      <c r="A500" s="27"/>
      <c r="B500" s="1"/>
      <c r="C500" s="24" t="str">
        <f aca="false">IF(B500="","",IFERROR(INDEX(Patients!$B$2:$B$501,MATCH(B500,Patients!$A$2:$A$501,0))&amp;"",""))</f>
        <v/>
      </c>
      <c r="D500" s="1"/>
      <c r="E500" s="1"/>
      <c r="F500" s="1"/>
      <c r="G500" s="28"/>
      <c r="H500" s="1"/>
      <c r="I500" s="1"/>
      <c r="J500" s="29"/>
      <c r="K500" s="1"/>
      <c r="L500" s="20" t="str">
        <f aca="false">IF(E500="","",IFERROR(INDEX(Settings!$D$13:$D$32,MATCH(E500,Settings!$A$13:$A$32,0)),0)*IF(F500="",1,F500))</f>
        <v/>
      </c>
      <c r="M500" s="20" t="str">
        <f aca="false">IF(L500="","",IF(I500="",L500,L500*(1-IF(J500="",Settings!$B$6,J500))))</f>
        <v/>
      </c>
      <c r="N500" s="20" t="str">
        <f aca="false">IF(OR(L500="",I500=""),"",L500-M500)</f>
        <v/>
      </c>
      <c r="O500" s="1"/>
    </row>
    <row r="501" customFormat="false" ht="15" hidden="false" customHeight="false" outlineLevel="0" collapsed="false">
      <c r="A501" s="27"/>
      <c r="B501" s="1"/>
      <c r="C501" s="24" t="str">
        <f aca="false">IF(B501="","",IFERROR(INDEX(Patients!$B$2:$B$501,MATCH(B501,Patients!$A$2:$A$501,0))&amp;"",""))</f>
        <v/>
      </c>
      <c r="D501" s="1"/>
      <c r="E501" s="1"/>
      <c r="F501" s="1"/>
      <c r="G501" s="28"/>
      <c r="H501" s="1"/>
      <c r="I501" s="1"/>
      <c r="J501" s="29"/>
      <c r="K501" s="1"/>
      <c r="L501" s="20" t="str">
        <f aca="false">IF(E501="","",IFERROR(INDEX(Settings!$D$13:$D$32,MATCH(E501,Settings!$A$13:$A$32,0)),0)*IF(F501="",1,F501))</f>
        <v/>
      </c>
      <c r="M501" s="20" t="str">
        <f aca="false">IF(L501="","",IF(I501="",L501,L501*(1-IF(J501="",Settings!$B$6,J501))))</f>
        <v/>
      </c>
      <c r="N501" s="20" t="str">
        <f aca="false">IF(OR(L501="",I501=""),"",L501-M501)</f>
        <v/>
      </c>
      <c r="O501" s="1"/>
    </row>
  </sheetData>
  <dataValidations count="5">
    <dataValidation allowBlank="true" error="Choose a value from the list" errorStyle="stop" errorTitle="Invalid entry" operator="between" showDropDown="false" showErrorMessage="false" showInputMessage="false" sqref="D2:D501" type="list">
      <formula1>Settings!$H$13:$H$14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E2:E501" type="list">
      <formula1>Settings!$A$13:$A$32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H2:I501" type="list">
      <formula1>Team!$A$2:$A$51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K2:K501" type="list">
      <formula1>Team!$A$2:$A$51</formula1>
      <formula2>0</formula2>
    </dataValidation>
    <dataValidation allowBlank="true" error="Choose a value from the list" errorStyle="stop" errorTitle="Invalid entry" operator="between" prompt="Add the patient in Patients first" showDropDown="false" showErrorMessage="false" showInputMessage="true" sqref="B2:B501" type="list">
      <formula1>Patients!$A$2:$A$501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7"/>
    <col collapsed="false" customWidth="true" hidden="false" outlineLevel="0" max="9" min="9" style="0" width="10"/>
    <col collapsed="false" customWidth="true" hidden="false" outlineLevel="0" max="12" min="10" style="0" width="14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15" t="s">
        <v>64</v>
      </c>
      <c r="B1" s="15" t="s">
        <v>37</v>
      </c>
      <c r="C1" s="15" t="s">
        <v>38</v>
      </c>
      <c r="D1" s="15" t="s">
        <v>65</v>
      </c>
      <c r="E1" s="15" t="s">
        <v>66</v>
      </c>
      <c r="F1" s="15" t="s">
        <v>52</v>
      </c>
      <c r="G1" s="15" t="s">
        <v>67</v>
      </c>
      <c r="H1" s="15" t="s">
        <v>53</v>
      </c>
      <c r="I1" s="15" t="s">
        <v>54</v>
      </c>
      <c r="J1" s="15" t="s">
        <v>56</v>
      </c>
      <c r="K1" s="15" t="s">
        <v>57</v>
      </c>
      <c r="L1" s="15" t="s">
        <v>58</v>
      </c>
      <c r="M1" s="15" t="s">
        <v>59</v>
      </c>
    </row>
    <row r="2" customFormat="false" ht="15" hidden="false" customHeight="false" outlineLevel="0" collapsed="false">
      <c r="A2" s="23" t="n">
        <v>46267</v>
      </c>
      <c r="B2" s="16" t="s">
        <v>46</v>
      </c>
      <c r="C2" s="24" t="str">
        <f aca="false">IF(B2="","",IFERROR(INDEX(Patients!$B$2:$B$501,MATCH(B2,Patients!$A$2:$A$501,0))&amp;"",""))</f>
        <v>9876543210</v>
      </c>
      <c r="D2" s="16" t="s">
        <v>68</v>
      </c>
      <c r="E2" s="16" t="n">
        <v>30</v>
      </c>
      <c r="F2" s="25" t="n">
        <v>3000</v>
      </c>
      <c r="G2" s="16" t="s">
        <v>62</v>
      </c>
      <c r="H2" s="1"/>
      <c r="I2" s="29"/>
      <c r="J2" s="20" t="n">
        <f aca="false">IF(D2="","",IFERROR(INDEX(Settings!$D$36:$D$45,MATCH(D2,Settings!$A$36:$A$45,0)),0))</f>
        <v>500</v>
      </c>
      <c r="K2" s="20" t="n">
        <f aca="false">IF(J2="","",IF(H2="",J2,J2*(1-IF(I2="",Settings!$B$6,I2))))</f>
        <v>500</v>
      </c>
      <c r="L2" s="20" t="str">
        <f aca="false">IF(OR(J2="",H2=""),"",J2-K2)</f>
        <v/>
      </c>
      <c r="M2" s="16" t="s">
        <v>63</v>
      </c>
    </row>
    <row r="3" customFormat="false" ht="15" hidden="false" customHeight="false" outlineLevel="0" collapsed="false">
      <c r="A3" s="27"/>
      <c r="B3" s="1"/>
      <c r="C3" s="24" t="str">
        <f aca="false">IF(B3="","",IFERROR(INDEX(Patients!$B$2:$B$501,MATCH(B3,Patients!$A$2:$A$501,0))&amp;"",""))</f>
        <v/>
      </c>
      <c r="D3" s="1"/>
      <c r="E3" s="1"/>
      <c r="F3" s="28"/>
      <c r="G3" s="1"/>
      <c r="H3" s="1"/>
      <c r="I3" s="29"/>
      <c r="J3" s="20" t="str">
        <f aca="false">IF(D3="","",IFERROR(INDEX(Settings!$D$36:$D$45,MATCH(D3,Settings!$A$36:$A$45,0)),0))</f>
        <v/>
      </c>
      <c r="K3" s="20" t="str">
        <f aca="false">IF(J3="","",IF(H3="",J3,J3*(1-IF(I3="",Settings!$B$6,I3))))</f>
        <v/>
      </c>
      <c r="L3" s="20" t="str">
        <f aca="false">IF(OR(J3="",H3=""),"",J3-K3)</f>
        <v/>
      </c>
      <c r="M3" s="1"/>
    </row>
    <row r="4" customFormat="false" ht="15" hidden="false" customHeight="false" outlineLevel="0" collapsed="false">
      <c r="A4" s="27"/>
      <c r="B4" s="1"/>
      <c r="C4" s="24" t="str">
        <f aca="false">IF(B4="","",IFERROR(INDEX(Patients!$B$2:$B$501,MATCH(B4,Patients!$A$2:$A$501,0))&amp;"",""))</f>
        <v/>
      </c>
      <c r="D4" s="1"/>
      <c r="E4" s="1"/>
      <c r="F4" s="28"/>
      <c r="G4" s="1"/>
      <c r="H4" s="1"/>
      <c r="I4" s="29"/>
      <c r="J4" s="20" t="str">
        <f aca="false">IF(D4="","",IFERROR(INDEX(Settings!$D$36:$D$45,MATCH(D4,Settings!$A$36:$A$45,0)),0))</f>
        <v/>
      </c>
      <c r="K4" s="20" t="str">
        <f aca="false">IF(J4="","",IF(H4="",J4,J4*(1-IF(I4="",Settings!$B$6,I4))))</f>
        <v/>
      </c>
      <c r="L4" s="20" t="str">
        <f aca="false">IF(OR(J4="",H4=""),"",J4-K4)</f>
        <v/>
      </c>
      <c r="M4" s="1"/>
    </row>
    <row r="5" customFormat="false" ht="15" hidden="false" customHeight="false" outlineLevel="0" collapsed="false">
      <c r="A5" s="27"/>
      <c r="B5" s="1"/>
      <c r="C5" s="24" t="str">
        <f aca="false">IF(B5="","",IFERROR(INDEX(Patients!$B$2:$B$501,MATCH(B5,Patients!$A$2:$A$501,0))&amp;"",""))</f>
        <v/>
      </c>
      <c r="D5" s="1"/>
      <c r="E5" s="1"/>
      <c r="F5" s="28"/>
      <c r="G5" s="1"/>
      <c r="H5" s="1"/>
      <c r="I5" s="29"/>
      <c r="J5" s="20" t="str">
        <f aca="false">IF(D5="","",IFERROR(INDEX(Settings!$D$36:$D$45,MATCH(D5,Settings!$A$36:$A$45,0)),0))</f>
        <v/>
      </c>
      <c r="K5" s="20" t="str">
        <f aca="false">IF(J5="","",IF(H5="",J5,J5*(1-IF(I5="",Settings!$B$6,I5))))</f>
        <v/>
      </c>
      <c r="L5" s="20" t="str">
        <f aca="false">IF(OR(J5="",H5=""),"",J5-K5)</f>
        <v/>
      </c>
      <c r="M5" s="1"/>
    </row>
    <row r="6" customFormat="false" ht="15" hidden="false" customHeight="false" outlineLevel="0" collapsed="false">
      <c r="A6" s="27"/>
      <c r="B6" s="1"/>
      <c r="C6" s="24" t="str">
        <f aca="false">IF(B6="","",IFERROR(INDEX(Patients!$B$2:$B$501,MATCH(B6,Patients!$A$2:$A$501,0))&amp;"",""))</f>
        <v/>
      </c>
      <c r="D6" s="1"/>
      <c r="E6" s="1"/>
      <c r="F6" s="28"/>
      <c r="G6" s="1"/>
      <c r="H6" s="1"/>
      <c r="I6" s="29"/>
      <c r="J6" s="20" t="str">
        <f aca="false">IF(D6="","",IFERROR(INDEX(Settings!$D$36:$D$45,MATCH(D6,Settings!$A$36:$A$45,0)),0))</f>
        <v/>
      </c>
      <c r="K6" s="20" t="str">
        <f aca="false">IF(J6="","",IF(H6="",J6,J6*(1-IF(I6="",Settings!$B$6,I6))))</f>
        <v/>
      </c>
      <c r="L6" s="20" t="str">
        <f aca="false">IF(OR(J6="",H6=""),"",J6-K6)</f>
        <v/>
      </c>
      <c r="M6" s="1"/>
    </row>
    <row r="7" customFormat="false" ht="15" hidden="false" customHeight="false" outlineLevel="0" collapsed="false">
      <c r="A7" s="27"/>
      <c r="B7" s="1"/>
      <c r="C7" s="24" t="str">
        <f aca="false">IF(B7="","",IFERROR(INDEX(Patients!$B$2:$B$501,MATCH(B7,Patients!$A$2:$A$501,0))&amp;"",""))</f>
        <v/>
      </c>
      <c r="D7" s="1"/>
      <c r="E7" s="1"/>
      <c r="F7" s="28"/>
      <c r="G7" s="1"/>
      <c r="H7" s="1"/>
      <c r="I7" s="29"/>
      <c r="J7" s="20" t="str">
        <f aca="false">IF(D7="","",IFERROR(INDEX(Settings!$D$36:$D$45,MATCH(D7,Settings!$A$36:$A$45,0)),0))</f>
        <v/>
      </c>
      <c r="K7" s="20" t="str">
        <f aca="false">IF(J7="","",IF(H7="",J7,J7*(1-IF(I7="",Settings!$B$6,I7))))</f>
        <v/>
      </c>
      <c r="L7" s="20" t="str">
        <f aca="false">IF(OR(J7="",H7=""),"",J7-K7)</f>
        <v/>
      </c>
      <c r="M7" s="1"/>
    </row>
    <row r="8" customFormat="false" ht="15" hidden="false" customHeight="false" outlineLevel="0" collapsed="false">
      <c r="A8" s="27"/>
      <c r="B8" s="1"/>
      <c r="C8" s="24" t="str">
        <f aca="false">IF(B8="","",IFERROR(INDEX(Patients!$B$2:$B$501,MATCH(B8,Patients!$A$2:$A$501,0))&amp;"",""))</f>
        <v/>
      </c>
      <c r="D8" s="1"/>
      <c r="E8" s="1"/>
      <c r="F8" s="28"/>
      <c r="G8" s="1"/>
      <c r="H8" s="1"/>
      <c r="I8" s="29"/>
      <c r="J8" s="20" t="str">
        <f aca="false">IF(D8="","",IFERROR(INDEX(Settings!$D$36:$D$45,MATCH(D8,Settings!$A$36:$A$45,0)),0))</f>
        <v/>
      </c>
      <c r="K8" s="20" t="str">
        <f aca="false">IF(J8="","",IF(H8="",J8,J8*(1-IF(I8="",Settings!$B$6,I8))))</f>
        <v/>
      </c>
      <c r="L8" s="20" t="str">
        <f aca="false">IF(OR(J8="",H8=""),"",J8-K8)</f>
        <v/>
      </c>
      <c r="M8" s="1"/>
    </row>
    <row r="9" customFormat="false" ht="15" hidden="false" customHeight="false" outlineLevel="0" collapsed="false">
      <c r="A9" s="27"/>
      <c r="B9" s="1"/>
      <c r="C9" s="24" t="str">
        <f aca="false">IF(B9="","",IFERROR(INDEX(Patients!$B$2:$B$501,MATCH(B9,Patients!$A$2:$A$501,0))&amp;"",""))</f>
        <v/>
      </c>
      <c r="D9" s="1"/>
      <c r="E9" s="1"/>
      <c r="F9" s="28"/>
      <c r="G9" s="1"/>
      <c r="H9" s="1"/>
      <c r="I9" s="29"/>
      <c r="J9" s="20" t="str">
        <f aca="false">IF(D9="","",IFERROR(INDEX(Settings!$D$36:$D$45,MATCH(D9,Settings!$A$36:$A$45,0)),0))</f>
        <v/>
      </c>
      <c r="K9" s="20" t="str">
        <f aca="false">IF(J9="","",IF(H9="",J9,J9*(1-IF(I9="",Settings!$B$6,I9))))</f>
        <v/>
      </c>
      <c r="L9" s="20" t="str">
        <f aca="false">IF(OR(J9="",H9=""),"",J9-K9)</f>
        <v/>
      </c>
      <c r="M9" s="1"/>
    </row>
    <row r="10" customFormat="false" ht="15" hidden="false" customHeight="false" outlineLevel="0" collapsed="false">
      <c r="A10" s="27"/>
      <c r="B10" s="1"/>
      <c r="C10" s="24" t="str">
        <f aca="false">IF(B10="","",IFERROR(INDEX(Patients!$B$2:$B$501,MATCH(B10,Patients!$A$2:$A$501,0))&amp;"",""))</f>
        <v/>
      </c>
      <c r="D10" s="1"/>
      <c r="E10" s="1"/>
      <c r="F10" s="28"/>
      <c r="G10" s="1"/>
      <c r="H10" s="1"/>
      <c r="I10" s="29"/>
      <c r="J10" s="20" t="str">
        <f aca="false">IF(D10="","",IFERROR(INDEX(Settings!$D$36:$D$45,MATCH(D10,Settings!$A$36:$A$45,0)),0))</f>
        <v/>
      </c>
      <c r="K10" s="20" t="str">
        <f aca="false">IF(J10="","",IF(H10="",J10,J10*(1-IF(I10="",Settings!$B$6,I10))))</f>
        <v/>
      </c>
      <c r="L10" s="20" t="str">
        <f aca="false">IF(OR(J10="",H10=""),"",J10-K10)</f>
        <v/>
      </c>
      <c r="M10" s="1"/>
    </row>
    <row r="11" customFormat="false" ht="15" hidden="false" customHeight="false" outlineLevel="0" collapsed="false">
      <c r="A11" s="27"/>
      <c r="B11" s="1"/>
      <c r="C11" s="24" t="str">
        <f aca="false">IF(B11="","",IFERROR(INDEX(Patients!$B$2:$B$501,MATCH(B11,Patients!$A$2:$A$501,0))&amp;"",""))</f>
        <v/>
      </c>
      <c r="D11" s="1"/>
      <c r="E11" s="1"/>
      <c r="F11" s="28"/>
      <c r="G11" s="1"/>
      <c r="H11" s="1"/>
      <c r="I11" s="29"/>
      <c r="J11" s="20" t="str">
        <f aca="false">IF(D11="","",IFERROR(INDEX(Settings!$D$36:$D$45,MATCH(D11,Settings!$A$36:$A$45,0)),0))</f>
        <v/>
      </c>
      <c r="K11" s="20" t="str">
        <f aca="false">IF(J11="","",IF(H11="",J11,J11*(1-IF(I11="",Settings!$B$6,I11))))</f>
        <v/>
      </c>
      <c r="L11" s="20" t="str">
        <f aca="false">IF(OR(J11="",H11=""),"",J11-K11)</f>
        <v/>
      </c>
      <c r="M11" s="1"/>
    </row>
    <row r="12" customFormat="false" ht="15" hidden="false" customHeight="false" outlineLevel="0" collapsed="false">
      <c r="A12" s="27"/>
      <c r="B12" s="1"/>
      <c r="C12" s="24" t="str">
        <f aca="false">IF(B12="","",IFERROR(INDEX(Patients!$B$2:$B$501,MATCH(B12,Patients!$A$2:$A$501,0))&amp;"",""))</f>
        <v/>
      </c>
      <c r="D12" s="1"/>
      <c r="E12" s="1"/>
      <c r="F12" s="28"/>
      <c r="G12" s="1"/>
      <c r="H12" s="1"/>
      <c r="I12" s="29"/>
      <c r="J12" s="20" t="str">
        <f aca="false">IF(D12="","",IFERROR(INDEX(Settings!$D$36:$D$45,MATCH(D12,Settings!$A$36:$A$45,0)),0))</f>
        <v/>
      </c>
      <c r="K12" s="20" t="str">
        <f aca="false">IF(J12="","",IF(H12="",J12,J12*(1-IF(I12="",Settings!$B$6,I12))))</f>
        <v/>
      </c>
      <c r="L12" s="20" t="str">
        <f aca="false">IF(OR(J12="",H12=""),"",J12-K12)</f>
        <v/>
      </c>
      <c r="M12" s="1"/>
    </row>
    <row r="13" customFormat="false" ht="15" hidden="false" customHeight="false" outlineLevel="0" collapsed="false">
      <c r="A13" s="27"/>
      <c r="B13" s="1"/>
      <c r="C13" s="24" t="str">
        <f aca="false">IF(B13="","",IFERROR(INDEX(Patients!$B$2:$B$501,MATCH(B13,Patients!$A$2:$A$501,0))&amp;"",""))</f>
        <v/>
      </c>
      <c r="D13" s="1"/>
      <c r="E13" s="1"/>
      <c r="F13" s="28"/>
      <c r="G13" s="1"/>
      <c r="H13" s="1"/>
      <c r="I13" s="29"/>
      <c r="J13" s="20" t="str">
        <f aca="false">IF(D13="","",IFERROR(INDEX(Settings!$D$36:$D$45,MATCH(D13,Settings!$A$36:$A$45,0)),0))</f>
        <v/>
      </c>
      <c r="K13" s="20" t="str">
        <f aca="false">IF(J13="","",IF(H13="",J13,J13*(1-IF(I13="",Settings!$B$6,I13))))</f>
        <v/>
      </c>
      <c r="L13" s="20" t="str">
        <f aca="false">IF(OR(J13="",H13=""),"",J13-K13)</f>
        <v/>
      </c>
      <c r="M13" s="1"/>
    </row>
    <row r="14" customFormat="false" ht="15" hidden="false" customHeight="false" outlineLevel="0" collapsed="false">
      <c r="A14" s="27"/>
      <c r="B14" s="1"/>
      <c r="C14" s="24" t="str">
        <f aca="false">IF(B14="","",IFERROR(INDEX(Patients!$B$2:$B$501,MATCH(B14,Patients!$A$2:$A$501,0))&amp;"",""))</f>
        <v/>
      </c>
      <c r="D14" s="1"/>
      <c r="E14" s="1"/>
      <c r="F14" s="28"/>
      <c r="G14" s="1"/>
      <c r="H14" s="1"/>
      <c r="I14" s="29"/>
      <c r="J14" s="20" t="str">
        <f aca="false">IF(D14="","",IFERROR(INDEX(Settings!$D$36:$D$45,MATCH(D14,Settings!$A$36:$A$45,0)),0))</f>
        <v/>
      </c>
      <c r="K14" s="20" t="str">
        <f aca="false">IF(J14="","",IF(H14="",J14,J14*(1-IF(I14="",Settings!$B$6,I14))))</f>
        <v/>
      </c>
      <c r="L14" s="20" t="str">
        <f aca="false">IF(OR(J14="",H14=""),"",J14-K14)</f>
        <v/>
      </c>
      <c r="M14" s="1"/>
    </row>
    <row r="15" customFormat="false" ht="15" hidden="false" customHeight="false" outlineLevel="0" collapsed="false">
      <c r="A15" s="27"/>
      <c r="B15" s="1"/>
      <c r="C15" s="24" t="str">
        <f aca="false">IF(B15="","",IFERROR(INDEX(Patients!$B$2:$B$501,MATCH(B15,Patients!$A$2:$A$501,0))&amp;"",""))</f>
        <v/>
      </c>
      <c r="D15" s="1"/>
      <c r="E15" s="1"/>
      <c r="F15" s="28"/>
      <c r="G15" s="1"/>
      <c r="H15" s="1"/>
      <c r="I15" s="29"/>
      <c r="J15" s="20" t="str">
        <f aca="false">IF(D15="","",IFERROR(INDEX(Settings!$D$36:$D$45,MATCH(D15,Settings!$A$36:$A$45,0)),0))</f>
        <v/>
      </c>
      <c r="K15" s="20" t="str">
        <f aca="false">IF(J15="","",IF(H15="",J15,J15*(1-IF(I15="",Settings!$B$6,I15))))</f>
        <v/>
      </c>
      <c r="L15" s="20" t="str">
        <f aca="false">IF(OR(J15="",H15=""),"",J15-K15)</f>
        <v/>
      </c>
      <c r="M15" s="1"/>
    </row>
    <row r="16" customFormat="false" ht="15" hidden="false" customHeight="false" outlineLevel="0" collapsed="false">
      <c r="A16" s="27"/>
      <c r="B16" s="1"/>
      <c r="C16" s="24" t="str">
        <f aca="false">IF(B16="","",IFERROR(INDEX(Patients!$B$2:$B$501,MATCH(B16,Patients!$A$2:$A$501,0))&amp;"",""))</f>
        <v/>
      </c>
      <c r="D16" s="1"/>
      <c r="E16" s="1"/>
      <c r="F16" s="28"/>
      <c r="G16" s="1"/>
      <c r="H16" s="1"/>
      <c r="I16" s="29"/>
      <c r="J16" s="20" t="str">
        <f aca="false">IF(D16="","",IFERROR(INDEX(Settings!$D$36:$D$45,MATCH(D16,Settings!$A$36:$A$45,0)),0))</f>
        <v/>
      </c>
      <c r="K16" s="20" t="str">
        <f aca="false">IF(J16="","",IF(H16="",J16,J16*(1-IF(I16="",Settings!$B$6,I16))))</f>
        <v/>
      </c>
      <c r="L16" s="20" t="str">
        <f aca="false">IF(OR(J16="",H16=""),"",J16-K16)</f>
        <v/>
      </c>
      <c r="M16" s="1"/>
    </row>
    <row r="17" customFormat="false" ht="15" hidden="false" customHeight="false" outlineLevel="0" collapsed="false">
      <c r="A17" s="27"/>
      <c r="B17" s="1"/>
      <c r="C17" s="24" t="str">
        <f aca="false">IF(B17="","",IFERROR(INDEX(Patients!$B$2:$B$501,MATCH(B17,Patients!$A$2:$A$501,0))&amp;"",""))</f>
        <v/>
      </c>
      <c r="D17" s="1"/>
      <c r="E17" s="1"/>
      <c r="F17" s="28"/>
      <c r="G17" s="1"/>
      <c r="H17" s="1"/>
      <c r="I17" s="29"/>
      <c r="J17" s="20" t="str">
        <f aca="false">IF(D17="","",IFERROR(INDEX(Settings!$D$36:$D$45,MATCH(D17,Settings!$A$36:$A$45,0)),0))</f>
        <v/>
      </c>
      <c r="K17" s="20" t="str">
        <f aca="false">IF(J17="","",IF(H17="",J17,J17*(1-IF(I17="",Settings!$B$6,I17))))</f>
        <v/>
      </c>
      <c r="L17" s="20" t="str">
        <f aca="false">IF(OR(J17="",H17=""),"",J17-K17)</f>
        <v/>
      </c>
      <c r="M17" s="1"/>
    </row>
    <row r="18" customFormat="false" ht="15" hidden="false" customHeight="false" outlineLevel="0" collapsed="false">
      <c r="A18" s="27"/>
      <c r="B18" s="1"/>
      <c r="C18" s="24" t="str">
        <f aca="false">IF(B18="","",IFERROR(INDEX(Patients!$B$2:$B$501,MATCH(B18,Patients!$A$2:$A$501,0))&amp;"",""))</f>
        <v/>
      </c>
      <c r="D18" s="1"/>
      <c r="E18" s="1"/>
      <c r="F18" s="28"/>
      <c r="G18" s="1"/>
      <c r="H18" s="1"/>
      <c r="I18" s="29"/>
      <c r="J18" s="20" t="str">
        <f aca="false">IF(D18="","",IFERROR(INDEX(Settings!$D$36:$D$45,MATCH(D18,Settings!$A$36:$A$45,0)),0))</f>
        <v/>
      </c>
      <c r="K18" s="20" t="str">
        <f aca="false">IF(J18="","",IF(H18="",J18,J18*(1-IF(I18="",Settings!$B$6,I18))))</f>
        <v/>
      </c>
      <c r="L18" s="20" t="str">
        <f aca="false">IF(OR(J18="",H18=""),"",J18-K18)</f>
        <v/>
      </c>
      <c r="M18" s="1"/>
    </row>
    <row r="19" customFormat="false" ht="15" hidden="false" customHeight="false" outlineLevel="0" collapsed="false">
      <c r="A19" s="27"/>
      <c r="B19" s="1"/>
      <c r="C19" s="24" t="str">
        <f aca="false">IF(B19="","",IFERROR(INDEX(Patients!$B$2:$B$501,MATCH(B19,Patients!$A$2:$A$501,0))&amp;"",""))</f>
        <v/>
      </c>
      <c r="D19" s="1"/>
      <c r="E19" s="1"/>
      <c r="F19" s="28"/>
      <c r="G19" s="1"/>
      <c r="H19" s="1"/>
      <c r="I19" s="29"/>
      <c r="J19" s="20" t="str">
        <f aca="false">IF(D19="","",IFERROR(INDEX(Settings!$D$36:$D$45,MATCH(D19,Settings!$A$36:$A$45,0)),0))</f>
        <v/>
      </c>
      <c r="K19" s="20" t="str">
        <f aca="false">IF(J19="","",IF(H19="",J19,J19*(1-IF(I19="",Settings!$B$6,I19))))</f>
        <v/>
      </c>
      <c r="L19" s="20" t="str">
        <f aca="false">IF(OR(J19="",H19=""),"",J19-K19)</f>
        <v/>
      </c>
      <c r="M19" s="1"/>
    </row>
    <row r="20" customFormat="false" ht="15" hidden="false" customHeight="false" outlineLevel="0" collapsed="false">
      <c r="A20" s="27"/>
      <c r="B20" s="1"/>
      <c r="C20" s="24" t="str">
        <f aca="false">IF(B20="","",IFERROR(INDEX(Patients!$B$2:$B$501,MATCH(B20,Patients!$A$2:$A$501,0))&amp;"",""))</f>
        <v/>
      </c>
      <c r="D20" s="1"/>
      <c r="E20" s="1"/>
      <c r="F20" s="28"/>
      <c r="G20" s="1"/>
      <c r="H20" s="1"/>
      <c r="I20" s="29"/>
      <c r="J20" s="20" t="str">
        <f aca="false">IF(D20="","",IFERROR(INDEX(Settings!$D$36:$D$45,MATCH(D20,Settings!$A$36:$A$45,0)),0))</f>
        <v/>
      </c>
      <c r="K20" s="20" t="str">
        <f aca="false">IF(J20="","",IF(H20="",J20,J20*(1-IF(I20="",Settings!$B$6,I20))))</f>
        <v/>
      </c>
      <c r="L20" s="20" t="str">
        <f aca="false">IF(OR(J20="",H20=""),"",J20-K20)</f>
        <v/>
      </c>
      <c r="M20" s="1"/>
    </row>
    <row r="21" customFormat="false" ht="15" hidden="false" customHeight="false" outlineLevel="0" collapsed="false">
      <c r="A21" s="27"/>
      <c r="B21" s="1"/>
      <c r="C21" s="24" t="str">
        <f aca="false">IF(B21="","",IFERROR(INDEX(Patients!$B$2:$B$501,MATCH(B21,Patients!$A$2:$A$501,0))&amp;"",""))</f>
        <v/>
      </c>
      <c r="D21" s="1"/>
      <c r="E21" s="1"/>
      <c r="F21" s="28"/>
      <c r="G21" s="1"/>
      <c r="H21" s="1"/>
      <c r="I21" s="29"/>
      <c r="J21" s="20" t="str">
        <f aca="false">IF(D21="","",IFERROR(INDEX(Settings!$D$36:$D$45,MATCH(D21,Settings!$A$36:$A$45,0)),0))</f>
        <v/>
      </c>
      <c r="K21" s="20" t="str">
        <f aca="false">IF(J21="","",IF(H21="",J21,J21*(1-IF(I21="",Settings!$B$6,I21))))</f>
        <v/>
      </c>
      <c r="L21" s="20" t="str">
        <f aca="false">IF(OR(J21="",H21=""),"",J21-K21)</f>
        <v/>
      </c>
      <c r="M21" s="1"/>
    </row>
    <row r="22" customFormat="false" ht="15" hidden="false" customHeight="false" outlineLevel="0" collapsed="false">
      <c r="A22" s="27"/>
      <c r="B22" s="1"/>
      <c r="C22" s="24" t="str">
        <f aca="false">IF(B22="","",IFERROR(INDEX(Patients!$B$2:$B$501,MATCH(B22,Patients!$A$2:$A$501,0))&amp;"",""))</f>
        <v/>
      </c>
      <c r="D22" s="1"/>
      <c r="E22" s="1"/>
      <c r="F22" s="28"/>
      <c r="G22" s="1"/>
      <c r="H22" s="1"/>
      <c r="I22" s="29"/>
      <c r="J22" s="20" t="str">
        <f aca="false">IF(D22="","",IFERROR(INDEX(Settings!$D$36:$D$45,MATCH(D22,Settings!$A$36:$A$45,0)),0))</f>
        <v/>
      </c>
      <c r="K22" s="20" t="str">
        <f aca="false">IF(J22="","",IF(H22="",J22,J22*(1-IF(I22="",Settings!$B$6,I22))))</f>
        <v/>
      </c>
      <c r="L22" s="20" t="str">
        <f aca="false">IF(OR(J22="",H22=""),"",J22-K22)</f>
        <v/>
      </c>
      <c r="M22" s="1"/>
    </row>
    <row r="23" customFormat="false" ht="15" hidden="false" customHeight="false" outlineLevel="0" collapsed="false">
      <c r="A23" s="27"/>
      <c r="B23" s="1"/>
      <c r="C23" s="24" t="str">
        <f aca="false">IF(B23="","",IFERROR(INDEX(Patients!$B$2:$B$501,MATCH(B23,Patients!$A$2:$A$501,0))&amp;"",""))</f>
        <v/>
      </c>
      <c r="D23" s="1"/>
      <c r="E23" s="1"/>
      <c r="F23" s="28"/>
      <c r="G23" s="1"/>
      <c r="H23" s="1"/>
      <c r="I23" s="29"/>
      <c r="J23" s="20" t="str">
        <f aca="false">IF(D23="","",IFERROR(INDEX(Settings!$D$36:$D$45,MATCH(D23,Settings!$A$36:$A$45,0)),0))</f>
        <v/>
      </c>
      <c r="K23" s="20" t="str">
        <f aca="false">IF(J23="","",IF(H23="",J23,J23*(1-IF(I23="",Settings!$B$6,I23))))</f>
        <v/>
      </c>
      <c r="L23" s="20" t="str">
        <f aca="false">IF(OR(J23="",H23=""),"",J23-K23)</f>
        <v/>
      </c>
      <c r="M23" s="1"/>
    </row>
    <row r="24" customFormat="false" ht="15" hidden="false" customHeight="false" outlineLevel="0" collapsed="false">
      <c r="A24" s="27"/>
      <c r="B24" s="1"/>
      <c r="C24" s="24" t="str">
        <f aca="false">IF(B24="","",IFERROR(INDEX(Patients!$B$2:$B$501,MATCH(B24,Patients!$A$2:$A$501,0))&amp;"",""))</f>
        <v/>
      </c>
      <c r="D24" s="1"/>
      <c r="E24" s="1"/>
      <c r="F24" s="28"/>
      <c r="G24" s="1"/>
      <c r="H24" s="1"/>
      <c r="I24" s="29"/>
      <c r="J24" s="20" t="str">
        <f aca="false">IF(D24="","",IFERROR(INDEX(Settings!$D$36:$D$45,MATCH(D24,Settings!$A$36:$A$45,0)),0))</f>
        <v/>
      </c>
      <c r="K24" s="20" t="str">
        <f aca="false">IF(J24="","",IF(H24="",J24,J24*(1-IF(I24="",Settings!$B$6,I24))))</f>
        <v/>
      </c>
      <c r="L24" s="20" t="str">
        <f aca="false">IF(OR(J24="",H24=""),"",J24-K24)</f>
        <v/>
      </c>
      <c r="M24" s="1"/>
    </row>
    <row r="25" customFormat="false" ht="15" hidden="false" customHeight="false" outlineLevel="0" collapsed="false">
      <c r="A25" s="27"/>
      <c r="B25" s="1"/>
      <c r="C25" s="24" t="str">
        <f aca="false">IF(B25="","",IFERROR(INDEX(Patients!$B$2:$B$501,MATCH(B25,Patients!$A$2:$A$501,0))&amp;"",""))</f>
        <v/>
      </c>
      <c r="D25" s="1"/>
      <c r="E25" s="1"/>
      <c r="F25" s="28"/>
      <c r="G25" s="1"/>
      <c r="H25" s="1"/>
      <c r="I25" s="29"/>
      <c r="J25" s="20" t="str">
        <f aca="false">IF(D25="","",IFERROR(INDEX(Settings!$D$36:$D$45,MATCH(D25,Settings!$A$36:$A$45,0)),0))</f>
        <v/>
      </c>
      <c r="K25" s="20" t="str">
        <f aca="false">IF(J25="","",IF(H25="",J25,J25*(1-IF(I25="",Settings!$B$6,I25))))</f>
        <v/>
      </c>
      <c r="L25" s="20" t="str">
        <f aca="false">IF(OR(J25="",H25=""),"",J25-K25)</f>
        <v/>
      </c>
      <c r="M25" s="1"/>
    </row>
    <row r="26" customFormat="false" ht="15" hidden="false" customHeight="false" outlineLevel="0" collapsed="false">
      <c r="A26" s="27"/>
      <c r="B26" s="1"/>
      <c r="C26" s="24" t="str">
        <f aca="false">IF(B26="","",IFERROR(INDEX(Patients!$B$2:$B$501,MATCH(B26,Patients!$A$2:$A$501,0))&amp;"",""))</f>
        <v/>
      </c>
      <c r="D26" s="1"/>
      <c r="E26" s="1"/>
      <c r="F26" s="28"/>
      <c r="G26" s="1"/>
      <c r="H26" s="1"/>
      <c r="I26" s="29"/>
      <c r="J26" s="20" t="str">
        <f aca="false">IF(D26="","",IFERROR(INDEX(Settings!$D$36:$D$45,MATCH(D26,Settings!$A$36:$A$45,0)),0))</f>
        <v/>
      </c>
      <c r="K26" s="20" t="str">
        <f aca="false">IF(J26="","",IF(H26="",J26,J26*(1-IF(I26="",Settings!$B$6,I26))))</f>
        <v/>
      </c>
      <c r="L26" s="20" t="str">
        <f aca="false">IF(OR(J26="",H26=""),"",J26-K26)</f>
        <v/>
      </c>
      <c r="M26" s="1"/>
    </row>
    <row r="27" customFormat="false" ht="15" hidden="false" customHeight="false" outlineLevel="0" collapsed="false">
      <c r="A27" s="27"/>
      <c r="B27" s="1"/>
      <c r="C27" s="24" t="str">
        <f aca="false">IF(B27="","",IFERROR(INDEX(Patients!$B$2:$B$501,MATCH(B27,Patients!$A$2:$A$501,0))&amp;"",""))</f>
        <v/>
      </c>
      <c r="D27" s="1"/>
      <c r="E27" s="1"/>
      <c r="F27" s="28"/>
      <c r="G27" s="1"/>
      <c r="H27" s="1"/>
      <c r="I27" s="29"/>
      <c r="J27" s="20" t="str">
        <f aca="false">IF(D27="","",IFERROR(INDEX(Settings!$D$36:$D$45,MATCH(D27,Settings!$A$36:$A$45,0)),0))</f>
        <v/>
      </c>
      <c r="K27" s="20" t="str">
        <f aca="false">IF(J27="","",IF(H27="",J27,J27*(1-IF(I27="",Settings!$B$6,I27))))</f>
        <v/>
      </c>
      <c r="L27" s="20" t="str">
        <f aca="false">IF(OR(J27="",H27=""),"",J27-K27)</f>
        <v/>
      </c>
      <c r="M27" s="1"/>
    </row>
    <row r="28" customFormat="false" ht="15" hidden="false" customHeight="false" outlineLevel="0" collapsed="false">
      <c r="A28" s="27"/>
      <c r="B28" s="1"/>
      <c r="C28" s="24" t="str">
        <f aca="false">IF(B28="","",IFERROR(INDEX(Patients!$B$2:$B$501,MATCH(B28,Patients!$A$2:$A$501,0))&amp;"",""))</f>
        <v/>
      </c>
      <c r="D28" s="1"/>
      <c r="E28" s="1"/>
      <c r="F28" s="28"/>
      <c r="G28" s="1"/>
      <c r="H28" s="1"/>
      <c r="I28" s="29"/>
      <c r="J28" s="20" t="str">
        <f aca="false">IF(D28="","",IFERROR(INDEX(Settings!$D$36:$D$45,MATCH(D28,Settings!$A$36:$A$45,0)),0))</f>
        <v/>
      </c>
      <c r="K28" s="20" t="str">
        <f aca="false">IF(J28="","",IF(H28="",J28,J28*(1-IF(I28="",Settings!$B$6,I28))))</f>
        <v/>
      </c>
      <c r="L28" s="20" t="str">
        <f aca="false">IF(OR(J28="",H28=""),"",J28-K28)</f>
        <v/>
      </c>
      <c r="M28" s="1"/>
    </row>
    <row r="29" customFormat="false" ht="15" hidden="false" customHeight="false" outlineLevel="0" collapsed="false">
      <c r="A29" s="27"/>
      <c r="B29" s="1"/>
      <c r="C29" s="24" t="str">
        <f aca="false">IF(B29="","",IFERROR(INDEX(Patients!$B$2:$B$501,MATCH(B29,Patients!$A$2:$A$501,0))&amp;"",""))</f>
        <v/>
      </c>
      <c r="D29" s="1"/>
      <c r="E29" s="1"/>
      <c r="F29" s="28"/>
      <c r="G29" s="1"/>
      <c r="H29" s="1"/>
      <c r="I29" s="29"/>
      <c r="J29" s="20" t="str">
        <f aca="false">IF(D29="","",IFERROR(INDEX(Settings!$D$36:$D$45,MATCH(D29,Settings!$A$36:$A$45,0)),0))</f>
        <v/>
      </c>
      <c r="K29" s="20" t="str">
        <f aca="false">IF(J29="","",IF(H29="",J29,J29*(1-IF(I29="",Settings!$B$6,I29))))</f>
        <v/>
      </c>
      <c r="L29" s="20" t="str">
        <f aca="false">IF(OR(J29="",H29=""),"",J29-K29)</f>
        <v/>
      </c>
      <c r="M29" s="1"/>
    </row>
    <row r="30" customFormat="false" ht="15" hidden="false" customHeight="false" outlineLevel="0" collapsed="false">
      <c r="A30" s="27"/>
      <c r="B30" s="1"/>
      <c r="C30" s="24" t="str">
        <f aca="false">IF(B30="","",IFERROR(INDEX(Patients!$B$2:$B$501,MATCH(B30,Patients!$A$2:$A$501,0))&amp;"",""))</f>
        <v/>
      </c>
      <c r="D30" s="1"/>
      <c r="E30" s="1"/>
      <c r="F30" s="28"/>
      <c r="G30" s="1"/>
      <c r="H30" s="1"/>
      <c r="I30" s="29"/>
      <c r="J30" s="20" t="str">
        <f aca="false">IF(D30="","",IFERROR(INDEX(Settings!$D$36:$D$45,MATCH(D30,Settings!$A$36:$A$45,0)),0))</f>
        <v/>
      </c>
      <c r="K30" s="20" t="str">
        <f aca="false">IF(J30="","",IF(H30="",J30,J30*(1-IF(I30="",Settings!$B$6,I30))))</f>
        <v/>
      </c>
      <c r="L30" s="20" t="str">
        <f aca="false">IF(OR(J30="",H30=""),"",J30-K30)</f>
        <v/>
      </c>
      <c r="M30" s="1"/>
    </row>
    <row r="31" customFormat="false" ht="15" hidden="false" customHeight="false" outlineLevel="0" collapsed="false">
      <c r="A31" s="27"/>
      <c r="B31" s="1"/>
      <c r="C31" s="24" t="str">
        <f aca="false">IF(B31="","",IFERROR(INDEX(Patients!$B$2:$B$501,MATCH(B31,Patients!$A$2:$A$501,0))&amp;"",""))</f>
        <v/>
      </c>
      <c r="D31" s="1"/>
      <c r="E31" s="1"/>
      <c r="F31" s="28"/>
      <c r="G31" s="1"/>
      <c r="H31" s="1"/>
      <c r="I31" s="29"/>
      <c r="J31" s="20" t="str">
        <f aca="false">IF(D31="","",IFERROR(INDEX(Settings!$D$36:$D$45,MATCH(D31,Settings!$A$36:$A$45,0)),0))</f>
        <v/>
      </c>
      <c r="K31" s="20" t="str">
        <f aca="false">IF(J31="","",IF(H31="",J31,J31*(1-IF(I31="",Settings!$B$6,I31))))</f>
        <v/>
      </c>
      <c r="L31" s="20" t="str">
        <f aca="false">IF(OR(J31="",H31=""),"",J31-K31)</f>
        <v/>
      </c>
      <c r="M31" s="1"/>
    </row>
    <row r="32" customFormat="false" ht="15" hidden="false" customHeight="false" outlineLevel="0" collapsed="false">
      <c r="A32" s="27"/>
      <c r="B32" s="1"/>
      <c r="C32" s="24" t="str">
        <f aca="false">IF(B32="","",IFERROR(INDEX(Patients!$B$2:$B$501,MATCH(B32,Patients!$A$2:$A$501,0))&amp;"",""))</f>
        <v/>
      </c>
      <c r="D32" s="1"/>
      <c r="E32" s="1"/>
      <c r="F32" s="28"/>
      <c r="G32" s="1"/>
      <c r="H32" s="1"/>
      <c r="I32" s="29"/>
      <c r="J32" s="20" t="str">
        <f aca="false">IF(D32="","",IFERROR(INDEX(Settings!$D$36:$D$45,MATCH(D32,Settings!$A$36:$A$45,0)),0))</f>
        <v/>
      </c>
      <c r="K32" s="20" t="str">
        <f aca="false">IF(J32="","",IF(H32="",J32,J32*(1-IF(I32="",Settings!$B$6,I32))))</f>
        <v/>
      </c>
      <c r="L32" s="20" t="str">
        <f aca="false">IF(OR(J32="",H32=""),"",J32-K32)</f>
        <v/>
      </c>
      <c r="M32" s="1"/>
    </row>
    <row r="33" customFormat="false" ht="15" hidden="false" customHeight="false" outlineLevel="0" collapsed="false">
      <c r="A33" s="27"/>
      <c r="B33" s="1"/>
      <c r="C33" s="24" t="str">
        <f aca="false">IF(B33="","",IFERROR(INDEX(Patients!$B$2:$B$501,MATCH(B33,Patients!$A$2:$A$501,0))&amp;"",""))</f>
        <v/>
      </c>
      <c r="D33" s="1"/>
      <c r="E33" s="1"/>
      <c r="F33" s="28"/>
      <c r="G33" s="1"/>
      <c r="H33" s="1"/>
      <c r="I33" s="29"/>
      <c r="J33" s="20" t="str">
        <f aca="false">IF(D33="","",IFERROR(INDEX(Settings!$D$36:$D$45,MATCH(D33,Settings!$A$36:$A$45,0)),0))</f>
        <v/>
      </c>
      <c r="K33" s="20" t="str">
        <f aca="false">IF(J33="","",IF(H33="",J33,J33*(1-IF(I33="",Settings!$B$6,I33))))</f>
        <v/>
      </c>
      <c r="L33" s="20" t="str">
        <f aca="false">IF(OR(J33="",H33=""),"",J33-K33)</f>
        <v/>
      </c>
      <c r="M33" s="1"/>
    </row>
    <row r="34" customFormat="false" ht="15" hidden="false" customHeight="false" outlineLevel="0" collapsed="false">
      <c r="A34" s="27"/>
      <c r="B34" s="1"/>
      <c r="C34" s="24" t="str">
        <f aca="false">IF(B34="","",IFERROR(INDEX(Patients!$B$2:$B$501,MATCH(B34,Patients!$A$2:$A$501,0))&amp;"",""))</f>
        <v/>
      </c>
      <c r="D34" s="1"/>
      <c r="E34" s="1"/>
      <c r="F34" s="28"/>
      <c r="G34" s="1"/>
      <c r="H34" s="1"/>
      <c r="I34" s="29"/>
      <c r="J34" s="20" t="str">
        <f aca="false">IF(D34="","",IFERROR(INDEX(Settings!$D$36:$D$45,MATCH(D34,Settings!$A$36:$A$45,0)),0))</f>
        <v/>
      </c>
      <c r="K34" s="20" t="str">
        <f aca="false">IF(J34="","",IF(H34="",J34,J34*(1-IF(I34="",Settings!$B$6,I34))))</f>
        <v/>
      </c>
      <c r="L34" s="20" t="str">
        <f aca="false">IF(OR(J34="",H34=""),"",J34-K34)</f>
        <v/>
      </c>
      <c r="M34" s="1"/>
    </row>
    <row r="35" customFormat="false" ht="15" hidden="false" customHeight="false" outlineLevel="0" collapsed="false">
      <c r="A35" s="27"/>
      <c r="B35" s="1"/>
      <c r="C35" s="24" t="str">
        <f aca="false">IF(B35="","",IFERROR(INDEX(Patients!$B$2:$B$501,MATCH(B35,Patients!$A$2:$A$501,0))&amp;"",""))</f>
        <v/>
      </c>
      <c r="D35" s="1"/>
      <c r="E35" s="1"/>
      <c r="F35" s="28"/>
      <c r="G35" s="1"/>
      <c r="H35" s="1"/>
      <c r="I35" s="29"/>
      <c r="J35" s="20" t="str">
        <f aca="false">IF(D35="","",IFERROR(INDEX(Settings!$D$36:$D$45,MATCH(D35,Settings!$A$36:$A$45,0)),0))</f>
        <v/>
      </c>
      <c r="K35" s="20" t="str">
        <f aca="false">IF(J35="","",IF(H35="",J35,J35*(1-IF(I35="",Settings!$B$6,I35))))</f>
        <v/>
      </c>
      <c r="L35" s="20" t="str">
        <f aca="false">IF(OR(J35="",H35=""),"",J35-K35)</f>
        <v/>
      </c>
      <c r="M35" s="1"/>
    </row>
    <row r="36" customFormat="false" ht="15" hidden="false" customHeight="false" outlineLevel="0" collapsed="false">
      <c r="A36" s="27"/>
      <c r="B36" s="1"/>
      <c r="C36" s="24" t="str">
        <f aca="false">IF(B36="","",IFERROR(INDEX(Patients!$B$2:$B$501,MATCH(B36,Patients!$A$2:$A$501,0))&amp;"",""))</f>
        <v/>
      </c>
      <c r="D36" s="1"/>
      <c r="E36" s="1"/>
      <c r="F36" s="28"/>
      <c r="G36" s="1"/>
      <c r="H36" s="1"/>
      <c r="I36" s="29"/>
      <c r="J36" s="20" t="str">
        <f aca="false">IF(D36="","",IFERROR(INDEX(Settings!$D$36:$D$45,MATCH(D36,Settings!$A$36:$A$45,0)),0))</f>
        <v/>
      </c>
      <c r="K36" s="20" t="str">
        <f aca="false">IF(J36="","",IF(H36="",J36,J36*(1-IF(I36="",Settings!$B$6,I36))))</f>
        <v/>
      </c>
      <c r="L36" s="20" t="str">
        <f aca="false">IF(OR(J36="",H36=""),"",J36-K36)</f>
        <v/>
      </c>
      <c r="M36" s="1"/>
    </row>
    <row r="37" customFormat="false" ht="15" hidden="false" customHeight="false" outlineLevel="0" collapsed="false">
      <c r="A37" s="27"/>
      <c r="B37" s="1"/>
      <c r="C37" s="24" t="str">
        <f aca="false">IF(B37="","",IFERROR(INDEX(Patients!$B$2:$B$501,MATCH(B37,Patients!$A$2:$A$501,0))&amp;"",""))</f>
        <v/>
      </c>
      <c r="D37" s="1"/>
      <c r="E37" s="1"/>
      <c r="F37" s="28"/>
      <c r="G37" s="1"/>
      <c r="H37" s="1"/>
      <c r="I37" s="29"/>
      <c r="J37" s="20" t="str">
        <f aca="false">IF(D37="","",IFERROR(INDEX(Settings!$D$36:$D$45,MATCH(D37,Settings!$A$36:$A$45,0)),0))</f>
        <v/>
      </c>
      <c r="K37" s="20" t="str">
        <f aca="false">IF(J37="","",IF(H37="",J37,J37*(1-IF(I37="",Settings!$B$6,I37))))</f>
        <v/>
      </c>
      <c r="L37" s="20" t="str">
        <f aca="false">IF(OR(J37="",H37=""),"",J37-K37)</f>
        <v/>
      </c>
      <c r="M37" s="1"/>
    </row>
    <row r="38" customFormat="false" ht="15" hidden="false" customHeight="false" outlineLevel="0" collapsed="false">
      <c r="A38" s="27"/>
      <c r="B38" s="1"/>
      <c r="C38" s="24" t="str">
        <f aca="false">IF(B38="","",IFERROR(INDEX(Patients!$B$2:$B$501,MATCH(B38,Patients!$A$2:$A$501,0))&amp;"",""))</f>
        <v/>
      </c>
      <c r="D38" s="1"/>
      <c r="E38" s="1"/>
      <c r="F38" s="28"/>
      <c r="G38" s="1"/>
      <c r="H38" s="1"/>
      <c r="I38" s="29"/>
      <c r="J38" s="20" t="str">
        <f aca="false">IF(D38="","",IFERROR(INDEX(Settings!$D$36:$D$45,MATCH(D38,Settings!$A$36:$A$45,0)),0))</f>
        <v/>
      </c>
      <c r="K38" s="20" t="str">
        <f aca="false">IF(J38="","",IF(H38="",J38,J38*(1-IF(I38="",Settings!$B$6,I38))))</f>
        <v/>
      </c>
      <c r="L38" s="20" t="str">
        <f aca="false">IF(OR(J38="",H38=""),"",J38-K38)</f>
        <v/>
      </c>
      <c r="M38" s="1"/>
    </row>
    <row r="39" customFormat="false" ht="15" hidden="false" customHeight="false" outlineLevel="0" collapsed="false">
      <c r="A39" s="27"/>
      <c r="B39" s="1"/>
      <c r="C39" s="24" t="str">
        <f aca="false">IF(B39="","",IFERROR(INDEX(Patients!$B$2:$B$501,MATCH(B39,Patients!$A$2:$A$501,0))&amp;"",""))</f>
        <v/>
      </c>
      <c r="D39" s="1"/>
      <c r="E39" s="1"/>
      <c r="F39" s="28"/>
      <c r="G39" s="1"/>
      <c r="H39" s="1"/>
      <c r="I39" s="29"/>
      <c r="J39" s="20" t="str">
        <f aca="false">IF(D39="","",IFERROR(INDEX(Settings!$D$36:$D$45,MATCH(D39,Settings!$A$36:$A$45,0)),0))</f>
        <v/>
      </c>
      <c r="K39" s="20" t="str">
        <f aca="false">IF(J39="","",IF(H39="",J39,J39*(1-IF(I39="",Settings!$B$6,I39))))</f>
        <v/>
      </c>
      <c r="L39" s="20" t="str">
        <f aca="false">IF(OR(J39="",H39=""),"",J39-K39)</f>
        <v/>
      </c>
      <c r="M39" s="1"/>
    </row>
    <row r="40" customFormat="false" ht="15" hidden="false" customHeight="false" outlineLevel="0" collapsed="false">
      <c r="A40" s="27"/>
      <c r="B40" s="1"/>
      <c r="C40" s="24" t="str">
        <f aca="false">IF(B40="","",IFERROR(INDEX(Patients!$B$2:$B$501,MATCH(B40,Patients!$A$2:$A$501,0))&amp;"",""))</f>
        <v/>
      </c>
      <c r="D40" s="1"/>
      <c r="E40" s="1"/>
      <c r="F40" s="28"/>
      <c r="G40" s="1"/>
      <c r="H40" s="1"/>
      <c r="I40" s="29"/>
      <c r="J40" s="20" t="str">
        <f aca="false">IF(D40="","",IFERROR(INDEX(Settings!$D$36:$D$45,MATCH(D40,Settings!$A$36:$A$45,0)),0))</f>
        <v/>
      </c>
      <c r="K40" s="20" t="str">
        <f aca="false">IF(J40="","",IF(H40="",J40,J40*(1-IF(I40="",Settings!$B$6,I40))))</f>
        <v/>
      </c>
      <c r="L40" s="20" t="str">
        <f aca="false">IF(OR(J40="",H40=""),"",J40-K40)</f>
        <v/>
      </c>
      <c r="M40" s="1"/>
    </row>
    <row r="41" customFormat="false" ht="15" hidden="false" customHeight="false" outlineLevel="0" collapsed="false">
      <c r="A41" s="27"/>
      <c r="B41" s="1"/>
      <c r="C41" s="24" t="str">
        <f aca="false">IF(B41="","",IFERROR(INDEX(Patients!$B$2:$B$501,MATCH(B41,Patients!$A$2:$A$501,0))&amp;"",""))</f>
        <v/>
      </c>
      <c r="D41" s="1"/>
      <c r="E41" s="1"/>
      <c r="F41" s="28"/>
      <c r="G41" s="1"/>
      <c r="H41" s="1"/>
      <c r="I41" s="29"/>
      <c r="J41" s="20" t="str">
        <f aca="false">IF(D41="","",IFERROR(INDEX(Settings!$D$36:$D$45,MATCH(D41,Settings!$A$36:$A$45,0)),0))</f>
        <v/>
      </c>
      <c r="K41" s="20" t="str">
        <f aca="false">IF(J41="","",IF(H41="",J41,J41*(1-IF(I41="",Settings!$B$6,I41))))</f>
        <v/>
      </c>
      <c r="L41" s="20" t="str">
        <f aca="false">IF(OR(J41="",H41=""),"",J41-K41)</f>
        <v/>
      </c>
      <c r="M41" s="1"/>
    </row>
    <row r="42" customFormat="false" ht="15" hidden="false" customHeight="false" outlineLevel="0" collapsed="false">
      <c r="A42" s="27"/>
      <c r="B42" s="1"/>
      <c r="C42" s="24" t="str">
        <f aca="false">IF(B42="","",IFERROR(INDEX(Patients!$B$2:$B$501,MATCH(B42,Patients!$A$2:$A$501,0))&amp;"",""))</f>
        <v/>
      </c>
      <c r="D42" s="1"/>
      <c r="E42" s="1"/>
      <c r="F42" s="28"/>
      <c r="G42" s="1"/>
      <c r="H42" s="1"/>
      <c r="I42" s="29"/>
      <c r="J42" s="20" t="str">
        <f aca="false">IF(D42="","",IFERROR(INDEX(Settings!$D$36:$D$45,MATCH(D42,Settings!$A$36:$A$45,0)),0))</f>
        <v/>
      </c>
      <c r="K42" s="20" t="str">
        <f aca="false">IF(J42="","",IF(H42="",J42,J42*(1-IF(I42="",Settings!$B$6,I42))))</f>
        <v/>
      </c>
      <c r="L42" s="20" t="str">
        <f aca="false">IF(OR(J42="",H42=""),"",J42-K42)</f>
        <v/>
      </c>
      <c r="M42" s="1"/>
    </row>
    <row r="43" customFormat="false" ht="15" hidden="false" customHeight="false" outlineLevel="0" collapsed="false">
      <c r="A43" s="27"/>
      <c r="B43" s="1"/>
      <c r="C43" s="24" t="str">
        <f aca="false">IF(B43="","",IFERROR(INDEX(Patients!$B$2:$B$501,MATCH(B43,Patients!$A$2:$A$501,0))&amp;"",""))</f>
        <v/>
      </c>
      <c r="D43" s="1"/>
      <c r="E43" s="1"/>
      <c r="F43" s="28"/>
      <c r="G43" s="1"/>
      <c r="H43" s="1"/>
      <c r="I43" s="29"/>
      <c r="J43" s="20" t="str">
        <f aca="false">IF(D43="","",IFERROR(INDEX(Settings!$D$36:$D$45,MATCH(D43,Settings!$A$36:$A$45,0)),0))</f>
        <v/>
      </c>
      <c r="K43" s="20" t="str">
        <f aca="false">IF(J43="","",IF(H43="",J43,J43*(1-IF(I43="",Settings!$B$6,I43))))</f>
        <v/>
      </c>
      <c r="L43" s="20" t="str">
        <f aca="false">IF(OR(J43="",H43=""),"",J43-K43)</f>
        <v/>
      </c>
      <c r="M43" s="1"/>
    </row>
    <row r="44" customFormat="false" ht="15" hidden="false" customHeight="false" outlineLevel="0" collapsed="false">
      <c r="A44" s="27"/>
      <c r="B44" s="1"/>
      <c r="C44" s="24" t="str">
        <f aca="false">IF(B44="","",IFERROR(INDEX(Patients!$B$2:$B$501,MATCH(B44,Patients!$A$2:$A$501,0))&amp;"",""))</f>
        <v/>
      </c>
      <c r="D44" s="1"/>
      <c r="E44" s="1"/>
      <c r="F44" s="28"/>
      <c r="G44" s="1"/>
      <c r="H44" s="1"/>
      <c r="I44" s="29"/>
      <c r="J44" s="20" t="str">
        <f aca="false">IF(D44="","",IFERROR(INDEX(Settings!$D$36:$D$45,MATCH(D44,Settings!$A$36:$A$45,0)),0))</f>
        <v/>
      </c>
      <c r="K44" s="20" t="str">
        <f aca="false">IF(J44="","",IF(H44="",J44,J44*(1-IF(I44="",Settings!$B$6,I44))))</f>
        <v/>
      </c>
      <c r="L44" s="20" t="str">
        <f aca="false">IF(OR(J44="",H44=""),"",J44-K44)</f>
        <v/>
      </c>
      <c r="M44" s="1"/>
    </row>
    <row r="45" customFormat="false" ht="15" hidden="false" customHeight="false" outlineLevel="0" collapsed="false">
      <c r="A45" s="27"/>
      <c r="B45" s="1"/>
      <c r="C45" s="24" t="str">
        <f aca="false">IF(B45="","",IFERROR(INDEX(Patients!$B$2:$B$501,MATCH(B45,Patients!$A$2:$A$501,0))&amp;"",""))</f>
        <v/>
      </c>
      <c r="D45" s="1"/>
      <c r="E45" s="1"/>
      <c r="F45" s="28"/>
      <c r="G45" s="1"/>
      <c r="H45" s="1"/>
      <c r="I45" s="29"/>
      <c r="J45" s="20" t="str">
        <f aca="false">IF(D45="","",IFERROR(INDEX(Settings!$D$36:$D$45,MATCH(D45,Settings!$A$36:$A$45,0)),0))</f>
        <v/>
      </c>
      <c r="K45" s="20" t="str">
        <f aca="false">IF(J45="","",IF(H45="",J45,J45*(1-IF(I45="",Settings!$B$6,I45))))</f>
        <v/>
      </c>
      <c r="L45" s="20" t="str">
        <f aca="false">IF(OR(J45="",H45=""),"",J45-K45)</f>
        <v/>
      </c>
      <c r="M45" s="1"/>
    </row>
    <row r="46" customFormat="false" ht="15" hidden="false" customHeight="false" outlineLevel="0" collapsed="false">
      <c r="A46" s="27"/>
      <c r="B46" s="1"/>
      <c r="C46" s="24" t="str">
        <f aca="false">IF(B46="","",IFERROR(INDEX(Patients!$B$2:$B$501,MATCH(B46,Patients!$A$2:$A$501,0))&amp;"",""))</f>
        <v/>
      </c>
      <c r="D46" s="1"/>
      <c r="E46" s="1"/>
      <c r="F46" s="28"/>
      <c r="G46" s="1"/>
      <c r="H46" s="1"/>
      <c r="I46" s="29"/>
      <c r="J46" s="20" t="str">
        <f aca="false">IF(D46="","",IFERROR(INDEX(Settings!$D$36:$D$45,MATCH(D46,Settings!$A$36:$A$45,0)),0))</f>
        <v/>
      </c>
      <c r="K46" s="20" t="str">
        <f aca="false">IF(J46="","",IF(H46="",J46,J46*(1-IF(I46="",Settings!$B$6,I46))))</f>
        <v/>
      </c>
      <c r="L46" s="20" t="str">
        <f aca="false">IF(OR(J46="",H46=""),"",J46-K46)</f>
        <v/>
      </c>
      <c r="M46" s="1"/>
    </row>
    <row r="47" customFormat="false" ht="15" hidden="false" customHeight="false" outlineLevel="0" collapsed="false">
      <c r="A47" s="27"/>
      <c r="B47" s="1"/>
      <c r="C47" s="24" t="str">
        <f aca="false">IF(B47="","",IFERROR(INDEX(Patients!$B$2:$B$501,MATCH(B47,Patients!$A$2:$A$501,0))&amp;"",""))</f>
        <v/>
      </c>
      <c r="D47" s="1"/>
      <c r="E47" s="1"/>
      <c r="F47" s="28"/>
      <c r="G47" s="1"/>
      <c r="H47" s="1"/>
      <c r="I47" s="29"/>
      <c r="J47" s="20" t="str">
        <f aca="false">IF(D47="","",IFERROR(INDEX(Settings!$D$36:$D$45,MATCH(D47,Settings!$A$36:$A$45,0)),0))</f>
        <v/>
      </c>
      <c r="K47" s="20" t="str">
        <f aca="false">IF(J47="","",IF(H47="",J47,J47*(1-IF(I47="",Settings!$B$6,I47))))</f>
        <v/>
      </c>
      <c r="L47" s="20" t="str">
        <f aca="false">IF(OR(J47="",H47=""),"",J47-K47)</f>
        <v/>
      </c>
      <c r="M47" s="1"/>
    </row>
    <row r="48" customFormat="false" ht="15" hidden="false" customHeight="false" outlineLevel="0" collapsed="false">
      <c r="A48" s="27"/>
      <c r="B48" s="1"/>
      <c r="C48" s="24" t="str">
        <f aca="false">IF(B48="","",IFERROR(INDEX(Patients!$B$2:$B$501,MATCH(B48,Patients!$A$2:$A$501,0))&amp;"",""))</f>
        <v/>
      </c>
      <c r="D48" s="1"/>
      <c r="E48" s="1"/>
      <c r="F48" s="28"/>
      <c r="G48" s="1"/>
      <c r="H48" s="1"/>
      <c r="I48" s="29"/>
      <c r="J48" s="20" t="str">
        <f aca="false">IF(D48="","",IFERROR(INDEX(Settings!$D$36:$D$45,MATCH(D48,Settings!$A$36:$A$45,0)),0))</f>
        <v/>
      </c>
      <c r="K48" s="20" t="str">
        <f aca="false">IF(J48="","",IF(H48="",J48,J48*(1-IF(I48="",Settings!$B$6,I48))))</f>
        <v/>
      </c>
      <c r="L48" s="20" t="str">
        <f aca="false">IF(OR(J48="",H48=""),"",J48-K48)</f>
        <v/>
      </c>
      <c r="M48" s="1"/>
    </row>
    <row r="49" customFormat="false" ht="15" hidden="false" customHeight="false" outlineLevel="0" collapsed="false">
      <c r="A49" s="27"/>
      <c r="B49" s="1"/>
      <c r="C49" s="24" t="str">
        <f aca="false">IF(B49="","",IFERROR(INDEX(Patients!$B$2:$B$501,MATCH(B49,Patients!$A$2:$A$501,0))&amp;"",""))</f>
        <v/>
      </c>
      <c r="D49" s="1"/>
      <c r="E49" s="1"/>
      <c r="F49" s="28"/>
      <c r="G49" s="1"/>
      <c r="H49" s="1"/>
      <c r="I49" s="29"/>
      <c r="J49" s="20" t="str">
        <f aca="false">IF(D49="","",IFERROR(INDEX(Settings!$D$36:$D$45,MATCH(D49,Settings!$A$36:$A$45,0)),0))</f>
        <v/>
      </c>
      <c r="K49" s="20" t="str">
        <f aca="false">IF(J49="","",IF(H49="",J49,J49*(1-IF(I49="",Settings!$B$6,I49))))</f>
        <v/>
      </c>
      <c r="L49" s="20" t="str">
        <f aca="false">IF(OR(J49="",H49=""),"",J49-K49)</f>
        <v/>
      </c>
      <c r="M49" s="1"/>
    </row>
    <row r="50" customFormat="false" ht="15" hidden="false" customHeight="false" outlineLevel="0" collapsed="false">
      <c r="A50" s="27"/>
      <c r="B50" s="1"/>
      <c r="C50" s="24" t="str">
        <f aca="false">IF(B50="","",IFERROR(INDEX(Patients!$B$2:$B$501,MATCH(B50,Patients!$A$2:$A$501,0))&amp;"",""))</f>
        <v/>
      </c>
      <c r="D50" s="1"/>
      <c r="E50" s="1"/>
      <c r="F50" s="28"/>
      <c r="G50" s="1"/>
      <c r="H50" s="1"/>
      <c r="I50" s="29"/>
      <c r="J50" s="20" t="str">
        <f aca="false">IF(D50="","",IFERROR(INDEX(Settings!$D$36:$D$45,MATCH(D50,Settings!$A$36:$A$45,0)),0))</f>
        <v/>
      </c>
      <c r="K50" s="20" t="str">
        <f aca="false">IF(J50="","",IF(H50="",J50,J50*(1-IF(I50="",Settings!$B$6,I50))))</f>
        <v/>
      </c>
      <c r="L50" s="20" t="str">
        <f aca="false">IF(OR(J50="",H50=""),"",J50-K50)</f>
        <v/>
      </c>
      <c r="M50" s="1"/>
    </row>
    <row r="51" customFormat="false" ht="15" hidden="false" customHeight="false" outlineLevel="0" collapsed="false">
      <c r="A51" s="27"/>
      <c r="B51" s="1"/>
      <c r="C51" s="24" t="str">
        <f aca="false">IF(B51="","",IFERROR(INDEX(Patients!$B$2:$B$501,MATCH(B51,Patients!$A$2:$A$501,0))&amp;"",""))</f>
        <v/>
      </c>
      <c r="D51" s="1"/>
      <c r="E51" s="1"/>
      <c r="F51" s="28"/>
      <c r="G51" s="1"/>
      <c r="H51" s="1"/>
      <c r="I51" s="29"/>
      <c r="J51" s="20" t="str">
        <f aca="false">IF(D51="","",IFERROR(INDEX(Settings!$D$36:$D$45,MATCH(D51,Settings!$A$36:$A$45,0)),0))</f>
        <v/>
      </c>
      <c r="K51" s="20" t="str">
        <f aca="false">IF(J51="","",IF(H51="",J51,J51*(1-IF(I51="",Settings!$B$6,I51))))</f>
        <v/>
      </c>
      <c r="L51" s="20" t="str">
        <f aca="false">IF(OR(J51="",H51=""),"",J51-K51)</f>
        <v/>
      </c>
      <c r="M51" s="1"/>
    </row>
    <row r="52" customFormat="false" ht="15" hidden="false" customHeight="false" outlineLevel="0" collapsed="false">
      <c r="A52" s="27"/>
      <c r="B52" s="1"/>
      <c r="C52" s="24" t="str">
        <f aca="false">IF(B52="","",IFERROR(INDEX(Patients!$B$2:$B$501,MATCH(B52,Patients!$A$2:$A$501,0))&amp;"",""))</f>
        <v/>
      </c>
      <c r="D52" s="1"/>
      <c r="E52" s="1"/>
      <c r="F52" s="28"/>
      <c r="G52" s="1"/>
      <c r="H52" s="1"/>
      <c r="I52" s="29"/>
      <c r="J52" s="20" t="str">
        <f aca="false">IF(D52="","",IFERROR(INDEX(Settings!$D$36:$D$45,MATCH(D52,Settings!$A$36:$A$45,0)),0))</f>
        <v/>
      </c>
      <c r="K52" s="20" t="str">
        <f aca="false">IF(J52="","",IF(H52="",J52,J52*(1-IF(I52="",Settings!$B$6,I52))))</f>
        <v/>
      </c>
      <c r="L52" s="20" t="str">
        <f aca="false">IF(OR(J52="",H52=""),"",J52-K52)</f>
        <v/>
      </c>
      <c r="M52" s="1"/>
    </row>
    <row r="53" customFormat="false" ht="15" hidden="false" customHeight="false" outlineLevel="0" collapsed="false">
      <c r="A53" s="27"/>
      <c r="B53" s="1"/>
      <c r="C53" s="24" t="str">
        <f aca="false">IF(B53="","",IFERROR(INDEX(Patients!$B$2:$B$501,MATCH(B53,Patients!$A$2:$A$501,0))&amp;"",""))</f>
        <v/>
      </c>
      <c r="D53" s="1"/>
      <c r="E53" s="1"/>
      <c r="F53" s="28"/>
      <c r="G53" s="1"/>
      <c r="H53" s="1"/>
      <c r="I53" s="29"/>
      <c r="J53" s="20" t="str">
        <f aca="false">IF(D53="","",IFERROR(INDEX(Settings!$D$36:$D$45,MATCH(D53,Settings!$A$36:$A$45,0)),0))</f>
        <v/>
      </c>
      <c r="K53" s="20" t="str">
        <f aca="false">IF(J53="","",IF(H53="",J53,J53*(1-IF(I53="",Settings!$B$6,I53))))</f>
        <v/>
      </c>
      <c r="L53" s="20" t="str">
        <f aca="false">IF(OR(J53="",H53=""),"",J53-K53)</f>
        <v/>
      </c>
      <c r="M53" s="1"/>
    </row>
    <row r="54" customFormat="false" ht="15" hidden="false" customHeight="false" outlineLevel="0" collapsed="false">
      <c r="A54" s="27"/>
      <c r="B54" s="1"/>
      <c r="C54" s="24" t="str">
        <f aca="false">IF(B54="","",IFERROR(INDEX(Patients!$B$2:$B$501,MATCH(B54,Patients!$A$2:$A$501,0))&amp;"",""))</f>
        <v/>
      </c>
      <c r="D54" s="1"/>
      <c r="E54" s="1"/>
      <c r="F54" s="28"/>
      <c r="G54" s="1"/>
      <c r="H54" s="1"/>
      <c r="I54" s="29"/>
      <c r="J54" s="20" t="str">
        <f aca="false">IF(D54="","",IFERROR(INDEX(Settings!$D$36:$D$45,MATCH(D54,Settings!$A$36:$A$45,0)),0))</f>
        <v/>
      </c>
      <c r="K54" s="20" t="str">
        <f aca="false">IF(J54="","",IF(H54="",J54,J54*(1-IF(I54="",Settings!$B$6,I54))))</f>
        <v/>
      </c>
      <c r="L54" s="20" t="str">
        <f aca="false">IF(OR(J54="",H54=""),"",J54-K54)</f>
        <v/>
      </c>
      <c r="M54" s="1"/>
    </row>
    <row r="55" customFormat="false" ht="15" hidden="false" customHeight="false" outlineLevel="0" collapsed="false">
      <c r="A55" s="27"/>
      <c r="B55" s="1"/>
      <c r="C55" s="24" t="str">
        <f aca="false">IF(B55="","",IFERROR(INDEX(Patients!$B$2:$B$501,MATCH(B55,Patients!$A$2:$A$501,0))&amp;"",""))</f>
        <v/>
      </c>
      <c r="D55" s="1"/>
      <c r="E55" s="1"/>
      <c r="F55" s="28"/>
      <c r="G55" s="1"/>
      <c r="H55" s="1"/>
      <c r="I55" s="29"/>
      <c r="J55" s="20" t="str">
        <f aca="false">IF(D55="","",IFERROR(INDEX(Settings!$D$36:$D$45,MATCH(D55,Settings!$A$36:$A$45,0)),0))</f>
        <v/>
      </c>
      <c r="K55" s="20" t="str">
        <f aca="false">IF(J55="","",IF(H55="",J55,J55*(1-IF(I55="",Settings!$B$6,I55))))</f>
        <v/>
      </c>
      <c r="L55" s="20" t="str">
        <f aca="false">IF(OR(J55="",H55=""),"",J55-K55)</f>
        <v/>
      </c>
      <c r="M55" s="1"/>
    </row>
    <row r="56" customFormat="false" ht="15" hidden="false" customHeight="false" outlineLevel="0" collapsed="false">
      <c r="A56" s="27"/>
      <c r="B56" s="1"/>
      <c r="C56" s="24" t="str">
        <f aca="false">IF(B56="","",IFERROR(INDEX(Patients!$B$2:$B$501,MATCH(B56,Patients!$A$2:$A$501,0))&amp;"",""))</f>
        <v/>
      </c>
      <c r="D56" s="1"/>
      <c r="E56" s="1"/>
      <c r="F56" s="28"/>
      <c r="G56" s="1"/>
      <c r="H56" s="1"/>
      <c r="I56" s="29"/>
      <c r="J56" s="20" t="str">
        <f aca="false">IF(D56="","",IFERROR(INDEX(Settings!$D$36:$D$45,MATCH(D56,Settings!$A$36:$A$45,0)),0))</f>
        <v/>
      </c>
      <c r="K56" s="20" t="str">
        <f aca="false">IF(J56="","",IF(H56="",J56,J56*(1-IF(I56="",Settings!$B$6,I56))))</f>
        <v/>
      </c>
      <c r="L56" s="20" t="str">
        <f aca="false">IF(OR(J56="",H56=""),"",J56-K56)</f>
        <v/>
      </c>
      <c r="M56" s="1"/>
    </row>
    <row r="57" customFormat="false" ht="15" hidden="false" customHeight="false" outlineLevel="0" collapsed="false">
      <c r="A57" s="27"/>
      <c r="B57" s="1"/>
      <c r="C57" s="24" t="str">
        <f aca="false">IF(B57="","",IFERROR(INDEX(Patients!$B$2:$B$501,MATCH(B57,Patients!$A$2:$A$501,0))&amp;"",""))</f>
        <v/>
      </c>
      <c r="D57" s="1"/>
      <c r="E57" s="1"/>
      <c r="F57" s="28"/>
      <c r="G57" s="1"/>
      <c r="H57" s="1"/>
      <c r="I57" s="29"/>
      <c r="J57" s="20" t="str">
        <f aca="false">IF(D57="","",IFERROR(INDEX(Settings!$D$36:$D$45,MATCH(D57,Settings!$A$36:$A$45,0)),0))</f>
        <v/>
      </c>
      <c r="K57" s="20" t="str">
        <f aca="false">IF(J57="","",IF(H57="",J57,J57*(1-IF(I57="",Settings!$B$6,I57))))</f>
        <v/>
      </c>
      <c r="L57" s="20" t="str">
        <f aca="false">IF(OR(J57="",H57=""),"",J57-K57)</f>
        <v/>
      </c>
      <c r="M57" s="1"/>
    </row>
    <row r="58" customFormat="false" ht="15" hidden="false" customHeight="false" outlineLevel="0" collapsed="false">
      <c r="A58" s="27"/>
      <c r="B58" s="1"/>
      <c r="C58" s="24" t="str">
        <f aca="false">IF(B58="","",IFERROR(INDEX(Patients!$B$2:$B$501,MATCH(B58,Patients!$A$2:$A$501,0))&amp;"",""))</f>
        <v/>
      </c>
      <c r="D58" s="1"/>
      <c r="E58" s="1"/>
      <c r="F58" s="28"/>
      <c r="G58" s="1"/>
      <c r="H58" s="1"/>
      <c r="I58" s="29"/>
      <c r="J58" s="20" t="str">
        <f aca="false">IF(D58="","",IFERROR(INDEX(Settings!$D$36:$D$45,MATCH(D58,Settings!$A$36:$A$45,0)),0))</f>
        <v/>
      </c>
      <c r="K58" s="20" t="str">
        <f aca="false">IF(J58="","",IF(H58="",J58,J58*(1-IF(I58="",Settings!$B$6,I58))))</f>
        <v/>
      </c>
      <c r="L58" s="20" t="str">
        <f aca="false">IF(OR(J58="",H58=""),"",J58-K58)</f>
        <v/>
      </c>
      <c r="M58" s="1"/>
    </row>
    <row r="59" customFormat="false" ht="15" hidden="false" customHeight="false" outlineLevel="0" collapsed="false">
      <c r="A59" s="27"/>
      <c r="B59" s="1"/>
      <c r="C59" s="24" t="str">
        <f aca="false">IF(B59="","",IFERROR(INDEX(Patients!$B$2:$B$501,MATCH(B59,Patients!$A$2:$A$501,0))&amp;"",""))</f>
        <v/>
      </c>
      <c r="D59" s="1"/>
      <c r="E59" s="1"/>
      <c r="F59" s="28"/>
      <c r="G59" s="1"/>
      <c r="H59" s="1"/>
      <c r="I59" s="29"/>
      <c r="J59" s="20" t="str">
        <f aca="false">IF(D59="","",IFERROR(INDEX(Settings!$D$36:$D$45,MATCH(D59,Settings!$A$36:$A$45,0)),0))</f>
        <v/>
      </c>
      <c r="K59" s="20" t="str">
        <f aca="false">IF(J59="","",IF(H59="",J59,J59*(1-IF(I59="",Settings!$B$6,I59))))</f>
        <v/>
      </c>
      <c r="L59" s="20" t="str">
        <f aca="false">IF(OR(J59="",H59=""),"",J59-K59)</f>
        <v/>
      </c>
      <c r="M59" s="1"/>
    </row>
    <row r="60" customFormat="false" ht="15" hidden="false" customHeight="false" outlineLevel="0" collapsed="false">
      <c r="A60" s="27"/>
      <c r="B60" s="1"/>
      <c r="C60" s="24" t="str">
        <f aca="false">IF(B60="","",IFERROR(INDEX(Patients!$B$2:$B$501,MATCH(B60,Patients!$A$2:$A$501,0))&amp;"",""))</f>
        <v/>
      </c>
      <c r="D60" s="1"/>
      <c r="E60" s="1"/>
      <c r="F60" s="28"/>
      <c r="G60" s="1"/>
      <c r="H60" s="1"/>
      <c r="I60" s="29"/>
      <c r="J60" s="20" t="str">
        <f aca="false">IF(D60="","",IFERROR(INDEX(Settings!$D$36:$D$45,MATCH(D60,Settings!$A$36:$A$45,0)),0))</f>
        <v/>
      </c>
      <c r="K60" s="20" t="str">
        <f aca="false">IF(J60="","",IF(H60="",J60,J60*(1-IF(I60="",Settings!$B$6,I60))))</f>
        <v/>
      </c>
      <c r="L60" s="20" t="str">
        <f aca="false">IF(OR(J60="",H60=""),"",J60-K60)</f>
        <v/>
      </c>
      <c r="M60" s="1"/>
    </row>
    <row r="61" customFormat="false" ht="15" hidden="false" customHeight="false" outlineLevel="0" collapsed="false">
      <c r="A61" s="27"/>
      <c r="B61" s="1"/>
      <c r="C61" s="24" t="str">
        <f aca="false">IF(B61="","",IFERROR(INDEX(Patients!$B$2:$B$501,MATCH(B61,Patients!$A$2:$A$501,0))&amp;"",""))</f>
        <v/>
      </c>
      <c r="D61" s="1"/>
      <c r="E61" s="1"/>
      <c r="F61" s="28"/>
      <c r="G61" s="1"/>
      <c r="H61" s="1"/>
      <c r="I61" s="29"/>
      <c r="J61" s="20" t="str">
        <f aca="false">IF(D61="","",IFERROR(INDEX(Settings!$D$36:$D$45,MATCH(D61,Settings!$A$36:$A$45,0)),0))</f>
        <v/>
      </c>
      <c r="K61" s="20" t="str">
        <f aca="false">IF(J61="","",IF(H61="",J61,J61*(1-IF(I61="",Settings!$B$6,I61))))</f>
        <v/>
      </c>
      <c r="L61" s="20" t="str">
        <f aca="false">IF(OR(J61="",H61=""),"",J61-K61)</f>
        <v/>
      </c>
      <c r="M61" s="1"/>
    </row>
    <row r="62" customFormat="false" ht="15" hidden="false" customHeight="false" outlineLevel="0" collapsed="false">
      <c r="A62" s="27"/>
      <c r="B62" s="1"/>
      <c r="C62" s="24" t="str">
        <f aca="false">IF(B62="","",IFERROR(INDEX(Patients!$B$2:$B$501,MATCH(B62,Patients!$A$2:$A$501,0))&amp;"",""))</f>
        <v/>
      </c>
      <c r="D62" s="1"/>
      <c r="E62" s="1"/>
      <c r="F62" s="28"/>
      <c r="G62" s="1"/>
      <c r="H62" s="1"/>
      <c r="I62" s="29"/>
      <c r="J62" s="20" t="str">
        <f aca="false">IF(D62="","",IFERROR(INDEX(Settings!$D$36:$D$45,MATCH(D62,Settings!$A$36:$A$45,0)),0))</f>
        <v/>
      </c>
      <c r="K62" s="20" t="str">
        <f aca="false">IF(J62="","",IF(H62="",J62,J62*(1-IF(I62="",Settings!$B$6,I62))))</f>
        <v/>
      </c>
      <c r="L62" s="20" t="str">
        <f aca="false">IF(OR(J62="",H62=""),"",J62-K62)</f>
        <v/>
      </c>
      <c r="M62" s="1"/>
    </row>
    <row r="63" customFormat="false" ht="15" hidden="false" customHeight="false" outlineLevel="0" collapsed="false">
      <c r="A63" s="27"/>
      <c r="B63" s="1"/>
      <c r="C63" s="24" t="str">
        <f aca="false">IF(B63="","",IFERROR(INDEX(Patients!$B$2:$B$501,MATCH(B63,Patients!$A$2:$A$501,0))&amp;"",""))</f>
        <v/>
      </c>
      <c r="D63" s="1"/>
      <c r="E63" s="1"/>
      <c r="F63" s="28"/>
      <c r="G63" s="1"/>
      <c r="H63" s="1"/>
      <c r="I63" s="29"/>
      <c r="J63" s="20" t="str">
        <f aca="false">IF(D63="","",IFERROR(INDEX(Settings!$D$36:$D$45,MATCH(D63,Settings!$A$36:$A$45,0)),0))</f>
        <v/>
      </c>
      <c r="K63" s="20" t="str">
        <f aca="false">IF(J63="","",IF(H63="",J63,J63*(1-IF(I63="",Settings!$B$6,I63))))</f>
        <v/>
      </c>
      <c r="L63" s="20" t="str">
        <f aca="false">IF(OR(J63="",H63=""),"",J63-K63)</f>
        <v/>
      </c>
      <c r="M63" s="1"/>
    </row>
    <row r="64" customFormat="false" ht="15" hidden="false" customHeight="false" outlineLevel="0" collapsed="false">
      <c r="A64" s="27"/>
      <c r="B64" s="1"/>
      <c r="C64" s="24" t="str">
        <f aca="false">IF(B64="","",IFERROR(INDEX(Patients!$B$2:$B$501,MATCH(B64,Patients!$A$2:$A$501,0))&amp;"",""))</f>
        <v/>
      </c>
      <c r="D64" s="1"/>
      <c r="E64" s="1"/>
      <c r="F64" s="28"/>
      <c r="G64" s="1"/>
      <c r="H64" s="1"/>
      <c r="I64" s="29"/>
      <c r="J64" s="20" t="str">
        <f aca="false">IF(D64="","",IFERROR(INDEX(Settings!$D$36:$D$45,MATCH(D64,Settings!$A$36:$A$45,0)),0))</f>
        <v/>
      </c>
      <c r="K64" s="20" t="str">
        <f aca="false">IF(J64="","",IF(H64="",J64,J64*(1-IF(I64="",Settings!$B$6,I64))))</f>
        <v/>
      </c>
      <c r="L64" s="20" t="str">
        <f aca="false">IF(OR(J64="",H64=""),"",J64-K64)</f>
        <v/>
      </c>
      <c r="M64" s="1"/>
    </row>
    <row r="65" customFormat="false" ht="15" hidden="false" customHeight="false" outlineLevel="0" collapsed="false">
      <c r="A65" s="27"/>
      <c r="B65" s="1"/>
      <c r="C65" s="24" t="str">
        <f aca="false">IF(B65="","",IFERROR(INDEX(Patients!$B$2:$B$501,MATCH(B65,Patients!$A$2:$A$501,0))&amp;"",""))</f>
        <v/>
      </c>
      <c r="D65" s="1"/>
      <c r="E65" s="1"/>
      <c r="F65" s="28"/>
      <c r="G65" s="1"/>
      <c r="H65" s="1"/>
      <c r="I65" s="29"/>
      <c r="J65" s="20" t="str">
        <f aca="false">IF(D65="","",IFERROR(INDEX(Settings!$D$36:$D$45,MATCH(D65,Settings!$A$36:$A$45,0)),0))</f>
        <v/>
      </c>
      <c r="K65" s="20" t="str">
        <f aca="false">IF(J65="","",IF(H65="",J65,J65*(1-IF(I65="",Settings!$B$6,I65))))</f>
        <v/>
      </c>
      <c r="L65" s="20" t="str">
        <f aca="false">IF(OR(J65="",H65=""),"",J65-K65)</f>
        <v/>
      </c>
      <c r="M65" s="1"/>
    </row>
    <row r="66" customFormat="false" ht="15" hidden="false" customHeight="false" outlineLevel="0" collapsed="false">
      <c r="A66" s="27"/>
      <c r="B66" s="1"/>
      <c r="C66" s="24" t="str">
        <f aca="false">IF(B66="","",IFERROR(INDEX(Patients!$B$2:$B$501,MATCH(B66,Patients!$A$2:$A$501,0))&amp;"",""))</f>
        <v/>
      </c>
      <c r="D66" s="1"/>
      <c r="E66" s="1"/>
      <c r="F66" s="28"/>
      <c r="G66" s="1"/>
      <c r="H66" s="1"/>
      <c r="I66" s="29"/>
      <c r="J66" s="20" t="str">
        <f aca="false">IF(D66="","",IFERROR(INDEX(Settings!$D$36:$D$45,MATCH(D66,Settings!$A$36:$A$45,0)),0))</f>
        <v/>
      </c>
      <c r="K66" s="20" t="str">
        <f aca="false">IF(J66="","",IF(H66="",J66,J66*(1-IF(I66="",Settings!$B$6,I66))))</f>
        <v/>
      </c>
      <c r="L66" s="20" t="str">
        <f aca="false">IF(OR(J66="",H66=""),"",J66-K66)</f>
        <v/>
      </c>
      <c r="M66" s="1"/>
    </row>
    <row r="67" customFormat="false" ht="15" hidden="false" customHeight="false" outlineLevel="0" collapsed="false">
      <c r="A67" s="27"/>
      <c r="B67" s="1"/>
      <c r="C67" s="24" t="str">
        <f aca="false">IF(B67="","",IFERROR(INDEX(Patients!$B$2:$B$501,MATCH(B67,Patients!$A$2:$A$501,0))&amp;"",""))</f>
        <v/>
      </c>
      <c r="D67" s="1"/>
      <c r="E67" s="1"/>
      <c r="F67" s="28"/>
      <c r="G67" s="1"/>
      <c r="H67" s="1"/>
      <c r="I67" s="29"/>
      <c r="J67" s="20" t="str">
        <f aca="false">IF(D67="","",IFERROR(INDEX(Settings!$D$36:$D$45,MATCH(D67,Settings!$A$36:$A$45,0)),0))</f>
        <v/>
      </c>
      <c r="K67" s="20" t="str">
        <f aca="false">IF(J67="","",IF(H67="",J67,J67*(1-IF(I67="",Settings!$B$6,I67))))</f>
        <v/>
      </c>
      <c r="L67" s="20" t="str">
        <f aca="false">IF(OR(J67="",H67=""),"",J67-K67)</f>
        <v/>
      </c>
      <c r="M67" s="1"/>
    </row>
    <row r="68" customFormat="false" ht="15" hidden="false" customHeight="false" outlineLevel="0" collapsed="false">
      <c r="A68" s="27"/>
      <c r="B68" s="1"/>
      <c r="C68" s="24" t="str">
        <f aca="false">IF(B68="","",IFERROR(INDEX(Patients!$B$2:$B$501,MATCH(B68,Patients!$A$2:$A$501,0))&amp;"",""))</f>
        <v/>
      </c>
      <c r="D68" s="1"/>
      <c r="E68" s="1"/>
      <c r="F68" s="28"/>
      <c r="G68" s="1"/>
      <c r="H68" s="1"/>
      <c r="I68" s="29"/>
      <c r="J68" s="20" t="str">
        <f aca="false">IF(D68="","",IFERROR(INDEX(Settings!$D$36:$D$45,MATCH(D68,Settings!$A$36:$A$45,0)),0))</f>
        <v/>
      </c>
      <c r="K68" s="20" t="str">
        <f aca="false">IF(J68="","",IF(H68="",J68,J68*(1-IF(I68="",Settings!$B$6,I68))))</f>
        <v/>
      </c>
      <c r="L68" s="20" t="str">
        <f aca="false">IF(OR(J68="",H68=""),"",J68-K68)</f>
        <v/>
      </c>
      <c r="M68" s="1"/>
    </row>
    <row r="69" customFormat="false" ht="15" hidden="false" customHeight="false" outlineLevel="0" collapsed="false">
      <c r="A69" s="27"/>
      <c r="B69" s="1"/>
      <c r="C69" s="24" t="str">
        <f aca="false">IF(B69="","",IFERROR(INDEX(Patients!$B$2:$B$501,MATCH(B69,Patients!$A$2:$A$501,0))&amp;"",""))</f>
        <v/>
      </c>
      <c r="D69" s="1"/>
      <c r="E69" s="1"/>
      <c r="F69" s="28"/>
      <c r="G69" s="1"/>
      <c r="H69" s="1"/>
      <c r="I69" s="29"/>
      <c r="J69" s="20" t="str">
        <f aca="false">IF(D69="","",IFERROR(INDEX(Settings!$D$36:$D$45,MATCH(D69,Settings!$A$36:$A$45,0)),0))</f>
        <v/>
      </c>
      <c r="K69" s="20" t="str">
        <f aca="false">IF(J69="","",IF(H69="",J69,J69*(1-IF(I69="",Settings!$B$6,I69))))</f>
        <v/>
      </c>
      <c r="L69" s="20" t="str">
        <f aca="false">IF(OR(J69="",H69=""),"",J69-K69)</f>
        <v/>
      </c>
      <c r="M69" s="1"/>
    </row>
    <row r="70" customFormat="false" ht="15" hidden="false" customHeight="false" outlineLevel="0" collapsed="false">
      <c r="A70" s="27"/>
      <c r="B70" s="1"/>
      <c r="C70" s="24" t="str">
        <f aca="false">IF(B70="","",IFERROR(INDEX(Patients!$B$2:$B$501,MATCH(B70,Patients!$A$2:$A$501,0))&amp;"",""))</f>
        <v/>
      </c>
      <c r="D70" s="1"/>
      <c r="E70" s="1"/>
      <c r="F70" s="28"/>
      <c r="G70" s="1"/>
      <c r="H70" s="1"/>
      <c r="I70" s="29"/>
      <c r="J70" s="20" t="str">
        <f aca="false">IF(D70="","",IFERROR(INDEX(Settings!$D$36:$D$45,MATCH(D70,Settings!$A$36:$A$45,0)),0))</f>
        <v/>
      </c>
      <c r="K70" s="20" t="str">
        <f aca="false">IF(J70="","",IF(H70="",J70,J70*(1-IF(I70="",Settings!$B$6,I70))))</f>
        <v/>
      </c>
      <c r="L70" s="20" t="str">
        <f aca="false">IF(OR(J70="",H70=""),"",J70-K70)</f>
        <v/>
      </c>
      <c r="M70" s="1"/>
    </row>
    <row r="71" customFormat="false" ht="15" hidden="false" customHeight="false" outlineLevel="0" collapsed="false">
      <c r="A71" s="27"/>
      <c r="B71" s="1"/>
      <c r="C71" s="24" t="str">
        <f aca="false">IF(B71="","",IFERROR(INDEX(Patients!$B$2:$B$501,MATCH(B71,Patients!$A$2:$A$501,0))&amp;"",""))</f>
        <v/>
      </c>
      <c r="D71" s="1"/>
      <c r="E71" s="1"/>
      <c r="F71" s="28"/>
      <c r="G71" s="1"/>
      <c r="H71" s="1"/>
      <c r="I71" s="29"/>
      <c r="J71" s="20" t="str">
        <f aca="false">IF(D71="","",IFERROR(INDEX(Settings!$D$36:$D$45,MATCH(D71,Settings!$A$36:$A$45,0)),0))</f>
        <v/>
      </c>
      <c r="K71" s="20" t="str">
        <f aca="false">IF(J71="","",IF(H71="",J71,J71*(1-IF(I71="",Settings!$B$6,I71))))</f>
        <v/>
      </c>
      <c r="L71" s="20" t="str">
        <f aca="false">IF(OR(J71="",H71=""),"",J71-K71)</f>
        <v/>
      </c>
      <c r="M71" s="1"/>
    </row>
    <row r="72" customFormat="false" ht="15" hidden="false" customHeight="false" outlineLevel="0" collapsed="false">
      <c r="A72" s="27"/>
      <c r="B72" s="1"/>
      <c r="C72" s="24" t="str">
        <f aca="false">IF(B72="","",IFERROR(INDEX(Patients!$B$2:$B$501,MATCH(B72,Patients!$A$2:$A$501,0))&amp;"",""))</f>
        <v/>
      </c>
      <c r="D72" s="1"/>
      <c r="E72" s="1"/>
      <c r="F72" s="28"/>
      <c r="G72" s="1"/>
      <c r="H72" s="1"/>
      <c r="I72" s="29"/>
      <c r="J72" s="20" t="str">
        <f aca="false">IF(D72="","",IFERROR(INDEX(Settings!$D$36:$D$45,MATCH(D72,Settings!$A$36:$A$45,0)),0))</f>
        <v/>
      </c>
      <c r="K72" s="20" t="str">
        <f aca="false">IF(J72="","",IF(H72="",J72,J72*(1-IF(I72="",Settings!$B$6,I72))))</f>
        <v/>
      </c>
      <c r="L72" s="20" t="str">
        <f aca="false">IF(OR(J72="",H72=""),"",J72-K72)</f>
        <v/>
      </c>
      <c r="M72" s="1"/>
    </row>
    <row r="73" customFormat="false" ht="15" hidden="false" customHeight="false" outlineLevel="0" collapsed="false">
      <c r="A73" s="27"/>
      <c r="B73" s="1"/>
      <c r="C73" s="24" t="str">
        <f aca="false">IF(B73="","",IFERROR(INDEX(Patients!$B$2:$B$501,MATCH(B73,Patients!$A$2:$A$501,0))&amp;"",""))</f>
        <v/>
      </c>
      <c r="D73" s="1"/>
      <c r="E73" s="1"/>
      <c r="F73" s="28"/>
      <c r="G73" s="1"/>
      <c r="H73" s="1"/>
      <c r="I73" s="29"/>
      <c r="J73" s="20" t="str">
        <f aca="false">IF(D73="","",IFERROR(INDEX(Settings!$D$36:$D$45,MATCH(D73,Settings!$A$36:$A$45,0)),0))</f>
        <v/>
      </c>
      <c r="K73" s="20" t="str">
        <f aca="false">IF(J73="","",IF(H73="",J73,J73*(1-IF(I73="",Settings!$B$6,I73))))</f>
        <v/>
      </c>
      <c r="L73" s="20" t="str">
        <f aca="false">IF(OR(J73="",H73=""),"",J73-K73)</f>
        <v/>
      </c>
      <c r="M73" s="1"/>
    </row>
    <row r="74" customFormat="false" ht="15" hidden="false" customHeight="false" outlineLevel="0" collapsed="false">
      <c r="A74" s="27"/>
      <c r="B74" s="1"/>
      <c r="C74" s="24" t="str">
        <f aca="false">IF(B74="","",IFERROR(INDEX(Patients!$B$2:$B$501,MATCH(B74,Patients!$A$2:$A$501,0))&amp;"",""))</f>
        <v/>
      </c>
      <c r="D74" s="1"/>
      <c r="E74" s="1"/>
      <c r="F74" s="28"/>
      <c r="G74" s="1"/>
      <c r="H74" s="1"/>
      <c r="I74" s="29"/>
      <c r="J74" s="20" t="str">
        <f aca="false">IF(D74="","",IFERROR(INDEX(Settings!$D$36:$D$45,MATCH(D74,Settings!$A$36:$A$45,0)),0))</f>
        <v/>
      </c>
      <c r="K74" s="20" t="str">
        <f aca="false">IF(J74="","",IF(H74="",J74,J74*(1-IF(I74="",Settings!$B$6,I74))))</f>
        <v/>
      </c>
      <c r="L74" s="20" t="str">
        <f aca="false">IF(OR(J74="",H74=""),"",J74-K74)</f>
        <v/>
      </c>
      <c r="M74" s="1"/>
    </row>
    <row r="75" customFormat="false" ht="15" hidden="false" customHeight="false" outlineLevel="0" collapsed="false">
      <c r="A75" s="27"/>
      <c r="B75" s="1"/>
      <c r="C75" s="24" t="str">
        <f aca="false">IF(B75="","",IFERROR(INDEX(Patients!$B$2:$B$501,MATCH(B75,Patients!$A$2:$A$501,0))&amp;"",""))</f>
        <v/>
      </c>
      <c r="D75" s="1"/>
      <c r="E75" s="1"/>
      <c r="F75" s="28"/>
      <c r="G75" s="1"/>
      <c r="H75" s="1"/>
      <c r="I75" s="29"/>
      <c r="J75" s="20" t="str">
        <f aca="false">IF(D75="","",IFERROR(INDEX(Settings!$D$36:$D$45,MATCH(D75,Settings!$A$36:$A$45,0)),0))</f>
        <v/>
      </c>
      <c r="K75" s="20" t="str">
        <f aca="false">IF(J75="","",IF(H75="",J75,J75*(1-IF(I75="",Settings!$B$6,I75))))</f>
        <v/>
      </c>
      <c r="L75" s="20" t="str">
        <f aca="false">IF(OR(J75="",H75=""),"",J75-K75)</f>
        <v/>
      </c>
      <c r="M75" s="1"/>
    </row>
    <row r="76" customFormat="false" ht="15" hidden="false" customHeight="false" outlineLevel="0" collapsed="false">
      <c r="A76" s="27"/>
      <c r="B76" s="1"/>
      <c r="C76" s="24" t="str">
        <f aca="false">IF(B76="","",IFERROR(INDEX(Patients!$B$2:$B$501,MATCH(B76,Patients!$A$2:$A$501,0))&amp;"",""))</f>
        <v/>
      </c>
      <c r="D76" s="1"/>
      <c r="E76" s="1"/>
      <c r="F76" s="28"/>
      <c r="G76" s="1"/>
      <c r="H76" s="1"/>
      <c r="I76" s="29"/>
      <c r="J76" s="20" t="str">
        <f aca="false">IF(D76="","",IFERROR(INDEX(Settings!$D$36:$D$45,MATCH(D76,Settings!$A$36:$A$45,0)),0))</f>
        <v/>
      </c>
      <c r="K76" s="20" t="str">
        <f aca="false">IF(J76="","",IF(H76="",J76,J76*(1-IF(I76="",Settings!$B$6,I76))))</f>
        <v/>
      </c>
      <c r="L76" s="20" t="str">
        <f aca="false">IF(OR(J76="",H76=""),"",J76-K76)</f>
        <v/>
      </c>
      <c r="M76" s="1"/>
    </row>
    <row r="77" customFormat="false" ht="15" hidden="false" customHeight="false" outlineLevel="0" collapsed="false">
      <c r="A77" s="27"/>
      <c r="B77" s="1"/>
      <c r="C77" s="24" t="str">
        <f aca="false">IF(B77="","",IFERROR(INDEX(Patients!$B$2:$B$501,MATCH(B77,Patients!$A$2:$A$501,0))&amp;"",""))</f>
        <v/>
      </c>
      <c r="D77" s="1"/>
      <c r="E77" s="1"/>
      <c r="F77" s="28"/>
      <c r="G77" s="1"/>
      <c r="H77" s="1"/>
      <c r="I77" s="29"/>
      <c r="J77" s="20" t="str">
        <f aca="false">IF(D77="","",IFERROR(INDEX(Settings!$D$36:$D$45,MATCH(D77,Settings!$A$36:$A$45,0)),0))</f>
        <v/>
      </c>
      <c r="K77" s="20" t="str">
        <f aca="false">IF(J77="","",IF(H77="",J77,J77*(1-IF(I77="",Settings!$B$6,I77))))</f>
        <v/>
      </c>
      <c r="L77" s="20" t="str">
        <f aca="false">IF(OR(J77="",H77=""),"",J77-K77)</f>
        <v/>
      </c>
      <c r="M77" s="1"/>
    </row>
    <row r="78" customFormat="false" ht="15" hidden="false" customHeight="false" outlineLevel="0" collapsed="false">
      <c r="A78" s="27"/>
      <c r="B78" s="1"/>
      <c r="C78" s="24" t="str">
        <f aca="false">IF(B78="","",IFERROR(INDEX(Patients!$B$2:$B$501,MATCH(B78,Patients!$A$2:$A$501,0))&amp;"",""))</f>
        <v/>
      </c>
      <c r="D78" s="1"/>
      <c r="E78" s="1"/>
      <c r="F78" s="28"/>
      <c r="G78" s="1"/>
      <c r="H78" s="1"/>
      <c r="I78" s="29"/>
      <c r="J78" s="20" t="str">
        <f aca="false">IF(D78="","",IFERROR(INDEX(Settings!$D$36:$D$45,MATCH(D78,Settings!$A$36:$A$45,0)),0))</f>
        <v/>
      </c>
      <c r="K78" s="20" t="str">
        <f aca="false">IF(J78="","",IF(H78="",J78,J78*(1-IF(I78="",Settings!$B$6,I78))))</f>
        <v/>
      </c>
      <c r="L78" s="20" t="str">
        <f aca="false">IF(OR(J78="",H78=""),"",J78-K78)</f>
        <v/>
      </c>
      <c r="M78" s="1"/>
    </row>
    <row r="79" customFormat="false" ht="15" hidden="false" customHeight="false" outlineLevel="0" collapsed="false">
      <c r="A79" s="27"/>
      <c r="B79" s="1"/>
      <c r="C79" s="24" t="str">
        <f aca="false">IF(B79="","",IFERROR(INDEX(Patients!$B$2:$B$501,MATCH(B79,Patients!$A$2:$A$501,0))&amp;"",""))</f>
        <v/>
      </c>
      <c r="D79" s="1"/>
      <c r="E79" s="1"/>
      <c r="F79" s="28"/>
      <c r="G79" s="1"/>
      <c r="H79" s="1"/>
      <c r="I79" s="29"/>
      <c r="J79" s="20" t="str">
        <f aca="false">IF(D79="","",IFERROR(INDEX(Settings!$D$36:$D$45,MATCH(D79,Settings!$A$36:$A$45,0)),0))</f>
        <v/>
      </c>
      <c r="K79" s="20" t="str">
        <f aca="false">IF(J79="","",IF(H79="",J79,J79*(1-IF(I79="",Settings!$B$6,I79))))</f>
        <v/>
      </c>
      <c r="L79" s="20" t="str">
        <f aca="false">IF(OR(J79="",H79=""),"",J79-K79)</f>
        <v/>
      </c>
      <c r="M79" s="1"/>
    </row>
    <row r="80" customFormat="false" ht="15" hidden="false" customHeight="false" outlineLevel="0" collapsed="false">
      <c r="A80" s="27"/>
      <c r="B80" s="1"/>
      <c r="C80" s="24" t="str">
        <f aca="false">IF(B80="","",IFERROR(INDEX(Patients!$B$2:$B$501,MATCH(B80,Patients!$A$2:$A$501,0))&amp;"",""))</f>
        <v/>
      </c>
      <c r="D80" s="1"/>
      <c r="E80" s="1"/>
      <c r="F80" s="28"/>
      <c r="G80" s="1"/>
      <c r="H80" s="1"/>
      <c r="I80" s="29"/>
      <c r="J80" s="20" t="str">
        <f aca="false">IF(D80="","",IFERROR(INDEX(Settings!$D$36:$D$45,MATCH(D80,Settings!$A$36:$A$45,0)),0))</f>
        <v/>
      </c>
      <c r="K80" s="20" t="str">
        <f aca="false">IF(J80="","",IF(H80="",J80,J80*(1-IF(I80="",Settings!$B$6,I80))))</f>
        <v/>
      </c>
      <c r="L80" s="20" t="str">
        <f aca="false">IF(OR(J80="",H80=""),"",J80-K80)</f>
        <v/>
      </c>
      <c r="M80" s="1"/>
    </row>
    <row r="81" customFormat="false" ht="15" hidden="false" customHeight="false" outlineLevel="0" collapsed="false">
      <c r="A81" s="27"/>
      <c r="B81" s="1"/>
      <c r="C81" s="24" t="str">
        <f aca="false">IF(B81="","",IFERROR(INDEX(Patients!$B$2:$B$501,MATCH(B81,Patients!$A$2:$A$501,0))&amp;"",""))</f>
        <v/>
      </c>
      <c r="D81" s="1"/>
      <c r="E81" s="1"/>
      <c r="F81" s="28"/>
      <c r="G81" s="1"/>
      <c r="H81" s="1"/>
      <c r="I81" s="29"/>
      <c r="J81" s="20" t="str">
        <f aca="false">IF(D81="","",IFERROR(INDEX(Settings!$D$36:$D$45,MATCH(D81,Settings!$A$36:$A$45,0)),0))</f>
        <v/>
      </c>
      <c r="K81" s="20" t="str">
        <f aca="false">IF(J81="","",IF(H81="",J81,J81*(1-IF(I81="",Settings!$B$6,I81))))</f>
        <v/>
      </c>
      <c r="L81" s="20" t="str">
        <f aca="false">IF(OR(J81="",H81=""),"",J81-K81)</f>
        <v/>
      </c>
      <c r="M81" s="1"/>
    </row>
    <row r="82" customFormat="false" ht="15" hidden="false" customHeight="false" outlineLevel="0" collapsed="false">
      <c r="A82" s="27"/>
      <c r="B82" s="1"/>
      <c r="C82" s="24" t="str">
        <f aca="false">IF(B82="","",IFERROR(INDEX(Patients!$B$2:$B$501,MATCH(B82,Patients!$A$2:$A$501,0))&amp;"",""))</f>
        <v/>
      </c>
      <c r="D82" s="1"/>
      <c r="E82" s="1"/>
      <c r="F82" s="28"/>
      <c r="G82" s="1"/>
      <c r="H82" s="1"/>
      <c r="I82" s="29"/>
      <c r="J82" s="20" t="str">
        <f aca="false">IF(D82="","",IFERROR(INDEX(Settings!$D$36:$D$45,MATCH(D82,Settings!$A$36:$A$45,0)),0))</f>
        <v/>
      </c>
      <c r="K82" s="20" t="str">
        <f aca="false">IF(J82="","",IF(H82="",J82,J82*(1-IF(I82="",Settings!$B$6,I82))))</f>
        <v/>
      </c>
      <c r="L82" s="20" t="str">
        <f aca="false">IF(OR(J82="",H82=""),"",J82-K82)</f>
        <v/>
      </c>
      <c r="M82" s="1"/>
    </row>
    <row r="83" customFormat="false" ht="15" hidden="false" customHeight="false" outlineLevel="0" collapsed="false">
      <c r="A83" s="27"/>
      <c r="B83" s="1"/>
      <c r="C83" s="24" t="str">
        <f aca="false">IF(B83="","",IFERROR(INDEX(Patients!$B$2:$B$501,MATCH(B83,Patients!$A$2:$A$501,0))&amp;"",""))</f>
        <v/>
      </c>
      <c r="D83" s="1"/>
      <c r="E83" s="1"/>
      <c r="F83" s="28"/>
      <c r="G83" s="1"/>
      <c r="H83" s="1"/>
      <c r="I83" s="29"/>
      <c r="J83" s="20" t="str">
        <f aca="false">IF(D83="","",IFERROR(INDEX(Settings!$D$36:$D$45,MATCH(D83,Settings!$A$36:$A$45,0)),0))</f>
        <v/>
      </c>
      <c r="K83" s="20" t="str">
        <f aca="false">IF(J83="","",IF(H83="",J83,J83*(1-IF(I83="",Settings!$B$6,I83))))</f>
        <v/>
      </c>
      <c r="L83" s="20" t="str">
        <f aca="false">IF(OR(J83="",H83=""),"",J83-K83)</f>
        <v/>
      </c>
      <c r="M83" s="1"/>
    </row>
    <row r="84" customFormat="false" ht="15" hidden="false" customHeight="false" outlineLevel="0" collapsed="false">
      <c r="A84" s="27"/>
      <c r="B84" s="1"/>
      <c r="C84" s="24" t="str">
        <f aca="false">IF(B84="","",IFERROR(INDEX(Patients!$B$2:$B$501,MATCH(B84,Patients!$A$2:$A$501,0))&amp;"",""))</f>
        <v/>
      </c>
      <c r="D84" s="1"/>
      <c r="E84" s="1"/>
      <c r="F84" s="28"/>
      <c r="G84" s="1"/>
      <c r="H84" s="1"/>
      <c r="I84" s="29"/>
      <c r="J84" s="20" t="str">
        <f aca="false">IF(D84="","",IFERROR(INDEX(Settings!$D$36:$D$45,MATCH(D84,Settings!$A$36:$A$45,0)),0))</f>
        <v/>
      </c>
      <c r="K84" s="20" t="str">
        <f aca="false">IF(J84="","",IF(H84="",J84,J84*(1-IF(I84="",Settings!$B$6,I84))))</f>
        <v/>
      </c>
      <c r="L84" s="20" t="str">
        <f aca="false">IF(OR(J84="",H84=""),"",J84-K84)</f>
        <v/>
      </c>
      <c r="M84" s="1"/>
    </row>
    <row r="85" customFormat="false" ht="15" hidden="false" customHeight="false" outlineLevel="0" collapsed="false">
      <c r="A85" s="27"/>
      <c r="B85" s="1"/>
      <c r="C85" s="24" t="str">
        <f aca="false">IF(B85="","",IFERROR(INDEX(Patients!$B$2:$B$501,MATCH(B85,Patients!$A$2:$A$501,0))&amp;"",""))</f>
        <v/>
      </c>
      <c r="D85" s="1"/>
      <c r="E85" s="1"/>
      <c r="F85" s="28"/>
      <c r="G85" s="1"/>
      <c r="H85" s="1"/>
      <c r="I85" s="29"/>
      <c r="J85" s="20" t="str">
        <f aca="false">IF(D85="","",IFERROR(INDEX(Settings!$D$36:$D$45,MATCH(D85,Settings!$A$36:$A$45,0)),0))</f>
        <v/>
      </c>
      <c r="K85" s="20" t="str">
        <f aca="false">IF(J85="","",IF(H85="",J85,J85*(1-IF(I85="",Settings!$B$6,I85))))</f>
        <v/>
      </c>
      <c r="L85" s="20" t="str">
        <f aca="false">IF(OR(J85="",H85=""),"",J85-K85)</f>
        <v/>
      </c>
      <c r="M85" s="1"/>
    </row>
    <row r="86" customFormat="false" ht="15" hidden="false" customHeight="false" outlineLevel="0" collapsed="false">
      <c r="A86" s="27"/>
      <c r="B86" s="1"/>
      <c r="C86" s="24" t="str">
        <f aca="false">IF(B86="","",IFERROR(INDEX(Patients!$B$2:$B$501,MATCH(B86,Patients!$A$2:$A$501,0))&amp;"",""))</f>
        <v/>
      </c>
      <c r="D86" s="1"/>
      <c r="E86" s="1"/>
      <c r="F86" s="28"/>
      <c r="G86" s="1"/>
      <c r="H86" s="1"/>
      <c r="I86" s="29"/>
      <c r="J86" s="20" t="str">
        <f aca="false">IF(D86="","",IFERROR(INDEX(Settings!$D$36:$D$45,MATCH(D86,Settings!$A$36:$A$45,0)),0))</f>
        <v/>
      </c>
      <c r="K86" s="20" t="str">
        <f aca="false">IF(J86="","",IF(H86="",J86,J86*(1-IF(I86="",Settings!$B$6,I86))))</f>
        <v/>
      </c>
      <c r="L86" s="20" t="str">
        <f aca="false">IF(OR(J86="",H86=""),"",J86-K86)</f>
        <v/>
      </c>
      <c r="M86" s="1"/>
    </row>
    <row r="87" customFormat="false" ht="15" hidden="false" customHeight="false" outlineLevel="0" collapsed="false">
      <c r="A87" s="27"/>
      <c r="B87" s="1"/>
      <c r="C87" s="24" t="str">
        <f aca="false">IF(B87="","",IFERROR(INDEX(Patients!$B$2:$B$501,MATCH(B87,Patients!$A$2:$A$501,0))&amp;"",""))</f>
        <v/>
      </c>
      <c r="D87" s="1"/>
      <c r="E87" s="1"/>
      <c r="F87" s="28"/>
      <c r="G87" s="1"/>
      <c r="H87" s="1"/>
      <c r="I87" s="29"/>
      <c r="J87" s="20" t="str">
        <f aca="false">IF(D87="","",IFERROR(INDEX(Settings!$D$36:$D$45,MATCH(D87,Settings!$A$36:$A$45,0)),0))</f>
        <v/>
      </c>
      <c r="K87" s="20" t="str">
        <f aca="false">IF(J87="","",IF(H87="",J87,J87*(1-IF(I87="",Settings!$B$6,I87))))</f>
        <v/>
      </c>
      <c r="L87" s="20" t="str">
        <f aca="false">IF(OR(J87="",H87=""),"",J87-K87)</f>
        <v/>
      </c>
      <c r="M87" s="1"/>
    </row>
    <row r="88" customFormat="false" ht="15" hidden="false" customHeight="false" outlineLevel="0" collapsed="false">
      <c r="A88" s="27"/>
      <c r="B88" s="1"/>
      <c r="C88" s="24" t="str">
        <f aca="false">IF(B88="","",IFERROR(INDEX(Patients!$B$2:$B$501,MATCH(B88,Patients!$A$2:$A$501,0))&amp;"",""))</f>
        <v/>
      </c>
      <c r="D88" s="1"/>
      <c r="E88" s="1"/>
      <c r="F88" s="28"/>
      <c r="G88" s="1"/>
      <c r="H88" s="1"/>
      <c r="I88" s="29"/>
      <c r="J88" s="20" t="str">
        <f aca="false">IF(D88="","",IFERROR(INDEX(Settings!$D$36:$D$45,MATCH(D88,Settings!$A$36:$A$45,0)),0))</f>
        <v/>
      </c>
      <c r="K88" s="20" t="str">
        <f aca="false">IF(J88="","",IF(H88="",J88,J88*(1-IF(I88="",Settings!$B$6,I88))))</f>
        <v/>
      </c>
      <c r="L88" s="20" t="str">
        <f aca="false">IF(OR(J88="",H88=""),"",J88-K88)</f>
        <v/>
      </c>
      <c r="M88" s="1"/>
    </row>
    <row r="89" customFormat="false" ht="15" hidden="false" customHeight="false" outlineLevel="0" collapsed="false">
      <c r="A89" s="27"/>
      <c r="B89" s="1"/>
      <c r="C89" s="24" t="str">
        <f aca="false">IF(B89="","",IFERROR(INDEX(Patients!$B$2:$B$501,MATCH(B89,Patients!$A$2:$A$501,0))&amp;"",""))</f>
        <v/>
      </c>
      <c r="D89" s="1"/>
      <c r="E89" s="1"/>
      <c r="F89" s="28"/>
      <c r="G89" s="1"/>
      <c r="H89" s="1"/>
      <c r="I89" s="29"/>
      <c r="J89" s="20" t="str">
        <f aca="false">IF(D89="","",IFERROR(INDEX(Settings!$D$36:$D$45,MATCH(D89,Settings!$A$36:$A$45,0)),0))</f>
        <v/>
      </c>
      <c r="K89" s="20" t="str">
        <f aca="false">IF(J89="","",IF(H89="",J89,J89*(1-IF(I89="",Settings!$B$6,I89))))</f>
        <v/>
      </c>
      <c r="L89" s="20" t="str">
        <f aca="false">IF(OR(J89="",H89=""),"",J89-K89)</f>
        <v/>
      </c>
      <c r="M89" s="1"/>
    </row>
    <row r="90" customFormat="false" ht="15" hidden="false" customHeight="false" outlineLevel="0" collapsed="false">
      <c r="A90" s="27"/>
      <c r="B90" s="1"/>
      <c r="C90" s="24" t="str">
        <f aca="false">IF(B90="","",IFERROR(INDEX(Patients!$B$2:$B$501,MATCH(B90,Patients!$A$2:$A$501,0))&amp;"",""))</f>
        <v/>
      </c>
      <c r="D90" s="1"/>
      <c r="E90" s="1"/>
      <c r="F90" s="28"/>
      <c r="G90" s="1"/>
      <c r="H90" s="1"/>
      <c r="I90" s="29"/>
      <c r="J90" s="20" t="str">
        <f aca="false">IF(D90="","",IFERROR(INDEX(Settings!$D$36:$D$45,MATCH(D90,Settings!$A$36:$A$45,0)),0))</f>
        <v/>
      </c>
      <c r="K90" s="20" t="str">
        <f aca="false">IF(J90="","",IF(H90="",J90,J90*(1-IF(I90="",Settings!$B$6,I90))))</f>
        <v/>
      </c>
      <c r="L90" s="20" t="str">
        <f aca="false">IF(OR(J90="",H90=""),"",J90-K90)</f>
        <v/>
      </c>
      <c r="M90" s="1"/>
    </row>
    <row r="91" customFormat="false" ht="15" hidden="false" customHeight="false" outlineLevel="0" collapsed="false">
      <c r="A91" s="27"/>
      <c r="B91" s="1"/>
      <c r="C91" s="24" t="str">
        <f aca="false">IF(B91="","",IFERROR(INDEX(Patients!$B$2:$B$501,MATCH(B91,Patients!$A$2:$A$501,0))&amp;"",""))</f>
        <v/>
      </c>
      <c r="D91" s="1"/>
      <c r="E91" s="1"/>
      <c r="F91" s="28"/>
      <c r="G91" s="1"/>
      <c r="H91" s="1"/>
      <c r="I91" s="29"/>
      <c r="J91" s="20" t="str">
        <f aca="false">IF(D91="","",IFERROR(INDEX(Settings!$D$36:$D$45,MATCH(D91,Settings!$A$36:$A$45,0)),0))</f>
        <v/>
      </c>
      <c r="K91" s="20" t="str">
        <f aca="false">IF(J91="","",IF(H91="",J91,J91*(1-IF(I91="",Settings!$B$6,I91))))</f>
        <v/>
      </c>
      <c r="L91" s="20" t="str">
        <f aca="false">IF(OR(J91="",H91=""),"",J91-K91)</f>
        <v/>
      </c>
      <c r="M91" s="1"/>
    </row>
    <row r="92" customFormat="false" ht="15" hidden="false" customHeight="false" outlineLevel="0" collapsed="false">
      <c r="A92" s="27"/>
      <c r="B92" s="1"/>
      <c r="C92" s="24" t="str">
        <f aca="false">IF(B92="","",IFERROR(INDEX(Patients!$B$2:$B$501,MATCH(B92,Patients!$A$2:$A$501,0))&amp;"",""))</f>
        <v/>
      </c>
      <c r="D92" s="1"/>
      <c r="E92" s="1"/>
      <c r="F92" s="28"/>
      <c r="G92" s="1"/>
      <c r="H92" s="1"/>
      <c r="I92" s="29"/>
      <c r="J92" s="20" t="str">
        <f aca="false">IF(D92="","",IFERROR(INDEX(Settings!$D$36:$D$45,MATCH(D92,Settings!$A$36:$A$45,0)),0))</f>
        <v/>
      </c>
      <c r="K92" s="20" t="str">
        <f aca="false">IF(J92="","",IF(H92="",J92,J92*(1-IF(I92="",Settings!$B$6,I92))))</f>
        <v/>
      </c>
      <c r="L92" s="20" t="str">
        <f aca="false">IF(OR(J92="",H92=""),"",J92-K92)</f>
        <v/>
      </c>
      <c r="M92" s="1"/>
    </row>
    <row r="93" customFormat="false" ht="15" hidden="false" customHeight="false" outlineLevel="0" collapsed="false">
      <c r="A93" s="27"/>
      <c r="B93" s="1"/>
      <c r="C93" s="24" t="str">
        <f aca="false">IF(B93="","",IFERROR(INDEX(Patients!$B$2:$B$501,MATCH(B93,Patients!$A$2:$A$501,0))&amp;"",""))</f>
        <v/>
      </c>
      <c r="D93" s="1"/>
      <c r="E93" s="1"/>
      <c r="F93" s="28"/>
      <c r="G93" s="1"/>
      <c r="H93" s="1"/>
      <c r="I93" s="29"/>
      <c r="J93" s="20" t="str">
        <f aca="false">IF(D93="","",IFERROR(INDEX(Settings!$D$36:$D$45,MATCH(D93,Settings!$A$36:$A$45,0)),0))</f>
        <v/>
      </c>
      <c r="K93" s="20" t="str">
        <f aca="false">IF(J93="","",IF(H93="",J93,J93*(1-IF(I93="",Settings!$B$6,I93))))</f>
        <v/>
      </c>
      <c r="L93" s="20" t="str">
        <f aca="false">IF(OR(J93="",H93=""),"",J93-K93)</f>
        <v/>
      </c>
      <c r="M93" s="1"/>
    </row>
    <row r="94" customFormat="false" ht="15" hidden="false" customHeight="false" outlineLevel="0" collapsed="false">
      <c r="A94" s="27"/>
      <c r="B94" s="1"/>
      <c r="C94" s="24" t="str">
        <f aca="false">IF(B94="","",IFERROR(INDEX(Patients!$B$2:$B$501,MATCH(B94,Patients!$A$2:$A$501,0))&amp;"",""))</f>
        <v/>
      </c>
      <c r="D94" s="1"/>
      <c r="E94" s="1"/>
      <c r="F94" s="28"/>
      <c r="G94" s="1"/>
      <c r="H94" s="1"/>
      <c r="I94" s="29"/>
      <c r="J94" s="20" t="str">
        <f aca="false">IF(D94="","",IFERROR(INDEX(Settings!$D$36:$D$45,MATCH(D94,Settings!$A$36:$A$45,0)),0))</f>
        <v/>
      </c>
      <c r="K94" s="20" t="str">
        <f aca="false">IF(J94="","",IF(H94="",J94,J94*(1-IF(I94="",Settings!$B$6,I94))))</f>
        <v/>
      </c>
      <c r="L94" s="20" t="str">
        <f aca="false">IF(OR(J94="",H94=""),"",J94-K94)</f>
        <v/>
      </c>
      <c r="M94" s="1"/>
    </row>
    <row r="95" customFormat="false" ht="15" hidden="false" customHeight="false" outlineLevel="0" collapsed="false">
      <c r="A95" s="27"/>
      <c r="B95" s="1"/>
      <c r="C95" s="24" t="str">
        <f aca="false">IF(B95="","",IFERROR(INDEX(Patients!$B$2:$B$501,MATCH(B95,Patients!$A$2:$A$501,0))&amp;"",""))</f>
        <v/>
      </c>
      <c r="D95" s="1"/>
      <c r="E95" s="1"/>
      <c r="F95" s="28"/>
      <c r="G95" s="1"/>
      <c r="H95" s="1"/>
      <c r="I95" s="29"/>
      <c r="J95" s="20" t="str">
        <f aca="false">IF(D95="","",IFERROR(INDEX(Settings!$D$36:$D$45,MATCH(D95,Settings!$A$36:$A$45,0)),0))</f>
        <v/>
      </c>
      <c r="K95" s="20" t="str">
        <f aca="false">IF(J95="","",IF(H95="",J95,J95*(1-IF(I95="",Settings!$B$6,I95))))</f>
        <v/>
      </c>
      <c r="L95" s="20" t="str">
        <f aca="false">IF(OR(J95="",H95=""),"",J95-K95)</f>
        <v/>
      </c>
      <c r="M95" s="1"/>
    </row>
    <row r="96" customFormat="false" ht="15" hidden="false" customHeight="false" outlineLevel="0" collapsed="false">
      <c r="A96" s="27"/>
      <c r="B96" s="1"/>
      <c r="C96" s="24" t="str">
        <f aca="false">IF(B96="","",IFERROR(INDEX(Patients!$B$2:$B$501,MATCH(B96,Patients!$A$2:$A$501,0))&amp;"",""))</f>
        <v/>
      </c>
      <c r="D96" s="1"/>
      <c r="E96" s="1"/>
      <c r="F96" s="28"/>
      <c r="G96" s="1"/>
      <c r="H96" s="1"/>
      <c r="I96" s="29"/>
      <c r="J96" s="20" t="str">
        <f aca="false">IF(D96="","",IFERROR(INDEX(Settings!$D$36:$D$45,MATCH(D96,Settings!$A$36:$A$45,0)),0))</f>
        <v/>
      </c>
      <c r="K96" s="20" t="str">
        <f aca="false">IF(J96="","",IF(H96="",J96,J96*(1-IF(I96="",Settings!$B$6,I96))))</f>
        <v/>
      </c>
      <c r="L96" s="20" t="str">
        <f aca="false">IF(OR(J96="",H96=""),"",J96-K96)</f>
        <v/>
      </c>
      <c r="M96" s="1"/>
    </row>
    <row r="97" customFormat="false" ht="15" hidden="false" customHeight="false" outlineLevel="0" collapsed="false">
      <c r="A97" s="27"/>
      <c r="B97" s="1"/>
      <c r="C97" s="24" t="str">
        <f aca="false">IF(B97="","",IFERROR(INDEX(Patients!$B$2:$B$501,MATCH(B97,Patients!$A$2:$A$501,0))&amp;"",""))</f>
        <v/>
      </c>
      <c r="D97" s="1"/>
      <c r="E97" s="1"/>
      <c r="F97" s="28"/>
      <c r="G97" s="1"/>
      <c r="H97" s="1"/>
      <c r="I97" s="29"/>
      <c r="J97" s="20" t="str">
        <f aca="false">IF(D97="","",IFERROR(INDEX(Settings!$D$36:$D$45,MATCH(D97,Settings!$A$36:$A$45,0)),0))</f>
        <v/>
      </c>
      <c r="K97" s="20" t="str">
        <f aca="false">IF(J97="","",IF(H97="",J97,J97*(1-IF(I97="",Settings!$B$6,I97))))</f>
        <v/>
      </c>
      <c r="L97" s="20" t="str">
        <f aca="false">IF(OR(J97="",H97=""),"",J97-K97)</f>
        <v/>
      </c>
      <c r="M97" s="1"/>
    </row>
    <row r="98" customFormat="false" ht="15" hidden="false" customHeight="false" outlineLevel="0" collapsed="false">
      <c r="A98" s="27"/>
      <c r="B98" s="1"/>
      <c r="C98" s="24" t="str">
        <f aca="false">IF(B98="","",IFERROR(INDEX(Patients!$B$2:$B$501,MATCH(B98,Patients!$A$2:$A$501,0))&amp;"",""))</f>
        <v/>
      </c>
      <c r="D98" s="1"/>
      <c r="E98" s="1"/>
      <c r="F98" s="28"/>
      <c r="G98" s="1"/>
      <c r="H98" s="1"/>
      <c r="I98" s="29"/>
      <c r="J98" s="20" t="str">
        <f aca="false">IF(D98="","",IFERROR(INDEX(Settings!$D$36:$D$45,MATCH(D98,Settings!$A$36:$A$45,0)),0))</f>
        <v/>
      </c>
      <c r="K98" s="20" t="str">
        <f aca="false">IF(J98="","",IF(H98="",J98,J98*(1-IF(I98="",Settings!$B$6,I98))))</f>
        <v/>
      </c>
      <c r="L98" s="20" t="str">
        <f aca="false">IF(OR(J98="",H98=""),"",J98-K98)</f>
        <v/>
      </c>
      <c r="M98" s="1"/>
    </row>
    <row r="99" customFormat="false" ht="15" hidden="false" customHeight="false" outlineLevel="0" collapsed="false">
      <c r="A99" s="27"/>
      <c r="B99" s="1"/>
      <c r="C99" s="24" t="str">
        <f aca="false">IF(B99="","",IFERROR(INDEX(Patients!$B$2:$B$501,MATCH(B99,Patients!$A$2:$A$501,0))&amp;"",""))</f>
        <v/>
      </c>
      <c r="D99" s="1"/>
      <c r="E99" s="1"/>
      <c r="F99" s="28"/>
      <c r="G99" s="1"/>
      <c r="H99" s="1"/>
      <c r="I99" s="29"/>
      <c r="J99" s="20" t="str">
        <f aca="false">IF(D99="","",IFERROR(INDEX(Settings!$D$36:$D$45,MATCH(D99,Settings!$A$36:$A$45,0)),0))</f>
        <v/>
      </c>
      <c r="K99" s="20" t="str">
        <f aca="false">IF(J99="","",IF(H99="",J99,J99*(1-IF(I99="",Settings!$B$6,I99))))</f>
        <v/>
      </c>
      <c r="L99" s="20" t="str">
        <f aca="false">IF(OR(J99="",H99=""),"",J99-K99)</f>
        <v/>
      </c>
      <c r="M99" s="1"/>
    </row>
    <row r="100" customFormat="false" ht="15" hidden="false" customHeight="false" outlineLevel="0" collapsed="false">
      <c r="A100" s="27"/>
      <c r="B100" s="1"/>
      <c r="C100" s="24" t="str">
        <f aca="false">IF(B100="","",IFERROR(INDEX(Patients!$B$2:$B$501,MATCH(B100,Patients!$A$2:$A$501,0))&amp;"",""))</f>
        <v/>
      </c>
      <c r="D100" s="1"/>
      <c r="E100" s="1"/>
      <c r="F100" s="28"/>
      <c r="G100" s="1"/>
      <c r="H100" s="1"/>
      <c r="I100" s="29"/>
      <c r="J100" s="20" t="str">
        <f aca="false">IF(D100="","",IFERROR(INDEX(Settings!$D$36:$D$45,MATCH(D100,Settings!$A$36:$A$45,0)),0))</f>
        <v/>
      </c>
      <c r="K100" s="20" t="str">
        <f aca="false">IF(J100="","",IF(H100="",J100,J100*(1-IF(I100="",Settings!$B$6,I100))))</f>
        <v/>
      </c>
      <c r="L100" s="20" t="str">
        <f aca="false">IF(OR(J100="",H100=""),"",J100-K100)</f>
        <v/>
      </c>
      <c r="M100" s="1"/>
    </row>
    <row r="101" customFormat="false" ht="15" hidden="false" customHeight="false" outlineLevel="0" collapsed="false">
      <c r="A101" s="27"/>
      <c r="B101" s="1"/>
      <c r="C101" s="24" t="str">
        <f aca="false">IF(B101="","",IFERROR(INDEX(Patients!$B$2:$B$501,MATCH(B101,Patients!$A$2:$A$501,0))&amp;"",""))</f>
        <v/>
      </c>
      <c r="D101" s="1"/>
      <c r="E101" s="1"/>
      <c r="F101" s="28"/>
      <c r="G101" s="1"/>
      <c r="H101" s="1"/>
      <c r="I101" s="29"/>
      <c r="J101" s="20" t="str">
        <f aca="false">IF(D101="","",IFERROR(INDEX(Settings!$D$36:$D$45,MATCH(D101,Settings!$A$36:$A$45,0)),0))</f>
        <v/>
      </c>
      <c r="K101" s="20" t="str">
        <f aca="false">IF(J101="","",IF(H101="",J101,J101*(1-IF(I101="",Settings!$B$6,I101))))</f>
        <v/>
      </c>
      <c r="L101" s="20" t="str">
        <f aca="false">IF(OR(J101="",H101=""),"",J101-K101)</f>
        <v/>
      </c>
      <c r="M101" s="1"/>
    </row>
    <row r="102" customFormat="false" ht="15" hidden="false" customHeight="false" outlineLevel="0" collapsed="false">
      <c r="A102" s="27"/>
      <c r="B102" s="1"/>
      <c r="C102" s="24" t="str">
        <f aca="false">IF(B102="","",IFERROR(INDEX(Patients!$B$2:$B$501,MATCH(B102,Patients!$A$2:$A$501,0))&amp;"",""))</f>
        <v/>
      </c>
      <c r="D102" s="1"/>
      <c r="E102" s="1"/>
      <c r="F102" s="28"/>
      <c r="G102" s="1"/>
      <c r="H102" s="1"/>
      <c r="I102" s="29"/>
      <c r="J102" s="20" t="str">
        <f aca="false">IF(D102="","",IFERROR(INDEX(Settings!$D$36:$D$45,MATCH(D102,Settings!$A$36:$A$45,0)),0))</f>
        <v/>
      </c>
      <c r="K102" s="20" t="str">
        <f aca="false">IF(J102="","",IF(H102="",J102,J102*(1-IF(I102="",Settings!$B$6,I102))))</f>
        <v/>
      </c>
      <c r="L102" s="20" t="str">
        <f aca="false">IF(OR(J102="",H102=""),"",J102-K102)</f>
        <v/>
      </c>
      <c r="M102" s="1"/>
    </row>
    <row r="103" customFormat="false" ht="15" hidden="false" customHeight="false" outlineLevel="0" collapsed="false">
      <c r="A103" s="27"/>
      <c r="B103" s="1"/>
      <c r="C103" s="24" t="str">
        <f aca="false">IF(B103="","",IFERROR(INDEX(Patients!$B$2:$B$501,MATCH(B103,Patients!$A$2:$A$501,0))&amp;"",""))</f>
        <v/>
      </c>
      <c r="D103" s="1"/>
      <c r="E103" s="1"/>
      <c r="F103" s="28"/>
      <c r="G103" s="1"/>
      <c r="H103" s="1"/>
      <c r="I103" s="29"/>
      <c r="J103" s="20" t="str">
        <f aca="false">IF(D103="","",IFERROR(INDEX(Settings!$D$36:$D$45,MATCH(D103,Settings!$A$36:$A$45,0)),0))</f>
        <v/>
      </c>
      <c r="K103" s="20" t="str">
        <f aca="false">IF(J103="","",IF(H103="",J103,J103*(1-IF(I103="",Settings!$B$6,I103))))</f>
        <v/>
      </c>
      <c r="L103" s="20" t="str">
        <f aca="false">IF(OR(J103="",H103=""),"",J103-K103)</f>
        <v/>
      </c>
      <c r="M103" s="1"/>
    </row>
    <row r="104" customFormat="false" ht="15" hidden="false" customHeight="false" outlineLevel="0" collapsed="false">
      <c r="A104" s="27"/>
      <c r="B104" s="1"/>
      <c r="C104" s="24" t="str">
        <f aca="false">IF(B104="","",IFERROR(INDEX(Patients!$B$2:$B$501,MATCH(B104,Patients!$A$2:$A$501,0))&amp;"",""))</f>
        <v/>
      </c>
      <c r="D104" s="1"/>
      <c r="E104" s="1"/>
      <c r="F104" s="28"/>
      <c r="G104" s="1"/>
      <c r="H104" s="1"/>
      <c r="I104" s="29"/>
      <c r="J104" s="20" t="str">
        <f aca="false">IF(D104="","",IFERROR(INDEX(Settings!$D$36:$D$45,MATCH(D104,Settings!$A$36:$A$45,0)),0))</f>
        <v/>
      </c>
      <c r="K104" s="20" t="str">
        <f aca="false">IF(J104="","",IF(H104="",J104,J104*(1-IF(I104="",Settings!$B$6,I104))))</f>
        <v/>
      </c>
      <c r="L104" s="20" t="str">
        <f aca="false">IF(OR(J104="",H104=""),"",J104-K104)</f>
        <v/>
      </c>
      <c r="M104" s="1"/>
    </row>
    <row r="105" customFormat="false" ht="15" hidden="false" customHeight="false" outlineLevel="0" collapsed="false">
      <c r="A105" s="27"/>
      <c r="B105" s="1"/>
      <c r="C105" s="24" t="str">
        <f aca="false">IF(B105="","",IFERROR(INDEX(Patients!$B$2:$B$501,MATCH(B105,Patients!$A$2:$A$501,0))&amp;"",""))</f>
        <v/>
      </c>
      <c r="D105" s="1"/>
      <c r="E105" s="1"/>
      <c r="F105" s="28"/>
      <c r="G105" s="1"/>
      <c r="H105" s="1"/>
      <c r="I105" s="29"/>
      <c r="J105" s="20" t="str">
        <f aca="false">IF(D105="","",IFERROR(INDEX(Settings!$D$36:$D$45,MATCH(D105,Settings!$A$36:$A$45,0)),0))</f>
        <v/>
      </c>
      <c r="K105" s="20" t="str">
        <f aca="false">IF(J105="","",IF(H105="",J105,J105*(1-IF(I105="",Settings!$B$6,I105))))</f>
        <v/>
      </c>
      <c r="L105" s="20" t="str">
        <f aca="false">IF(OR(J105="",H105=""),"",J105-K105)</f>
        <v/>
      </c>
      <c r="M105" s="1"/>
    </row>
    <row r="106" customFormat="false" ht="15" hidden="false" customHeight="false" outlineLevel="0" collapsed="false">
      <c r="A106" s="27"/>
      <c r="B106" s="1"/>
      <c r="C106" s="24" t="str">
        <f aca="false">IF(B106="","",IFERROR(INDEX(Patients!$B$2:$B$501,MATCH(B106,Patients!$A$2:$A$501,0))&amp;"",""))</f>
        <v/>
      </c>
      <c r="D106" s="1"/>
      <c r="E106" s="1"/>
      <c r="F106" s="28"/>
      <c r="G106" s="1"/>
      <c r="H106" s="1"/>
      <c r="I106" s="29"/>
      <c r="J106" s="20" t="str">
        <f aca="false">IF(D106="","",IFERROR(INDEX(Settings!$D$36:$D$45,MATCH(D106,Settings!$A$36:$A$45,0)),0))</f>
        <v/>
      </c>
      <c r="K106" s="20" t="str">
        <f aca="false">IF(J106="","",IF(H106="",J106,J106*(1-IF(I106="",Settings!$B$6,I106))))</f>
        <v/>
      </c>
      <c r="L106" s="20" t="str">
        <f aca="false">IF(OR(J106="",H106=""),"",J106-K106)</f>
        <v/>
      </c>
      <c r="M106" s="1"/>
    </row>
    <row r="107" customFormat="false" ht="15" hidden="false" customHeight="false" outlineLevel="0" collapsed="false">
      <c r="A107" s="27"/>
      <c r="B107" s="1"/>
      <c r="C107" s="24" t="str">
        <f aca="false">IF(B107="","",IFERROR(INDEX(Patients!$B$2:$B$501,MATCH(B107,Patients!$A$2:$A$501,0))&amp;"",""))</f>
        <v/>
      </c>
      <c r="D107" s="1"/>
      <c r="E107" s="1"/>
      <c r="F107" s="28"/>
      <c r="G107" s="1"/>
      <c r="H107" s="1"/>
      <c r="I107" s="29"/>
      <c r="J107" s="20" t="str">
        <f aca="false">IF(D107="","",IFERROR(INDEX(Settings!$D$36:$D$45,MATCH(D107,Settings!$A$36:$A$45,0)),0))</f>
        <v/>
      </c>
      <c r="K107" s="20" t="str">
        <f aca="false">IF(J107="","",IF(H107="",J107,J107*(1-IF(I107="",Settings!$B$6,I107))))</f>
        <v/>
      </c>
      <c r="L107" s="20" t="str">
        <f aca="false">IF(OR(J107="",H107=""),"",J107-K107)</f>
        <v/>
      </c>
      <c r="M107" s="1"/>
    </row>
    <row r="108" customFormat="false" ht="15" hidden="false" customHeight="false" outlineLevel="0" collapsed="false">
      <c r="A108" s="27"/>
      <c r="B108" s="1"/>
      <c r="C108" s="24" t="str">
        <f aca="false">IF(B108="","",IFERROR(INDEX(Patients!$B$2:$B$501,MATCH(B108,Patients!$A$2:$A$501,0))&amp;"",""))</f>
        <v/>
      </c>
      <c r="D108" s="1"/>
      <c r="E108" s="1"/>
      <c r="F108" s="28"/>
      <c r="G108" s="1"/>
      <c r="H108" s="1"/>
      <c r="I108" s="29"/>
      <c r="J108" s="20" t="str">
        <f aca="false">IF(D108="","",IFERROR(INDEX(Settings!$D$36:$D$45,MATCH(D108,Settings!$A$36:$A$45,0)),0))</f>
        <v/>
      </c>
      <c r="K108" s="20" t="str">
        <f aca="false">IF(J108="","",IF(H108="",J108,J108*(1-IF(I108="",Settings!$B$6,I108))))</f>
        <v/>
      </c>
      <c r="L108" s="20" t="str">
        <f aca="false">IF(OR(J108="",H108=""),"",J108-K108)</f>
        <v/>
      </c>
      <c r="M108" s="1"/>
    </row>
    <row r="109" customFormat="false" ht="15" hidden="false" customHeight="false" outlineLevel="0" collapsed="false">
      <c r="A109" s="27"/>
      <c r="B109" s="1"/>
      <c r="C109" s="24" t="str">
        <f aca="false">IF(B109="","",IFERROR(INDEX(Patients!$B$2:$B$501,MATCH(B109,Patients!$A$2:$A$501,0))&amp;"",""))</f>
        <v/>
      </c>
      <c r="D109" s="1"/>
      <c r="E109" s="1"/>
      <c r="F109" s="28"/>
      <c r="G109" s="1"/>
      <c r="H109" s="1"/>
      <c r="I109" s="29"/>
      <c r="J109" s="20" t="str">
        <f aca="false">IF(D109="","",IFERROR(INDEX(Settings!$D$36:$D$45,MATCH(D109,Settings!$A$36:$A$45,0)),0))</f>
        <v/>
      </c>
      <c r="K109" s="20" t="str">
        <f aca="false">IF(J109="","",IF(H109="",J109,J109*(1-IF(I109="",Settings!$B$6,I109))))</f>
        <v/>
      </c>
      <c r="L109" s="20" t="str">
        <f aca="false">IF(OR(J109="",H109=""),"",J109-K109)</f>
        <v/>
      </c>
      <c r="M109" s="1"/>
    </row>
    <row r="110" customFormat="false" ht="15" hidden="false" customHeight="false" outlineLevel="0" collapsed="false">
      <c r="A110" s="27"/>
      <c r="B110" s="1"/>
      <c r="C110" s="24" t="str">
        <f aca="false">IF(B110="","",IFERROR(INDEX(Patients!$B$2:$B$501,MATCH(B110,Patients!$A$2:$A$501,0))&amp;"",""))</f>
        <v/>
      </c>
      <c r="D110" s="1"/>
      <c r="E110" s="1"/>
      <c r="F110" s="28"/>
      <c r="G110" s="1"/>
      <c r="H110" s="1"/>
      <c r="I110" s="29"/>
      <c r="J110" s="20" t="str">
        <f aca="false">IF(D110="","",IFERROR(INDEX(Settings!$D$36:$D$45,MATCH(D110,Settings!$A$36:$A$45,0)),0))</f>
        <v/>
      </c>
      <c r="K110" s="20" t="str">
        <f aca="false">IF(J110="","",IF(H110="",J110,J110*(1-IF(I110="",Settings!$B$6,I110))))</f>
        <v/>
      </c>
      <c r="L110" s="20" t="str">
        <f aca="false">IF(OR(J110="",H110=""),"",J110-K110)</f>
        <v/>
      </c>
      <c r="M110" s="1"/>
    </row>
    <row r="111" customFormat="false" ht="15" hidden="false" customHeight="false" outlineLevel="0" collapsed="false">
      <c r="A111" s="27"/>
      <c r="B111" s="1"/>
      <c r="C111" s="24" t="str">
        <f aca="false">IF(B111="","",IFERROR(INDEX(Patients!$B$2:$B$501,MATCH(B111,Patients!$A$2:$A$501,0))&amp;"",""))</f>
        <v/>
      </c>
      <c r="D111" s="1"/>
      <c r="E111" s="1"/>
      <c r="F111" s="28"/>
      <c r="G111" s="1"/>
      <c r="H111" s="1"/>
      <c r="I111" s="29"/>
      <c r="J111" s="20" t="str">
        <f aca="false">IF(D111="","",IFERROR(INDEX(Settings!$D$36:$D$45,MATCH(D111,Settings!$A$36:$A$45,0)),0))</f>
        <v/>
      </c>
      <c r="K111" s="20" t="str">
        <f aca="false">IF(J111="","",IF(H111="",J111,J111*(1-IF(I111="",Settings!$B$6,I111))))</f>
        <v/>
      </c>
      <c r="L111" s="20" t="str">
        <f aca="false">IF(OR(J111="",H111=""),"",J111-K111)</f>
        <v/>
      </c>
      <c r="M111" s="1"/>
    </row>
    <row r="112" customFormat="false" ht="15" hidden="false" customHeight="false" outlineLevel="0" collapsed="false">
      <c r="A112" s="27"/>
      <c r="B112" s="1"/>
      <c r="C112" s="24" t="str">
        <f aca="false">IF(B112="","",IFERROR(INDEX(Patients!$B$2:$B$501,MATCH(B112,Patients!$A$2:$A$501,0))&amp;"",""))</f>
        <v/>
      </c>
      <c r="D112" s="1"/>
      <c r="E112" s="1"/>
      <c r="F112" s="28"/>
      <c r="G112" s="1"/>
      <c r="H112" s="1"/>
      <c r="I112" s="29"/>
      <c r="J112" s="20" t="str">
        <f aca="false">IF(D112="","",IFERROR(INDEX(Settings!$D$36:$D$45,MATCH(D112,Settings!$A$36:$A$45,0)),0))</f>
        <v/>
      </c>
      <c r="K112" s="20" t="str">
        <f aca="false">IF(J112="","",IF(H112="",J112,J112*(1-IF(I112="",Settings!$B$6,I112))))</f>
        <v/>
      </c>
      <c r="L112" s="20" t="str">
        <f aca="false">IF(OR(J112="",H112=""),"",J112-K112)</f>
        <v/>
      </c>
      <c r="M112" s="1"/>
    </row>
    <row r="113" customFormat="false" ht="15" hidden="false" customHeight="false" outlineLevel="0" collapsed="false">
      <c r="A113" s="27"/>
      <c r="B113" s="1"/>
      <c r="C113" s="24" t="str">
        <f aca="false">IF(B113="","",IFERROR(INDEX(Patients!$B$2:$B$501,MATCH(B113,Patients!$A$2:$A$501,0))&amp;"",""))</f>
        <v/>
      </c>
      <c r="D113" s="1"/>
      <c r="E113" s="1"/>
      <c r="F113" s="28"/>
      <c r="G113" s="1"/>
      <c r="H113" s="1"/>
      <c r="I113" s="29"/>
      <c r="J113" s="20" t="str">
        <f aca="false">IF(D113="","",IFERROR(INDEX(Settings!$D$36:$D$45,MATCH(D113,Settings!$A$36:$A$45,0)),0))</f>
        <v/>
      </c>
      <c r="K113" s="20" t="str">
        <f aca="false">IF(J113="","",IF(H113="",J113,J113*(1-IF(I113="",Settings!$B$6,I113))))</f>
        <v/>
      </c>
      <c r="L113" s="20" t="str">
        <f aca="false">IF(OR(J113="",H113=""),"",J113-K113)</f>
        <v/>
      </c>
      <c r="M113" s="1"/>
    </row>
    <row r="114" customFormat="false" ht="15" hidden="false" customHeight="false" outlineLevel="0" collapsed="false">
      <c r="A114" s="27"/>
      <c r="B114" s="1"/>
      <c r="C114" s="24" t="str">
        <f aca="false">IF(B114="","",IFERROR(INDEX(Patients!$B$2:$B$501,MATCH(B114,Patients!$A$2:$A$501,0))&amp;"",""))</f>
        <v/>
      </c>
      <c r="D114" s="1"/>
      <c r="E114" s="1"/>
      <c r="F114" s="28"/>
      <c r="G114" s="1"/>
      <c r="H114" s="1"/>
      <c r="I114" s="29"/>
      <c r="J114" s="20" t="str">
        <f aca="false">IF(D114="","",IFERROR(INDEX(Settings!$D$36:$D$45,MATCH(D114,Settings!$A$36:$A$45,0)),0))</f>
        <v/>
      </c>
      <c r="K114" s="20" t="str">
        <f aca="false">IF(J114="","",IF(H114="",J114,J114*(1-IF(I114="",Settings!$B$6,I114))))</f>
        <v/>
      </c>
      <c r="L114" s="20" t="str">
        <f aca="false">IF(OR(J114="",H114=""),"",J114-K114)</f>
        <v/>
      </c>
      <c r="M114" s="1"/>
    </row>
    <row r="115" customFormat="false" ht="15" hidden="false" customHeight="false" outlineLevel="0" collapsed="false">
      <c r="A115" s="27"/>
      <c r="B115" s="1"/>
      <c r="C115" s="24" t="str">
        <f aca="false">IF(B115="","",IFERROR(INDEX(Patients!$B$2:$B$501,MATCH(B115,Patients!$A$2:$A$501,0))&amp;"",""))</f>
        <v/>
      </c>
      <c r="D115" s="1"/>
      <c r="E115" s="1"/>
      <c r="F115" s="28"/>
      <c r="G115" s="1"/>
      <c r="H115" s="1"/>
      <c r="I115" s="29"/>
      <c r="J115" s="20" t="str">
        <f aca="false">IF(D115="","",IFERROR(INDEX(Settings!$D$36:$D$45,MATCH(D115,Settings!$A$36:$A$45,0)),0))</f>
        <v/>
      </c>
      <c r="K115" s="20" t="str">
        <f aca="false">IF(J115="","",IF(H115="",J115,J115*(1-IF(I115="",Settings!$B$6,I115))))</f>
        <v/>
      </c>
      <c r="L115" s="20" t="str">
        <f aca="false">IF(OR(J115="",H115=""),"",J115-K115)</f>
        <v/>
      </c>
      <c r="M115" s="1"/>
    </row>
    <row r="116" customFormat="false" ht="15" hidden="false" customHeight="false" outlineLevel="0" collapsed="false">
      <c r="A116" s="27"/>
      <c r="B116" s="1"/>
      <c r="C116" s="24" t="str">
        <f aca="false">IF(B116="","",IFERROR(INDEX(Patients!$B$2:$B$501,MATCH(B116,Patients!$A$2:$A$501,0))&amp;"",""))</f>
        <v/>
      </c>
      <c r="D116" s="1"/>
      <c r="E116" s="1"/>
      <c r="F116" s="28"/>
      <c r="G116" s="1"/>
      <c r="H116" s="1"/>
      <c r="I116" s="29"/>
      <c r="J116" s="20" t="str">
        <f aca="false">IF(D116="","",IFERROR(INDEX(Settings!$D$36:$D$45,MATCH(D116,Settings!$A$36:$A$45,0)),0))</f>
        <v/>
      </c>
      <c r="K116" s="20" t="str">
        <f aca="false">IF(J116="","",IF(H116="",J116,J116*(1-IF(I116="",Settings!$B$6,I116))))</f>
        <v/>
      </c>
      <c r="L116" s="20" t="str">
        <f aca="false">IF(OR(J116="",H116=""),"",J116-K116)</f>
        <v/>
      </c>
      <c r="M116" s="1"/>
    </row>
    <row r="117" customFormat="false" ht="15" hidden="false" customHeight="false" outlineLevel="0" collapsed="false">
      <c r="A117" s="27"/>
      <c r="B117" s="1"/>
      <c r="C117" s="24" t="str">
        <f aca="false">IF(B117="","",IFERROR(INDEX(Patients!$B$2:$B$501,MATCH(B117,Patients!$A$2:$A$501,0))&amp;"",""))</f>
        <v/>
      </c>
      <c r="D117" s="1"/>
      <c r="E117" s="1"/>
      <c r="F117" s="28"/>
      <c r="G117" s="1"/>
      <c r="H117" s="1"/>
      <c r="I117" s="29"/>
      <c r="J117" s="20" t="str">
        <f aca="false">IF(D117="","",IFERROR(INDEX(Settings!$D$36:$D$45,MATCH(D117,Settings!$A$36:$A$45,0)),0))</f>
        <v/>
      </c>
      <c r="K117" s="20" t="str">
        <f aca="false">IF(J117="","",IF(H117="",J117,J117*(1-IF(I117="",Settings!$B$6,I117))))</f>
        <v/>
      </c>
      <c r="L117" s="20" t="str">
        <f aca="false">IF(OR(J117="",H117=""),"",J117-K117)</f>
        <v/>
      </c>
      <c r="M117" s="1"/>
    </row>
    <row r="118" customFormat="false" ht="15" hidden="false" customHeight="false" outlineLevel="0" collapsed="false">
      <c r="A118" s="27"/>
      <c r="B118" s="1"/>
      <c r="C118" s="24" t="str">
        <f aca="false">IF(B118="","",IFERROR(INDEX(Patients!$B$2:$B$501,MATCH(B118,Patients!$A$2:$A$501,0))&amp;"",""))</f>
        <v/>
      </c>
      <c r="D118" s="1"/>
      <c r="E118" s="1"/>
      <c r="F118" s="28"/>
      <c r="G118" s="1"/>
      <c r="H118" s="1"/>
      <c r="I118" s="29"/>
      <c r="J118" s="20" t="str">
        <f aca="false">IF(D118="","",IFERROR(INDEX(Settings!$D$36:$D$45,MATCH(D118,Settings!$A$36:$A$45,0)),0))</f>
        <v/>
      </c>
      <c r="K118" s="20" t="str">
        <f aca="false">IF(J118="","",IF(H118="",J118,J118*(1-IF(I118="",Settings!$B$6,I118))))</f>
        <v/>
      </c>
      <c r="L118" s="20" t="str">
        <f aca="false">IF(OR(J118="",H118=""),"",J118-K118)</f>
        <v/>
      </c>
      <c r="M118" s="1"/>
    </row>
    <row r="119" customFormat="false" ht="15" hidden="false" customHeight="false" outlineLevel="0" collapsed="false">
      <c r="A119" s="27"/>
      <c r="B119" s="1"/>
      <c r="C119" s="24" t="str">
        <f aca="false">IF(B119="","",IFERROR(INDEX(Patients!$B$2:$B$501,MATCH(B119,Patients!$A$2:$A$501,0))&amp;"",""))</f>
        <v/>
      </c>
      <c r="D119" s="1"/>
      <c r="E119" s="1"/>
      <c r="F119" s="28"/>
      <c r="G119" s="1"/>
      <c r="H119" s="1"/>
      <c r="I119" s="29"/>
      <c r="J119" s="20" t="str">
        <f aca="false">IF(D119="","",IFERROR(INDEX(Settings!$D$36:$D$45,MATCH(D119,Settings!$A$36:$A$45,0)),0))</f>
        <v/>
      </c>
      <c r="K119" s="20" t="str">
        <f aca="false">IF(J119="","",IF(H119="",J119,J119*(1-IF(I119="",Settings!$B$6,I119))))</f>
        <v/>
      </c>
      <c r="L119" s="20" t="str">
        <f aca="false">IF(OR(J119="",H119=""),"",J119-K119)</f>
        <v/>
      </c>
      <c r="M119" s="1"/>
    </row>
    <row r="120" customFormat="false" ht="15" hidden="false" customHeight="false" outlineLevel="0" collapsed="false">
      <c r="A120" s="27"/>
      <c r="B120" s="1"/>
      <c r="C120" s="24" t="str">
        <f aca="false">IF(B120="","",IFERROR(INDEX(Patients!$B$2:$B$501,MATCH(B120,Patients!$A$2:$A$501,0))&amp;"",""))</f>
        <v/>
      </c>
      <c r="D120" s="1"/>
      <c r="E120" s="1"/>
      <c r="F120" s="28"/>
      <c r="G120" s="1"/>
      <c r="H120" s="1"/>
      <c r="I120" s="29"/>
      <c r="J120" s="20" t="str">
        <f aca="false">IF(D120="","",IFERROR(INDEX(Settings!$D$36:$D$45,MATCH(D120,Settings!$A$36:$A$45,0)),0))</f>
        <v/>
      </c>
      <c r="K120" s="20" t="str">
        <f aca="false">IF(J120="","",IF(H120="",J120,J120*(1-IF(I120="",Settings!$B$6,I120))))</f>
        <v/>
      </c>
      <c r="L120" s="20" t="str">
        <f aca="false">IF(OR(J120="",H120=""),"",J120-K120)</f>
        <v/>
      </c>
      <c r="M120" s="1"/>
    </row>
    <row r="121" customFormat="false" ht="15" hidden="false" customHeight="false" outlineLevel="0" collapsed="false">
      <c r="A121" s="27"/>
      <c r="B121" s="1"/>
      <c r="C121" s="24" t="str">
        <f aca="false">IF(B121="","",IFERROR(INDEX(Patients!$B$2:$B$501,MATCH(B121,Patients!$A$2:$A$501,0))&amp;"",""))</f>
        <v/>
      </c>
      <c r="D121" s="1"/>
      <c r="E121" s="1"/>
      <c r="F121" s="28"/>
      <c r="G121" s="1"/>
      <c r="H121" s="1"/>
      <c r="I121" s="29"/>
      <c r="J121" s="20" t="str">
        <f aca="false">IF(D121="","",IFERROR(INDEX(Settings!$D$36:$D$45,MATCH(D121,Settings!$A$36:$A$45,0)),0))</f>
        <v/>
      </c>
      <c r="K121" s="20" t="str">
        <f aca="false">IF(J121="","",IF(H121="",J121,J121*(1-IF(I121="",Settings!$B$6,I121))))</f>
        <v/>
      </c>
      <c r="L121" s="20" t="str">
        <f aca="false">IF(OR(J121="",H121=""),"",J121-K121)</f>
        <v/>
      </c>
      <c r="M121" s="1"/>
    </row>
    <row r="122" customFormat="false" ht="15" hidden="false" customHeight="false" outlineLevel="0" collapsed="false">
      <c r="A122" s="27"/>
      <c r="B122" s="1"/>
      <c r="C122" s="24" t="str">
        <f aca="false">IF(B122="","",IFERROR(INDEX(Patients!$B$2:$B$501,MATCH(B122,Patients!$A$2:$A$501,0))&amp;"",""))</f>
        <v/>
      </c>
      <c r="D122" s="1"/>
      <c r="E122" s="1"/>
      <c r="F122" s="28"/>
      <c r="G122" s="1"/>
      <c r="H122" s="1"/>
      <c r="I122" s="29"/>
      <c r="J122" s="20" t="str">
        <f aca="false">IF(D122="","",IFERROR(INDEX(Settings!$D$36:$D$45,MATCH(D122,Settings!$A$36:$A$45,0)),0))</f>
        <v/>
      </c>
      <c r="K122" s="20" t="str">
        <f aca="false">IF(J122="","",IF(H122="",J122,J122*(1-IF(I122="",Settings!$B$6,I122))))</f>
        <v/>
      </c>
      <c r="L122" s="20" t="str">
        <f aca="false">IF(OR(J122="",H122=""),"",J122-K122)</f>
        <v/>
      </c>
      <c r="M122" s="1"/>
    </row>
    <row r="123" customFormat="false" ht="15" hidden="false" customHeight="false" outlineLevel="0" collapsed="false">
      <c r="A123" s="27"/>
      <c r="B123" s="1"/>
      <c r="C123" s="24" t="str">
        <f aca="false">IF(B123="","",IFERROR(INDEX(Patients!$B$2:$B$501,MATCH(B123,Patients!$A$2:$A$501,0))&amp;"",""))</f>
        <v/>
      </c>
      <c r="D123" s="1"/>
      <c r="E123" s="1"/>
      <c r="F123" s="28"/>
      <c r="G123" s="1"/>
      <c r="H123" s="1"/>
      <c r="I123" s="29"/>
      <c r="J123" s="20" t="str">
        <f aca="false">IF(D123="","",IFERROR(INDEX(Settings!$D$36:$D$45,MATCH(D123,Settings!$A$36:$A$45,0)),0))</f>
        <v/>
      </c>
      <c r="K123" s="20" t="str">
        <f aca="false">IF(J123="","",IF(H123="",J123,J123*(1-IF(I123="",Settings!$B$6,I123))))</f>
        <v/>
      </c>
      <c r="L123" s="20" t="str">
        <f aca="false">IF(OR(J123="",H123=""),"",J123-K123)</f>
        <v/>
      </c>
      <c r="M123" s="1"/>
    </row>
    <row r="124" customFormat="false" ht="15" hidden="false" customHeight="false" outlineLevel="0" collapsed="false">
      <c r="A124" s="27"/>
      <c r="B124" s="1"/>
      <c r="C124" s="24" t="str">
        <f aca="false">IF(B124="","",IFERROR(INDEX(Patients!$B$2:$B$501,MATCH(B124,Patients!$A$2:$A$501,0))&amp;"",""))</f>
        <v/>
      </c>
      <c r="D124" s="1"/>
      <c r="E124" s="1"/>
      <c r="F124" s="28"/>
      <c r="G124" s="1"/>
      <c r="H124" s="1"/>
      <c r="I124" s="29"/>
      <c r="J124" s="20" t="str">
        <f aca="false">IF(D124="","",IFERROR(INDEX(Settings!$D$36:$D$45,MATCH(D124,Settings!$A$36:$A$45,0)),0))</f>
        <v/>
      </c>
      <c r="K124" s="20" t="str">
        <f aca="false">IF(J124="","",IF(H124="",J124,J124*(1-IF(I124="",Settings!$B$6,I124))))</f>
        <v/>
      </c>
      <c r="L124" s="20" t="str">
        <f aca="false">IF(OR(J124="",H124=""),"",J124-K124)</f>
        <v/>
      </c>
      <c r="M124" s="1"/>
    </row>
    <row r="125" customFormat="false" ht="15" hidden="false" customHeight="false" outlineLevel="0" collapsed="false">
      <c r="A125" s="27"/>
      <c r="B125" s="1"/>
      <c r="C125" s="24" t="str">
        <f aca="false">IF(B125="","",IFERROR(INDEX(Patients!$B$2:$B$501,MATCH(B125,Patients!$A$2:$A$501,0))&amp;"",""))</f>
        <v/>
      </c>
      <c r="D125" s="1"/>
      <c r="E125" s="1"/>
      <c r="F125" s="28"/>
      <c r="G125" s="1"/>
      <c r="H125" s="1"/>
      <c r="I125" s="29"/>
      <c r="J125" s="20" t="str">
        <f aca="false">IF(D125="","",IFERROR(INDEX(Settings!$D$36:$D$45,MATCH(D125,Settings!$A$36:$A$45,0)),0))</f>
        <v/>
      </c>
      <c r="K125" s="20" t="str">
        <f aca="false">IF(J125="","",IF(H125="",J125,J125*(1-IF(I125="",Settings!$B$6,I125))))</f>
        <v/>
      </c>
      <c r="L125" s="20" t="str">
        <f aca="false">IF(OR(J125="",H125=""),"",J125-K125)</f>
        <v/>
      </c>
      <c r="M125" s="1"/>
    </row>
    <row r="126" customFormat="false" ht="15" hidden="false" customHeight="false" outlineLevel="0" collapsed="false">
      <c r="A126" s="27"/>
      <c r="B126" s="1"/>
      <c r="C126" s="24" t="str">
        <f aca="false">IF(B126="","",IFERROR(INDEX(Patients!$B$2:$B$501,MATCH(B126,Patients!$A$2:$A$501,0))&amp;"",""))</f>
        <v/>
      </c>
      <c r="D126" s="1"/>
      <c r="E126" s="1"/>
      <c r="F126" s="28"/>
      <c r="G126" s="1"/>
      <c r="H126" s="1"/>
      <c r="I126" s="29"/>
      <c r="J126" s="20" t="str">
        <f aca="false">IF(D126="","",IFERROR(INDEX(Settings!$D$36:$D$45,MATCH(D126,Settings!$A$36:$A$45,0)),0))</f>
        <v/>
      </c>
      <c r="K126" s="20" t="str">
        <f aca="false">IF(J126="","",IF(H126="",J126,J126*(1-IF(I126="",Settings!$B$6,I126))))</f>
        <v/>
      </c>
      <c r="L126" s="20" t="str">
        <f aca="false">IF(OR(J126="",H126=""),"",J126-K126)</f>
        <v/>
      </c>
      <c r="M126" s="1"/>
    </row>
    <row r="127" customFormat="false" ht="15" hidden="false" customHeight="false" outlineLevel="0" collapsed="false">
      <c r="A127" s="27"/>
      <c r="B127" s="1"/>
      <c r="C127" s="24" t="str">
        <f aca="false">IF(B127="","",IFERROR(INDEX(Patients!$B$2:$B$501,MATCH(B127,Patients!$A$2:$A$501,0))&amp;"",""))</f>
        <v/>
      </c>
      <c r="D127" s="1"/>
      <c r="E127" s="1"/>
      <c r="F127" s="28"/>
      <c r="G127" s="1"/>
      <c r="H127" s="1"/>
      <c r="I127" s="29"/>
      <c r="J127" s="20" t="str">
        <f aca="false">IF(D127="","",IFERROR(INDEX(Settings!$D$36:$D$45,MATCH(D127,Settings!$A$36:$A$45,0)),0))</f>
        <v/>
      </c>
      <c r="K127" s="20" t="str">
        <f aca="false">IF(J127="","",IF(H127="",J127,J127*(1-IF(I127="",Settings!$B$6,I127))))</f>
        <v/>
      </c>
      <c r="L127" s="20" t="str">
        <f aca="false">IF(OR(J127="",H127=""),"",J127-K127)</f>
        <v/>
      </c>
      <c r="M127" s="1"/>
    </row>
    <row r="128" customFormat="false" ht="15" hidden="false" customHeight="false" outlineLevel="0" collapsed="false">
      <c r="A128" s="27"/>
      <c r="B128" s="1"/>
      <c r="C128" s="24" t="str">
        <f aca="false">IF(B128="","",IFERROR(INDEX(Patients!$B$2:$B$501,MATCH(B128,Patients!$A$2:$A$501,0))&amp;"",""))</f>
        <v/>
      </c>
      <c r="D128" s="1"/>
      <c r="E128" s="1"/>
      <c r="F128" s="28"/>
      <c r="G128" s="1"/>
      <c r="H128" s="1"/>
      <c r="I128" s="29"/>
      <c r="J128" s="20" t="str">
        <f aca="false">IF(D128="","",IFERROR(INDEX(Settings!$D$36:$D$45,MATCH(D128,Settings!$A$36:$A$45,0)),0))</f>
        <v/>
      </c>
      <c r="K128" s="20" t="str">
        <f aca="false">IF(J128="","",IF(H128="",J128,J128*(1-IF(I128="",Settings!$B$6,I128))))</f>
        <v/>
      </c>
      <c r="L128" s="20" t="str">
        <f aca="false">IF(OR(J128="",H128=""),"",J128-K128)</f>
        <v/>
      </c>
      <c r="M128" s="1"/>
    </row>
    <row r="129" customFormat="false" ht="15" hidden="false" customHeight="false" outlineLevel="0" collapsed="false">
      <c r="A129" s="27"/>
      <c r="B129" s="1"/>
      <c r="C129" s="24" t="str">
        <f aca="false">IF(B129="","",IFERROR(INDEX(Patients!$B$2:$B$501,MATCH(B129,Patients!$A$2:$A$501,0))&amp;"",""))</f>
        <v/>
      </c>
      <c r="D129" s="1"/>
      <c r="E129" s="1"/>
      <c r="F129" s="28"/>
      <c r="G129" s="1"/>
      <c r="H129" s="1"/>
      <c r="I129" s="29"/>
      <c r="J129" s="20" t="str">
        <f aca="false">IF(D129="","",IFERROR(INDEX(Settings!$D$36:$D$45,MATCH(D129,Settings!$A$36:$A$45,0)),0))</f>
        <v/>
      </c>
      <c r="K129" s="20" t="str">
        <f aca="false">IF(J129="","",IF(H129="",J129,J129*(1-IF(I129="",Settings!$B$6,I129))))</f>
        <v/>
      </c>
      <c r="L129" s="20" t="str">
        <f aca="false">IF(OR(J129="",H129=""),"",J129-K129)</f>
        <v/>
      </c>
      <c r="M129" s="1"/>
    </row>
    <row r="130" customFormat="false" ht="15" hidden="false" customHeight="false" outlineLevel="0" collapsed="false">
      <c r="A130" s="27"/>
      <c r="B130" s="1"/>
      <c r="C130" s="24" t="str">
        <f aca="false">IF(B130="","",IFERROR(INDEX(Patients!$B$2:$B$501,MATCH(B130,Patients!$A$2:$A$501,0))&amp;"",""))</f>
        <v/>
      </c>
      <c r="D130" s="1"/>
      <c r="E130" s="1"/>
      <c r="F130" s="28"/>
      <c r="G130" s="1"/>
      <c r="H130" s="1"/>
      <c r="I130" s="29"/>
      <c r="J130" s="20" t="str">
        <f aca="false">IF(D130="","",IFERROR(INDEX(Settings!$D$36:$D$45,MATCH(D130,Settings!$A$36:$A$45,0)),0))</f>
        <v/>
      </c>
      <c r="K130" s="20" t="str">
        <f aca="false">IF(J130="","",IF(H130="",J130,J130*(1-IF(I130="",Settings!$B$6,I130))))</f>
        <v/>
      </c>
      <c r="L130" s="20" t="str">
        <f aca="false">IF(OR(J130="",H130=""),"",J130-K130)</f>
        <v/>
      </c>
      <c r="M130" s="1"/>
    </row>
    <row r="131" customFormat="false" ht="15" hidden="false" customHeight="false" outlineLevel="0" collapsed="false">
      <c r="A131" s="27"/>
      <c r="B131" s="1"/>
      <c r="C131" s="24" t="str">
        <f aca="false">IF(B131="","",IFERROR(INDEX(Patients!$B$2:$B$501,MATCH(B131,Patients!$A$2:$A$501,0))&amp;"",""))</f>
        <v/>
      </c>
      <c r="D131" s="1"/>
      <c r="E131" s="1"/>
      <c r="F131" s="28"/>
      <c r="G131" s="1"/>
      <c r="H131" s="1"/>
      <c r="I131" s="29"/>
      <c r="J131" s="20" t="str">
        <f aca="false">IF(D131="","",IFERROR(INDEX(Settings!$D$36:$D$45,MATCH(D131,Settings!$A$36:$A$45,0)),0))</f>
        <v/>
      </c>
      <c r="K131" s="20" t="str">
        <f aca="false">IF(J131="","",IF(H131="",J131,J131*(1-IF(I131="",Settings!$B$6,I131))))</f>
        <v/>
      </c>
      <c r="L131" s="20" t="str">
        <f aca="false">IF(OR(J131="",H131=""),"",J131-K131)</f>
        <v/>
      </c>
      <c r="M131" s="1"/>
    </row>
    <row r="132" customFormat="false" ht="15" hidden="false" customHeight="false" outlineLevel="0" collapsed="false">
      <c r="A132" s="27"/>
      <c r="B132" s="1"/>
      <c r="C132" s="24" t="str">
        <f aca="false">IF(B132="","",IFERROR(INDEX(Patients!$B$2:$B$501,MATCH(B132,Patients!$A$2:$A$501,0))&amp;"",""))</f>
        <v/>
      </c>
      <c r="D132" s="1"/>
      <c r="E132" s="1"/>
      <c r="F132" s="28"/>
      <c r="G132" s="1"/>
      <c r="H132" s="1"/>
      <c r="I132" s="29"/>
      <c r="J132" s="20" t="str">
        <f aca="false">IF(D132="","",IFERROR(INDEX(Settings!$D$36:$D$45,MATCH(D132,Settings!$A$36:$A$45,0)),0))</f>
        <v/>
      </c>
      <c r="K132" s="20" t="str">
        <f aca="false">IF(J132="","",IF(H132="",J132,J132*(1-IF(I132="",Settings!$B$6,I132))))</f>
        <v/>
      </c>
      <c r="L132" s="20" t="str">
        <f aca="false">IF(OR(J132="",H132=""),"",J132-K132)</f>
        <v/>
      </c>
      <c r="M132" s="1"/>
    </row>
    <row r="133" customFormat="false" ht="15" hidden="false" customHeight="false" outlineLevel="0" collapsed="false">
      <c r="A133" s="27"/>
      <c r="B133" s="1"/>
      <c r="C133" s="24" t="str">
        <f aca="false">IF(B133="","",IFERROR(INDEX(Patients!$B$2:$B$501,MATCH(B133,Patients!$A$2:$A$501,0))&amp;"",""))</f>
        <v/>
      </c>
      <c r="D133" s="1"/>
      <c r="E133" s="1"/>
      <c r="F133" s="28"/>
      <c r="G133" s="1"/>
      <c r="H133" s="1"/>
      <c r="I133" s="29"/>
      <c r="J133" s="20" t="str">
        <f aca="false">IF(D133="","",IFERROR(INDEX(Settings!$D$36:$D$45,MATCH(D133,Settings!$A$36:$A$45,0)),0))</f>
        <v/>
      </c>
      <c r="K133" s="20" t="str">
        <f aca="false">IF(J133="","",IF(H133="",J133,J133*(1-IF(I133="",Settings!$B$6,I133))))</f>
        <v/>
      </c>
      <c r="L133" s="20" t="str">
        <f aca="false">IF(OR(J133="",H133=""),"",J133-K133)</f>
        <v/>
      </c>
      <c r="M133" s="1"/>
    </row>
    <row r="134" customFormat="false" ht="15" hidden="false" customHeight="false" outlineLevel="0" collapsed="false">
      <c r="A134" s="27"/>
      <c r="B134" s="1"/>
      <c r="C134" s="24" t="str">
        <f aca="false">IF(B134="","",IFERROR(INDEX(Patients!$B$2:$B$501,MATCH(B134,Patients!$A$2:$A$501,0))&amp;"",""))</f>
        <v/>
      </c>
      <c r="D134" s="1"/>
      <c r="E134" s="1"/>
      <c r="F134" s="28"/>
      <c r="G134" s="1"/>
      <c r="H134" s="1"/>
      <c r="I134" s="29"/>
      <c r="J134" s="20" t="str">
        <f aca="false">IF(D134="","",IFERROR(INDEX(Settings!$D$36:$D$45,MATCH(D134,Settings!$A$36:$A$45,0)),0))</f>
        <v/>
      </c>
      <c r="K134" s="20" t="str">
        <f aca="false">IF(J134="","",IF(H134="",J134,J134*(1-IF(I134="",Settings!$B$6,I134))))</f>
        <v/>
      </c>
      <c r="L134" s="20" t="str">
        <f aca="false">IF(OR(J134="",H134=""),"",J134-K134)</f>
        <v/>
      </c>
      <c r="M134" s="1"/>
    </row>
    <row r="135" customFormat="false" ht="15" hidden="false" customHeight="false" outlineLevel="0" collapsed="false">
      <c r="A135" s="27"/>
      <c r="B135" s="1"/>
      <c r="C135" s="24" t="str">
        <f aca="false">IF(B135="","",IFERROR(INDEX(Patients!$B$2:$B$501,MATCH(B135,Patients!$A$2:$A$501,0))&amp;"",""))</f>
        <v/>
      </c>
      <c r="D135" s="1"/>
      <c r="E135" s="1"/>
      <c r="F135" s="28"/>
      <c r="G135" s="1"/>
      <c r="H135" s="1"/>
      <c r="I135" s="29"/>
      <c r="J135" s="20" t="str">
        <f aca="false">IF(D135="","",IFERROR(INDEX(Settings!$D$36:$D$45,MATCH(D135,Settings!$A$36:$A$45,0)),0))</f>
        <v/>
      </c>
      <c r="K135" s="20" t="str">
        <f aca="false">IF(J135="","",IF(H135="",J135,J135*(1-IF(I135="",Settings!$B$6,I135))))</f>
        <v/>
      </c>
      <c r="L135" s="20" t="str">
        <f aca="false">IF(OR(J135="",H135=""),"",J135-K135)</f>
        <v/>
      </c>
      <c r="M135" s="1"/>
    </row>
    <row r="136" customFormat="false" ht="15" hidden="false" customHeight="false" outlineLevel="0" collapsed="false">
      <c r="A136" s="27"/>
      <c r="B136" s="1"/>
      <c r="C136" s="24" t="str">
        <f aca="false">IF(B136="","",IFERROR(INDEX(Patients!$B$2:$B$501,MATCH(B136,Patients!$A$2:$A$501,0))&amp;"",""))</f>
        <v/>
      </c>
      <c r="D136" s="1"/>
      <c r="E136" s="1"/>
      <c r="F136" s="28"/>
      <c r="G136" s="1"/>
      <c r="H136" s="1"/>
      <c r="I136" s="29"/>
      <c r="J136" s="20" t="str">
        <f aca="false">IF(D136="","",IFERROR(INDEX(Settings!$D$36:$D$45,MATCH(D136,Settings!$A$36:$A$45,0)),0))</f>
        <v/>
      </c>
      <c r="K136" s="20" t="str">
        <f aca="false">IF(J136="","",IF(H136="",J136,J136*(1-IF(I136="",Settings!$B$6,I136))))</f>
        <v/>
      </c>
      <c r="L136" s="20" t="str">
        <f aca="false">IF(OR(J136="",H136=""),"",J136-K136)</f>
        <v/>
      </c>
      <c r="M136" s="1"/>
    </row>
    <row r="137" customFormat="false" ht="15" hidden="false" customHeight="false" outlineLevel="0" collapsed="false">
      <c r="A137" s="27"/>
      <c r="B137" s="1"/>
      <c r="C137" s="24" t="str">
        <f aca="false">IF(B137="","",IFERROR(INDEX(Patients!$B$2:$B$501,MATCH(B137,Patients!$A$2:$A$501,0))&amp;"",""))</f>
        <v/>
      </c>
      <c r="D137" s="1"/>
      <c r="E137" s="1"/>
      <c r="F137" s="28"/>
      <c r="G137" s="1"/>
      <c r="H137" s="1"/>
      <c r="I137" s="29"/>
      <c r="J137" s="20" t="str">
        <f aca="false">IF(D137="","",IFERROR(INDEX(Settings!$D$36:$D$45,MATCH(D137,Settings!$A$36:$A$45,0)),0))</f>
        <v/>
      </c>
      <c r="K137" s="20" t="str">
        <f aca="false">IF(J137="","",IF(H137="",J137,J137*(1-IF(I137="",Settings!$B$6,I137))))</f>
        <v/>
      </c>
      <c r="L137" s="20" t="str">
        <f aca="false">IF(OR(J137="",H137=""),"",J137-K137)</f>
        <v/>
      </c>
      <c r="M137" s="1"/>
    </row>
    <row r="138" customFormat="false" ht="15" hidden="false" customHeight="false" outlineLevel="0" collapsed="false">
      <c r="A138" s="27"/>
      <c r="B138" s="1"/>
      <c r="C138" s="24" t="str">
        <f aca="false">IF(B138="","",IFERROR(INDEX(Patients!$B$2:$B$501,MATCH(B138,Patients!$A$2:$A$501,0))&amp;"",""))</f>
        <v/>
      </c>
      <c r="D138" s="1"/>
      <c r="E138" s="1"/>
      <c r="F138" s="28"/>
      <c r="G138" s="1"/>
      <c r="H138" s="1"/>
      <c r="I138" s="29"/>
      <c r="J138" s="20" t="str">
        <f aca="false">IF(D138="","",IFERROR(INDEX(Settings!$D$36:$D$45,MATCH(D138,Settings!$A$36:$A$45,0)),0))</f>
        <v/>
      </c>
      <c r="K138" s="20" t="str">
        <f aca="false">IF(J138="","",IF(H138="",J138,J138*(1-IF(I138="",Settings!$B$6,I138))))</f>
        <v/>
      </c>
      <c r="L138" s="20" t="str">
        <f aca="false">IF(OR(J138="",H138=""),"",J138-K138)</f>
        <v/>
      </c>
      <c r="M138" s="1"/>
    </row>
    <row r="139" customFormat="false" ht="15" hidden="false" customHeight="false" outlineLevel="0" collapsed="false">
      <c r="A139" s="27"/>
      <c r="B139" s="1"/>
      <c r="C139" s="24" t="str">
        <f aca="false">IF(B139="","",IFERROR(INDEX(Patients!$B$2:$B$501,MATCH(B139,Patients!$A$2:$A$501,0))&amp;"",""))</f>
        <v/>
      </c>
      <c r="D139" s="1"/>
      <c r="E139" s="1"/>
      <c r="F139" s="28"/>
      <c r="G139" s="1"/>
      <c r="H139" s="1"/>
      <c r="I139" s="29"/>
      <c r="J139" s="20" t="str">
        <f aca="false">IF(D139="","",IFERROR(INDEX(Settings!$D$36:$D$45,MATCH(D139,Settings!$A$36:$A$45,0)),0))</f>
        <v/>
      </c>
      <c r="K139" s="20" t="str">
        <f aca="false">IF(J139="","",IF(H139="",J139,J139*(1-IF(I139="",Settings!$B$6,I139))))</f>
        <v/>
      </c>
      <c r="L139" s="20" t="str">
        <f aca="false">IF(OR(J139="",H139=""),"",J139-K139)</f>
        <v/>
      </c>
      <c r="M139" s="1"/>
    </row>
    <row r="140" customFormat="false" ht="15" hidden="false" customHeight="false" outlineLevel="0" collapsed="false">
      <c r="A140" s="27"/>
      <c r="B140" s="1"/>
      <c r="C140" s="24" t="str">
        <f aca="false">IF(B140="","",IFERROR(INDEX(Patients!$B$2:$B$501,MATCH(B140,Patients!$A$2:$A$501,0))&amp;"",""))</f>
        <v/>
      </c>
      <c r="D140" s="1"/>
      <c r="E140" s="1"/>
      <c r="F140" s="28"/>
      <c r="G140" s="1"/>
      <c r="H140" s="1"/>
      <c r="I140" s="29"/>
      <c r="J140" s="20" t="str">
        <f aca="false">IF(D140="","",IFERROR(INDEX(Settings!$D$36:$D$45,MATCH(D140,Settings!$A$36:$A$45,0)),0))</f>
        <v/>
      </c>
      <c r="K140" s="20" t="str">
        <f aca="false">IF(J140="","",IF(H140="",J140,J140*(1-IF(I140="",Settings!$B$6,I140))))</f>
        <v/>
      </c>
      <c r="L140" s="20" t="str">
        <f aca="false">IF(OR(J140="",H140=""),"",J140-K140)</f>
        <v/>
      </c>
      <c r="M140" s="1"/>
    </row>
    <row r="141" customFormat="false" ht="15" hidden="false" customHeight="false" outlineLevel="0" collapsed="false">
      <c r="A141" s="27"/>
      <c r="B141" s="1"/>
      <c r="C141" s="24" t="str">
        <f aca="false">IF(B141="","",IFERROR(INDEX(Patients!$B$2:$B$501,MATCH(B141,Patients!$A$2:$A$501,0))&amp;"",""))</f>
        <v/>
      </c>
      <c r="D141" s="1"/>
      <c r="E141" s="1"/>
      <c r="F141" s="28"/>
      <c r="G141" s="1"/>
      <c r="H141" s="1"/>
      <c r="I141" s="29"/>
      <c r="J141" s="20" t="str">
        <f aca="false">IF(D141="","",IFERROR(INDEX(Settings!$D$36:$D$45,MATCH(D141,Settings!$A$36:$A$45,0)),0))</f>
        <v/>
      </c>
      <c r="K141" s="20" t="str">
        <f aca="false">IF(J141="","",IF(H141="",J141,J141*(1-IF(I141="",Settings!$B$6,I141))))</f>
        <v/>
      </c>
      <c r="L141" s="20" t="str">
        <f aca="false">IF(OR(J141="",H141=""),"",J141-K141)</f>
        <v/>
      </c>
      <c r="M141" s="1"/>
    </row>
    <row r="142" customFormat="false" ht="15" hidden="false" customHeight="false" outlineLevel="0" collapsed="false">
      <c r="A142" s="27"/>
      <c r="B142" s="1"/>
      <c r="C142" s="24" t="str">
        <f aca="false">IF(B142="","",IFERROR(INDEX(Patients!$B$2:$B$501,MATCH(B142,Patients!$A$2:$A$501,0))&amp;"",""))</f>
        <v/>
      </c>
      <c r="D142" s="1"/>
      <c r="E142" s="1"/>
      <c r="F142" s="28"/>
      <c r="G142" s="1"/>
      <c r="H142" s="1"/>
      <c r="I142" s="29"/>
      <c r="J142" s="20" t="str">
        <f aca="false">IF(D142="","",IFERROR(INDEX(Settings!$D$36:$D$45,MATCH(D142,Settings!$A$36:$A$45,0)),0))</f>
        <v/>
      </c>
      <c r="K142" s="20" t="str">
        <f aca="false">IF(J142="","",IF(H142="",J142,J142*(1-IF(I142="",Settings!$B$6,I142))))</f>
        <v/>
      </c>
      <c r="L142" s="20" t="str">
        <f aca="false">IF(OR(J142="",H142=""),"",J142-K142)</f>
        <v/>
      </c>
      <c r="M142" s="1"/>
    </row>
    <row r="143" customFormat="false" ht="15" hidden="false" customHeight="false" outlineLevel="0" collapsed="false">
      <c r="A143" s="27"/>
      <c r="B143" s="1"/>
      <c r="C143" s="24" t="str">
        <f aca="false">IF(B143="","",IFERROR(INDEX(Patients!$B$2:$B$501,MATCH(B143,Patients!$A$2:$A$501,0))&amp;"",""))</f>
        <v/>
      </c>
      <c r="D143" s="1"/>
      <c r="E143" s="1"/>
      <c r="F143" s="28"/>
      <c r="G143" s="1"/>
      <c r="H143" s="1"/>
      <c r="I143" s="29"/>
      <c r="J143" s="20" t="str">
        <f aca="false">IF(D143="","",IFERROR(INDEX(Settings!$D$36:$D$45,MATCH(D143,Settings!$A$36:$A$45,0)),0))</f>
        <v/>
      </c>
      <c r="K143" s="20" t="str">
        <f aca="false">IF(J143="","",IF(H143="",J143,J143*(1-IF(I143="",Settings!$B$6,I143))))</f>
        <v/>
      </c>
      <c r="L143" s="20" t="str">
        <f aca="false">IF(OR(J143="",H143=""),"",J143-K143)</f>
        <v/>
      </c>
      <c r="M143" s="1"/>
    </row>
    <row r="144" customFormat="false" ht="15" hidden="false" customHeight="false" outlineLevel="0" collapsed="false">
      <c r="A144" s="27"/>
      <c r="B144" s="1"/>
      <c r="C144" s="24" t="str">
        <f aca="false">IF(B144="","",IFERROR(INDEX(Patients!$B$2:$B$501,MATCH(B144,Patients!$A$2:$A$501,0))&amp;"",""))</f>
        <v/>
      </c>
      <c r="D144" s="1"/>
      <c r="E144" s="1"/>
      <c r="F144" s="28"/>
      <c r="G144" s="1"/>
      <c r="H144" s="1"/>
      <c r="I144" s="29"/>
      <c r="J144" s="20" t="str">
        <f aca="false">IF(D144="","",IFERROR(INDEX(Settings!$D$36:$D$45,MATCH(D144,Settings!$A$36:$A$45,0)),0))</f>
        <v/>
      </c>
      <c r="K144" s="20" t="str">
        <f aca="false">IF(J144="","",IF(H144="",J144,J144*(1-IF(I144="",Settings!$B$6,I144))))</f>
        <v/>
      </c>
      <c r="L144" s="20" t="str">
        <f aca="false">IF(OR(J144="",H144=""),"",J144-K144)</f>
        <v/>
      </c>
      <c r="M144" s="1"/>
    </row>
    <row r="145" customFormat="false" ht="15" hidden="false" customHeight="false" outlineLevel="0" collapsed="false">
      <c r="A145" s="27"/>
      <c r="B145" s="1"/>
      <c r="C145" s="24" t="str">
        <f aca="false">IF(B145="","",IFERROR(INDEX(Patients!$B$2:$B$501,MATCH(B145,Patients!$A$2:$A$501,0))&amp;"",""))</f>
        <v/>
      </c>
      <c r="D145" s="1"/>
      <c r="E145" s="1"/>
      <c r="F145" s="28"/>
      <c r="G145" s="1"/>
      <c r="H145" s="1"/>
      <c r="I145" s="29"/>
      <c r="J145" s="20" t="str">
        <f aca="false">IF(D145="","",IFERROR(INDEX(Settings!$D$36:$D$45,MATCH(D145,Settings!$A$36:$A$45,0)),0))</f>
        <v/>
      </c>
      <c r="K145" s="20" t="str">
        <f aca="false">IF(J145="","",IF(H145="",J145,J145*(1-IF(I145="",Settings!$B$6,I145))))</f>
        <v/>
      </c>
      <c r="L145" s="20" t="str">
        <f aca="false">IF(OR(J145="",H145=""),"",J145-K145)</f>
        <v/>
      </c>
      <c r="M145" s="1"/>
    </row>
    <row r="146" customFormat="false" ht="15" hidden="false" customHeight="false" outlineLevel="0" collapsed="false">
      <c r="A146" s="27"/>
      <c r="B146" s="1"/>
      <c r="C146" s="24" t="str">
        <f aca="false">IF(B146="","",IFERROR(INDEX(Patients!$B$2:$B$501,MATCH(B146,Patients!$A$2:$A$501,0))&amp;"",""))</f>
        <v/>
      </c>
      <c r="D146" s="1"/>
      <c r="E146" s="1"/>
      <c r="F146" s="28"/>
      <c r="G146" s="1"/>
      <c r="H146" s="1"/>
      <c r="I146" s="29"/>
      <c r="J146" s="20" t="str">
        <f aca="false">IF(D146="","",IFERROR(INDEX(Settings!$D$36:$D$45,MATCH(D146,Settings!$A$36:$A$45,0)),0))</f>
        <v/>
      </c>
      <c r="K146" s="20" t="str">
        <f aca="false">IF(J146="","",IF(H146="",J146,J146*(1-IF(I146="",Settings!$B$6,I146))))</f>
        <v/>
      </c>
      <c r="L146" s="20" t="str">
        <f aca="false">IF(OR(J146="",H146=""),"",J146-K146)</f>
        <v/>
      </c>
      <c r="M146" s="1"/>
    </row>
    <row r="147" customFormat="false" ht="15" hidden="false" customHeight="false" outlineLevel="0" collapsed="false">
      <c r="A147" s="27"/>
      <c r="B147" s="1"/>
      <c r="C147" s="24" t="str">
        <f aca="false">IF(B147="","",IFERROR(INDEX(Patients!$B$2:$B$501,MATCH(B147,Patients!$A$2:$A$501,0))&amp;"",""))</f>
        <v/>
      </c>
      <c r="D147" s="1"/>
      <c r="E147" s="1"/>
      <c r="F147" s="28"/>
      <c r="G147" s="1"/>
      <c r="H147" s="1"/>
      <c r="I147" s="29"/>
      <c r="J147" s="20" t="str">
        <f aca="false">IF(D147="","",IFERROR(INDEX(Settings!$D$36:$D$45,MATCH(D147,Settings!$A$36:$A$45,0)),0))</f>
        <v/>
      </c>
      <c r="K147" s="20" t="str">
        <f aca="false">IF(J147="","",IF(H147="",J147,J147*(1-IF(I147="",Settings!$B$6,I147))))</f>
        <v/>
      </c>
      <c r="L147" s="20" t="str">
        <f aca="false">IF(OR(J147="",H147=""),"",J147-K147)</f>
        <v/>
      </c>
      <c r="M147" s="1"/>
    </row>
    <row r="148" customFormat="false" ht="15" hidden="false" customHeight="false" outlineLevel="0" collapsed="false">
      <c r="A148" s="27"/>
      <c r="B148" s="1"/>
      <c r="C148" s="24" t="str">
        <f aca="false">IF(B148="","",IFERROR(INDEX(Patients!$B$2:$B$501,MATCH(B148,Patients!$A$2:$A$501,0))&amp;"",""))</f>
        <v/>
      </c>
      <c r="D148" s="1"/>
      <c r="E148" s="1"/>
      <c r="F148" s="28"/>
      <c r="G148" s="1"/>
      <c r="H148" s="1"/>
      <c r="I148" s="29"/>
      <c r="J148" s="20" t="str">
        <f aca="false">IF(D148="","",IFERROR(INDEX(Settings!$D$36:$D$45,MATCH(D148,Settings!$A$36:$A$45,0)),0))</f>
        <v/>
      </c>
      <c r="K148" s="20" t="str">
        <f aca="false">IF(J148="","",IF(H148="",J148,J148*(1-IF(I148="",Settings!$B$6,I148))))</f>
        <v/>
      </c>
      <c r="L148" s="20" t="str">
        <f aca="false">IF(OR(J148="",H148=""),"",J148-K148)</f>
        <v/>
      </c>
      <c r="M148" s="1"/>
    </row>
    <row r="149" customFormat="false" ht="15" hidden="false" customHeight="false" outlineLevel="0" collapsed="false">
      <c r="A149" s="27"/>
      <c r="B149" s="1"/>
      <c r="C149" s="24" t="str">
        <f aca="false">IF(B149="","",IFERROR(INDEX(Patients!$B$2:$B$501,MATCH(B149,Patients!$A$2:$A$501,0))&amp;"",""))</f>
        <v/>
      </c>
      <c r="D149" s="1"/>
      <c r="E149" s="1"/>
      <c r="F149" s="28"/>
      <c r="G149" s="1"/>
      <c r="H149" s="1"/>
      <c r="I149" s="29"/>
      <c r="J149" s="20" t="str">
        <f aca="false">IF(D149="","",IFERROR(INDEX(Settings!$D$36:$D$45,MATCH(D149,Settings!$A$36:$A$45,0)),0))</f>
        <v/>
      </c>
      <c r="K149" s="20" t="str">
        <f aca="false">IF(J149="","",IF(H149="",J149,J149*(1-IF(I149="",Settings!$B$6,I149))))</f>
        <v/>
      </c>
      <c r="L149" s="20" t="str">
        <f aca="false">IF(OR(J149="",H149=""),"",J149-K149)</f>
        <v/>
      </c>
      <c r="M149" s="1"/>
    </row>
    <row r="150" customFormat="false" ht="15" hidden="false" customHeight="false" outlineLevel="0" collapsed="false">
      <c r="A150" s="27"/>
      <c r="B150" s="1"/>
      <c r="C150" s="24" t="str">
        <f aca="false">IF(B150="","",IFERROR(INDEX(Patients!$B$2:$B$501,MATCH(B150,Patients!$A$2:$A$501,0))&amp;"",""))</f>
        <v/>
      </c>
      <c r="D150" s="1"/>
      <c r="E150" s="1"/>
      <c r="F150" s="28"/>
      <c r="G150" s="1"/>
      <c r="H150" s="1"/>
      <c r="I150" s="29"/>
      <c r="J150" s="20" t="str">
        <f aca="false">IF(D150="","",IFERROR(INDEX(Settings!$D$36:$D$45,MATCH(D150,Settings!$A$36:$A$45,0)),0))</f>
        <v/>
      </c>
      <c r="K150" s="20" t="str">
        <f aca="false">IF(J150="","",IF(H150="",J150,J150*(1-IF(I150="",Settings!$B$6,I150))))</f>
        <v/>
      </c>
      <c r="L150" s="20" t="str">
        <f aca="false">IF(OR(J150="",H150=""),"",J150-K150)</f>
        <v/>
      </c>
      <c r="M150" s="1"/>
    </row>
    <row r="151" customFormat="false" ht="15" hidden="false" customHeight="false" outlineLevel="0" collapsed="false">
      <c r="A151" s="27"/>
      <c r="B151" s="1"/>
      <c r="C151" s="24" t="str">
        <f aca="false">IF(B151="","",IFERROR(INDEX(Patients!$B$2:$B$501,MATCH(B151,Patients!$A$2:$A$501,0))&amp;"",""))</f>
        <v/>
      </c>
      <c r="D151" s="1"/>
      <c r="E151" s="1"/>
      <c r="F151" s="28"/>
      <c r="G151" s="1"/>
      <c r="H151" s="1"/>
      <c r="I151" s="29"/>
      <c r="J151" s="20" t="str">
        <f aca="false">IF(D151="","",IFERROR(INDEX(Settings!$D$36:$D$45,MATCH(D151,Settings!$A$36:$A$45,0)),0))</f>
        <v/>
      </c>
      <c r="K151" s="20" t="str">
        <f aca="false">IF(J151="","",IF(H151="",J151,J151*(1-IF(I151="",Settings!$B$6,I151))))</f>
        <v/>
      </c>
      <c r="L151" s="20" t="str">
        <f aca="false">IF(OR(J151="",H151=""),"",J151-K151)</f>
        <v/>
      </c>
      <c r="M151" s="1"/>
    </row>
    <row r="152" customFormat="false" ht="15" hidden="false" customHeight="false" outlineLevel="0" collapsed="false">
      <c r="A152" s="27"/>
      <c r="B152" s="1"/>
      <c r="C152" s="24" t="str">
        <f aca="false">IF(B152="","",IFERROR(INDEX(Patients!$B$2:$B$501,MATCH(B152,Patients!$A$2:$A$501,0))&amp;"",""))</f>
        <v/>
      </c>
      <c r="D152" s="1"/>
      <c r="E152" s="1"/>
      <c r="F152" s="28"/>
      <c r="G152" s="1"/>
      <c r="H152" s="1"/>
      <c r="I152" s="29"/>
      <c r="J152" s="20" t="str">
        <f aca="false">IF(D152="","",IFERROR(INDEX(Settings!$D$36:$D$45,MATCH(D152,Settings!$A$36:$A$45,0)),0))</f>
        <v/>
      </c>
      <c r="K152" s="20" t="str">
        <f aca="false">IF(J152="","",IF(H152="",J152,J152*(1-IF(I152="",Settings!$B$6,I152))))</f>
        <v/>
      </c>
      <c r="L152" s="20" t="str">
        <f aca="false">IF(OR(J152="",H152=""),"",J152-K152)</f>
        <v/>
      </c>
      <c r="M152" s="1"/>
    </row>
    <row r="153" customFormat="false" ht="15" hidden="false" customHeight="false" outlineLevel="0" collapsed="false">
      <c r="A153" s="27"/>
      <c r="B153" s="1"/>
      <c r="C153" s="24" t="str">
        <f aca="false">IF(B153="","",IFERROR(INDEX(Patients!$B$2:$B$501,MATCH(B153,Patients!$A$2:$A$501,0))&amp;"",""))</f>
        <v/>
      </c>
      <c r="D153" s="1"/>
      <c r="E153" s="1"/>
      <c r="F153" s="28"/>
      <c r="G153" s="1"/>
      <c r="H153" s="1"/>
      <c r="I153" s="29"/>
      <c r="J153" s="20" t="str">
        <f aca="false">IF(D153="","",IFERROR(INDEX(Settings!$D$36:$D$45,MATCH(D153,Settings!$A$36:$A$45,0)),0))</f>
        <v/>
      </c>
      <c r="K153" s="20" t="str">
        <f aca="false">IF(J153="","",IF(H153="",J153,J153*(1-IF(I153="",Settings!$B$6,I153))))</f>
        <v/>
      </c>
      <c r="L153" s="20" t="str">
        <f aca="false">IF(OR(J153="",H153=""),"",J153-K153)</f>
        <v/>
      </c>
      <c r="M153" s="1"/>
    </row>
    <row r="154" customFormat="false" ht="15" hidden="false" customHeight="false" outlineLevel="0" collapsed="false">
      <c r="A154" s="27"/>
      <c r="B154" s="1"/>
      <c r="C154" s="24" t="str">
        <f aca="false">IF(B154="","",IFERROR(INDEX(Patients!$B$2:$B$501,MATCH(B154,Patients!$A$2:$A$501,0))&amp;"",""))</f>
        <v/>
      </c>
      <c r="D154" s="1"/>
      <c r="E154" s="1"/>
      <c r="F154" s="28"/>
      <c r="G154" s="1"/>
      <c r="H154" s="1"/>
      <c r="I154" s="29"/>
      <c r="J154" s="20" t="str">
        <f aca="false">IF(D154="","",IFERROR(INDEX(Settings!$D$36:$D$45,MATCH(D154,Settings!$A$36:$A$45,0)),0))</f>
        <v/>
      </c>
      <c r="K154" s="20" t="str">
        <f aca="false">IF(J154="","",IF(H154="",J154,J154*(1-IF(I154="",Settings!$B$6,I154))))</f>
        <v/>
      </c>
      <c r="L154" s="20" t="str">
        <f aca="false">IF(OR(J154="",H154=""),"",J154-K154)</f>
        <v/>
      </c>
      <c r="M154" s="1"/>
    </row>
    <row r="155" customFormat="false" ht="15" hidden="false" customHeight="false" outlineLevel="0" collapsed="false">
      <c r="A155" s="27"/>
      <c r="B155" s="1"/>
      <c r="C155" s="24" t="str">
        <f aca="false">IF(B155="","",IFERROR(INDEX(Patients!$B$2:$B$501,MATCH(B155,Patients!$A$2:$A$501,0))&amp;"",""))</f>
        <v/>
      </c>
      <c r="D155" s="1"/>
      <c r="E155" s="1"/>
      <c r="F155" s="28"/>
      <c r="G155" s="1"/>
      <c r="H155" s="1"/>
      <c r="I155" s="29"/>
      <c r="J155" s="20" t="str">
        <f aca="false">IF(D155="","",IFERROR(INDEX(Settings!$D$36:$D$45,MATCH(D155,Settings!$A$36:$A$45,0)),0))</f>
        <v/>
      </c>
      <c r="K155" s="20" t="str">
        <f aca="false">IF(J155="","",IF(H155="",J155,J155*(1-IF(I155="",Settings!$B$6,I155))))</f>
        <v/>
      </c>
      <c r="L155" s="20" t="str">
        <f aca="false">IF(OR(J155="",H155=""),"",J155-K155)</f>
        <v/>
      </c>
      <c r="M155" s="1"/>
    </row>
    <row r="156" customFormat="false" ht="15" hidden="false" customHeight="false" outlineLevel="0" collapsed="false">
      <c r="A156" s="27"/>
      <c r="B156" s="1"/>
      <c r="C156" s="24" t="str">
        <f aca="false">IF(B156="","",IFERROR(INDEX(Patients!$B$2:$B$501,MATCH(B156,Patients!$A$2:$A$501,0))&amp;"",""))</f>
        <v/>
      </c>
      <c r="D156" s="1"/>
      <c r="E156" s="1"/>
      <c r="F156" s="28"/>
      <c r="G156" s="1"/>
      <c r="H156" s="1"/>
      <c r="I156" s="29"/>
      <c r="J156" s="20" t="str">
        <f aca="false">IF(D156="","",IFERROR(INDEX(Settings!$D$36:$D$45,MATCH(D156,Settings!$A$36:$A$45,0)),0))</f>
        <v/>
      </c>
      <c r="K156" s="20" t="str">
        <f aca="false">IF(J156="","",IF(H156="",J156,J156*(1-IF(I156="",Settings!$B$6,I156))))</f>
        <v/>
      </c>
      <c r="L156" s="20" t="str">
        <f aca="false">IF(OR(J156="",H156=""),"",J156-K156)</f>
        <v/>
      </c>
      <c r="M156" s="1"/>
    </row>
    <row r="157" customFormat="false" ht="15" hidden="false" customHeight="false" outlineLevel="0" collapsed="false">
      <c r="A157" s="27"/>
      <c r="B157" s="1"/>
      <c r="C157" s="24" t="str">
        <f aca="false">IF(B157="","",IFERROR(INDEX(Patients!$B$2:$B$501,MATCH(B157,Patients!$A$2:$A$501,0))&amp;"",""))</f>
        <v/>
      </c>
      <c r="D157" s="1"/>
      <c r="E157" s="1"/>
      <c r="F157" s="28"/>
      <c r="G157" s="1"/>
      <c r="H157" s="1"/>
      <c r="I157" s="29"/>
      <c r="J157" s="20" t="str">
        <f aca="false">IF(D157="","",IFERROR(INDEX(Settings!$D$36:$D$45,MATCH(D157,Settings!$A$36:$A$45,0)),0))</f>
        <v/>
      </c>
      <c r="K157" s="20" t="str">
        <f aca="false">IF(J157="","",IF(H157="",J157,J157*(1-IF(I157="",Settings!$B$6,I157))))</f>
        <v/>
      </c>
      <c r="L157" s="20" t="str">
        <f aca="false">IF(OR(J157="",H157=""),"",J157-K157)</f>
        <v/>
      </c>
      <c r="M157" s="1"/>
    </row>
    <row r="158" customFormat="false" ht="15" hidden="false" customHeight="false" outlineLevel="0" collapsed="false">
      <c r="A158" s="27"/>
      <c r="B158" s="1"/>
      <c r="C158" s="24" t="str">
        <f aca="false">IF(B158="","",IFERROR(INDEX(Patients!$B$2:$B$501,MATCH(B158,Patients!$A$2:$A$501,0))&amp;"",""))</f>
        <v/>
      </c>
      <c r="D158" s="1"/>
      <c r="E158" s="1"/>
      <c r="F158" s="28"/>
      <c r="G158" s="1"/>
      <c r="H158" s="1"/>
      <c r="I158" s="29"/>
      <c r="J158" s="20" t="str">
        <f aca="false">IF(D158="","",IFERROR(INDEX(Settings!$D$36:$D$45,MATCH(D158,Settings!$A$36:$A$45,0)),0))</f>
        <v/>
      </c>
      <c r="K158" s="20" t="str">
        <f aca="false">IF(J158="","",IF(H158="",J158,J158*(1-IF(I158="",Settings!$B$6,I158))))</f>
        <v/>
      </c>
      <c r="L158" s="20" t="str">
        <f aca="false">IF(OR(J158="",H158=""),"",J158-K158)</f>
        <v/>
      </c>
      <c r="M158" s="1"/>
    </row>
    <row r="159" customFormat="false" ht="15" hidden="false" customHeight="false" outlineLevel="0" collapsed="false">
      <c r="A159" s="27"/>
      <c r="B159" s="1"/>
      <c r="C159" s="24" t="str">
        <f aca="false">IF(B159="","",IFERROR(INDEX(Patients!$B$2:$B$501,MATCH(B159,Patients!$A$2:$A$501,0))&amp;"",""))</f>
        <v/>
      </c>
      <c r="D159" s="1"/>
      <c r="E159" s="1"/>
      <c r="F159" s="28"/>
      <c r="G159" s="1"/>
      <c r="H159" s="1"/>
      <c r="I159" s="29"/>
      <c r="J159" s="20" t="str">
        <f aca="false">IF(D159="","",IFERROR(INDEX(Settings!$D$36:$D$45,MATCH(D159,Settings!$A$36:$A$45,0)),0))</f>
        <v/>
      </c>
      <c r="K159" s="20" t="str">
        <f aca="false">IF(J159="","",IF(H159="",J159,J159*(1-IF(I159="",Settings!$B$6,I159))))</f>
        <v/>
      </c>
      <c r="L159" s="20" t="str">
        <f aca="false">IF(OR(J159="",H159=""),"",J159-K159)</f>
        <v/>
      </c>
      <c r="M159" s="1"/>
    </row>
    <row r="160" customFormat="false" ht="15" hidden="false" customHeight="false" outlineLevel="0" collapsed="false">
      <c r="A160" s="27"/>
      <c r="B160" s="1"/>
      <c r="C160" s="24" t="str">
        <f aca="false">IF(B160="","",IFERROR(INDEX(Patients!$B$2:$B$501,MATCH(B160,Patients!$A$2:$A$501,0))&amp;"",""))</f>
        <v/>
      </c>
      <c r="D160" s="1"/>
      <c r="E160" s="1"/>
      <c r="F160" s="28"/>
      <c r="G160" s="1"/>
      <c r="H160" s="1"/>
      <c r="I160" s="29"/>
      <c r="J160" s="20" t="str">
        <f aca="false">IF(D160="","",IFERROR(INDEX(Settings!$D$36:$D$45,MATCH(D160,Settings!$A$36:$A$45,0)),0))</f>
        <v/>
      </c>
      <c r="K160" s="20" t="str">
        <f aca="false">IF(J160="","",IF(H160="",J160,J160*(1-IF(I160="",Settings!$B$6,I160))))</f>
        <v/>
      </c>
      <c r="L160" s="20" t="str">
        <f aca="false">IF(OR(J160="",H160=""),"",J160-K160)</f>
        <v/>
      </c>
      <c r="M160" s="1"/>
    </row>
    <row r="161" customFormat="false" ht="15" hidden="false" customHeight="false" outlineLevel="0" collapsed="false">
      <c r="A161" s="27"/>
      <c r="B161" s="1"/>
      <c r="C161" s="24" t="str">
        <f aca="false">IF(B161="","",IFERROR(INDEX(Patients!$B$2:$B$501,MATCH(B161,Patients!$A$2:$A$501,0))&amp;"",""))</f>
        <v/>
      </c>
      <c r="D161" s="1"/>
      <c r="E161" s="1"/>
      <c r="F161" s="28"/>
      <c r="G161" s="1"/>
      <c r="H161" s="1"/>
      <c r="I161" s="29"/>
      <c r="J161" s="20" t="str">
        <f aca="false">IF(D161="","",IFERROR(INDEX(Settings!$D$36:$D$45,MATCH(D161,Settings!$A$36:$A$45,0)),0))</f>
        <v/>
      </c>
      <c r="K161" s="20" t="str">
        <f aca="false">IF(J161="","",IF(H161="",J161,J161*(1-IF(I161="",Settings!$B$6,I161))))</f>
        <v/>
      </c>
      <c r="L161" s="20" t="str">
        <f aca="false">IF(OR(J161="",H161=""),"",J161-K161)</f>
        <v/>
      </c>
      <c r="M161" s="1"/>
    </row>
    <row r="162" customFormat="false" ht="15" hidden="false" customHeight="false" outlineLevel="0" collapsed="false">
      <c r="A162" s="27"/>
      <c r="B162" s="1"/>
      <c r="C162" s="24" t="str">
        <f aca="false">IF(B162="","",IFERROR(INDEX(Patients!$B$2:$B$501,MATCH(B162,Patients!$A$2:$A$501,0))&amp;"",""))</f>
        <v/>
      </c>
      <c r="D162" s="1"/>
      <c r="E162" s="1"/>
      <c r="F162" s="28"/>
      <c r="G162" s="1"/>
      <c r="H162" s="1"/>
      <c r="I162" s="29"/>
      <c r="J162" s="20" t="str">
        <f aca="false">IF(D162="","",IFERROR(INDEX(Settings!$D$36:$D$45,MATCH(D162,Settings!$A$36:$A$45,0)),0))</f>
        <v/>
      </c>
      <c r="K162" s="20" t="str">
        <f aca="false">IF(J162="","",IF(H162="",J162,J162*(1-IF(I162="",Settings!$B$6,I162))))</f>
        <v/>
      </c>
      <c r="L162" s="20" t="str">
        <f aca="false">IF(OR(J162="",H162=""),"",J162-K162)</f>
        <v/>
      </c>
      <c r="M162" s="1"/>
    </row>
    <row r="163" customFormat="false" ht="15" hidden="false" customHeight="false" outlineLevel="0" collapsed="false">
      <c r="A163" s="27"/>
      <c r="B163" s="1"/>
      <c r="C163" s="24" t="str">
        <f aca="false">IF(B163="","",IFERROR(INDEX(Patients!$B$2:$B$501,MATCH(B163,Patients!$A$2:$A$501,0))&amp;"",""))</f>
        <v/>
      </c>
      <c r="D163" s="1"/>
      <c r="E163" s="1"/>
      <c r="F163" s="28"/>
      <c r="G163" s="1"/>
      <c r="H163" s="1"/>
      <c r="I163" s="29"/>
      <c r="J163" s="20" t="str">
        <f aca="false">IF(D163="","",IFERROR(INDEX(Settings!$D$36:$D$45,MATCH(D163,Settings!$A$36:$A$45,0)),0))</f>
        <v/>
      </c>
      <c r="K163" s="20" t="str">
        <f aca="false">IF(J163="","",IF(H163="",J163,J163*(1-IF(I163="",Settings!$B$6,I163))))</f>
        <v/>
      </c>
      <c r="L163" s="20" t="str">
        <f aca="false">IF(OR(J163="",H163=""),"",J163-K163)</f>
        <v/>
      </c>
      <c r="M163" s="1"/>
    </row>
    <row r="164" customFormat="false" ht="15" hidden="false" customHeight="false" outlineLevel="0" collapsed="false">
      <c r="A164" s="27"/>
      <c r="B164" s="1"/>
      <c r="C164" s="24" t="str">
        <f aca="false">IF(B164="","",IFERROR(INDEX(Patients!$B$2:$B$501,MATCH(B164,Patients!$A$2:$A$501,0))&amp;"",""))</f>
        <v/>
      </c>
      <c r="D164" s="1"/>
      <c r="E164" s="1"/>
      <c r="F164" s="28"/>
      <c r="G164" s="1"/>
      <c r="H164" s="1"/>
      <c r="I164" s="29"/>
      <c r="J164" s="20" t="str">
        <f aca="false">IF(D164="","",IFERROR(INDEX(Settings!$D$36:$D$45,MATCH(D164,Settings!$A$36:$A$45,0)),0))</f>
        <v/>
      </c>
      <c r="K164" s="20" t="str">
        <f aca="false">IF(J164="","",IF(H164="",J164,J164*(1-IF(I164="",Settings!$B$6,I164))))</f>
        <v/>
      </c>
      <c r="L164" s="20" t="str">
        <f aca="false">IF(OR(J164="",H164=""),"",J164-K164)</f>
        <v/>
      </c>
      <c r="M164" s="1"/>
    </row>
    <row r="165" customFormat="false" ht="15" hidden="false" customHeight="false" outlineLevel="0" collapsed="false">
      <c r="A165" s="27"/>
      <c r="B165" s="1"/>
      <c r="C165" s="24" t="str">
        <f aca="false">IF(B165="","",IFERROR(INDEX(Patients!$B$2:$B$501,MATCH(B165,Patients!$A$2:$A$501,0))&amp;"",""))</f>
        <v/>
      </c>
      <c r="D165" s="1"/>
      <c r="E165" s="1"/>
      <c r="F165" s="28"/>
      <c r="G165" s="1"/>
      <c r="H165" s="1"/>
      <c r="I165" s="29"/>
      <c r="J165" s="20" t="str">
        <f aca="false">IF(D165="","",IFERROR(INDEX(Settings!$D$36:$D$45,MATCH(D165,Settings!$A$36:$A$45,0)),0))</f>
        <v/>
      </c>
      <c r="K165" s="20" t="str">
        <f aca="false">IF(J165="","",IF(H165="",J165,J165*(1-IF(I165="",Settings!$B$6,I165))))</f>
        <v/>
      </c>
      <c r="L165" s="20" t="str">
        <f aca="false">IF(OR(J165="",H165=""),"",J165-K165)</f>
        <v/>
      </c>
      <c r="M165" s="1"/>
    </row>
    <row r="166" customFormat="false" ht="15" hidden="false" customHeight="false" outlineLevel="0" collapsed="false">
      <c r="A166" s="27"/>
      <c r="B166" s="1"/>
      <c r="C166" s="24" t="str">
        <f aca="false">IF(B166="","",IFERROR(INDEX(Patients!$B$2:$B$501,MATCH(B166,Patients!$A$2:$A$501,0))&amp;"",""))</f>
        <v/>
      </c>
      <c r="D166" s="1"/>
      <c r="E166" s="1"/>
      <c r="F166" s="28"/>
      <c r="G166" s="1"/>
      <c r="H166" s="1"/>
      <c r="I166" s="29"/>
      <c r="J166" s="20" t="str">
        <f aca="false">IF(D166="","",IFERROR(INDEX(Settings!$D$36:$D$45,MATCH(D166,Settings!$A$36:$A$45,0)),0))</f>
        <v/>
      </c>
      <c r="K166" s="20" t="str">
        <f aca="false">IF(J166="","",IF(H166="",J166,J166*(1-IF(I166="",Settings!$B$6,I166))))</f>
        <v/>
      </c>
      <c r="L166" s="20" t="str">
        <f aca="false">IF(OR(J166="",H166=""),"",J166-K166)</f>
        <v/>
      </c>
      <c r="M166" s="1"/>
    </row>
    <row r="167" customFormat="false" ht="15" hidden="false" customHeight="false" outlineLevel="0" collapsed="false">
      <c r="A167" s="27"/>
      <c r="B167" s="1"/>
      <c r="C167" s="24" t="str">
        <f aca="false">IF(B167="","",IFERROR(INDEX(Patients!$B$2:$B$501,MATCH(B167,Patients!$A$2:$A$501,0))&amp;"",""))</f>
        <v/>
      </c>
      <c r="D167" s="1"/>
      <c r="E167" s="1"/>
      <c r="F167" s="28"/>
      <c r="G167" s="1"/>
      <c r="H167" s="1"/>
      <c r="I167" s="29"/>
      <c r="J167" s="20" t="str">
        <f aca="false">IF(D167="","",IFERROR(INDEX(Settings!$D$36:$D$45,MATCH(D167,Settings!$A$36:$A$45,0)),0))</f>
        <v/>
      </c>
      <c r="K167" s="20" t="str">
        <f aca="false">IF(J167="","",IF(H167="",J167,J167*(1-IF(I167="",Settings!$B$6,I167))))</f>
        <v/>
      </c>
      <c r="L167" s="20" t="str">
        <f aca="false">IF(OR(J167="",H167=""),"",J167-K167)</f>
        <v/>
      </c>
      <c r="M167" s="1"/>
    </row>
    <row r="168" customFormat="false" ht="15" hidden="false" customHeight="false" outlineLevel="0" collapsed="false">
      <c r="A168" s="27"/>
      <c r="B168" s="1"/>
      <c r="C168" s="24" t="str">
        <f aca="false">IF(B168="","",IFERROR(INDEX(Patients!$B$2:$B$501,MATCH(B168,Patients!$A$2:$A$501,0))&amp;"",""))</f>
        <v/>
      </c>
      <c r="D168" s="1"/>
      <c r="E168" s="1"/>
      <c r="F168" s="28"/>
      <c r="G168" s="1"/>
      <c r="H168" s="1"/>
      <c r="I168" s="29"/>
      <c r="J168" s="20" t="str">
        <f aca="false">IF(D168="","",IFERROR(INDEX(Settings!$D$36:$D$45,MATCH(D168,Settings!$A$36:$A$45,0)),0))</f>
        <v/>
      </c>
      <c r="K168" s="20" t="str">
        <f aca="false">IF(J168="","",IF(H168="",J168,J168*(1-IF(I168="",Settings!$B$6,I168))))</f>
        <v/>
      </c>
      <c r="L168" s="20" t="str">
        <f aca="false">IF(OR(J168="",H168=""),"",J168-K168)</f>
        <v/>
      </c>
      <c r="M168" s="1"/>
    </row>
    <row r="169" customFormat="false" ht="15" hidden="false" customHeight="false" outlineLevel="0" collapsed="false">
      <c r="A169" s="27"/>
      <c r="B169" s="1"/>
      <c r="C169" s="24" t="str">
        <f aca="false">IF(B169="","",IFERROR(INDEX(Patients!$B$2:$B$501,MATCH(B169,Patients!$A$2:$A$501,0))&amp;"",""))</f>
        <v/>
      </c>
      <c r="D169" s="1"/>
      <c r="E169" s="1"/>
      <c r="F169" s="28"/>
      <c r="G169" s="1"/>
      <c r="H169" s="1"/>
      <c r="I169" s="29"/>
      <c r="J169" s="20" t="str">
        <f aca="false">IF(D169="","",IFERROR(INDEX(Settings!$D$36:$D$45,MATCH(D169,Settings!$A$36:$A$45,0)),0))</f>
        <v/>
      </c>
      <c r="K169" s="20" t="str">
        <f aca="false">IF(J169="","",IF(H169="",J169,J169*(1-IF(I169="",Settings!$B$6,I169))))</f>
        <v/>
      </c>
      <c r="L169" s="20" t="str">
        <f aca="false">IF(OR(J169="",H169=""),"",J169-K169)</f>
        <v/>
      </c>
      <c r="M169" s="1"/>
    </row>
    <row r="170" customFormat="false" ht="15" hidden="false" customHeight="false" outlineLevel="0" collapsed="false">
      <c r="A170" s="27"/>
      <c r="B170" s="1"/>
      <c r="C170" s="24" t="str">
        <f aca="false">IF(B170="","",IFERROR(INDEX(Patients!$B$2:$B$501,MATCH(B170,Patients!$A$2:$A$501,0))&amp;"",""))</f>
        <v/>
      </c>
      <c r="D170" s="1"/>
      <c r="E170" s="1"/>
      <c r="F170" s="28"/>
      <c r="G170" s="1"/>
      <c r="H170" s="1"/>
      <c r="I170" s="29"/>
      <c r="J170" s="20" t="str">
        <f aca="false">IF(D170="","",IFERROR(INDEX(Settings!$D$36:$D$45,MATCH(D170,Settings!$A$36:$A$45,0)),0))</f>
        <v/>
      </c>
      <c r="K170" s="20" t="str">
        <f aca="false">IF(J170="","",IF(H170="",J170,J170*(1-IF(I170="",Settings!$B$6,I170))))</f>
        <v/>
      </c>
      <c r="L170" s="20" t="str">
        <f aca="false">IF(OR(J170="",H170=""),"",J170-K170)</f>
        <v/>
      </c>
      <c r="M170" s="1"/>
    </row>
    <row r="171" customFormat="false" ht="15" hidden="false" customHeight="false" outlineLevel="0" collapsed="false">
      <c r="A171" s="27"/>
      <c r="B171" s="1"/>
      <c r="C171" s="24" t="str">
        <f aca="false">IF(B171="","",IFERROR(INDEX(Patients!$B$2:$B$501,MATCH(B171,Patients!$A$2:$A$501,0))&amp;"",""))</f>
        <v/>
      </c>
      <c r="D171" s="1"/>
      <c r="E171" s="1"/>
      <c r="F171" s="28"/>
      <c r="G171" s="1"/>
      <c r="H171" s="1"/>
      <c r="I171" s="29"/>
      <c r="J171" s="20" t="str">
        <f aca="false">IF(D171="","",IFERROR(INDEX(Settings!$D$36:$D$45,MATCH(D171,Settings!$A$36:$A$45,0)),0))</f>
        <v/>
      </c>
      <c r="K171" s="20" t="str">
        <f aca="false">IF(J171="","",IF(H171="",J171,J171*(1-IF(I171="",Settings!$B$6,I171))))</f>
        <v/>
      </c>
      <c r="L171" s="20" t="str">
        <f aca="false">IF(OR(J171="",H171=""),"",J171-K171)</f>
        <v/>
      </c>
      <c r="M171" s="1"/>
    </row>
    <row r="172" customFormat="false" ht="15" hidden="false" customHeight="false" outlineLevel="0" collapsed="false">
      <c r="A172" s="27"/>
      <c r="B172" s="1"/>
      <c r="C172" s="24" t="str">
        <f aca="false">IF(B172="","",IFERROR(INDEX(Patients!$B$2:$B$501,MATCH(B172,Patients!$A$2:$A$501,0))&amp;"",""))</f>
        <v/>
      </c>
      <c r="D172" s="1"/>
      <c r="E172" s="1"/>
      <c r="F172" s="28"/>
      <c r="G172" s="1"/>
      <c r="H172" s="1"/>
      <c r="I172" s="29"/>
      <c r="J172" s="20" t="str">
        <f aca="false">IF(D172="","",IFERROR(INDEX(Settings!$D$36:$D$45,MATCH(D172,Settings!$A$36:$A$45,0)),0))</f>
        <v/>
      </c>
      <c r="K172" s="20" t="str">
        <f aca="false">IF(J172="","",IF(H172="",J172,J172*(1-IF(I172="",Settings!$B$6,I172))))</f>
        <v/>
      </c>
      <c r="L172" s="20" t="str">
        <f aca="false">IF(OR(J172="",H172=""),"",J172-K172)</f>
        <v/>
      </c>
      <c r="M172" s="1"/>
    </row>
    <row r="173" customFormat="false" ht="15" hidden="false" customHeight="false" outlineLevel="0" collapsed="false">
      <c r="A173" s="27"/>
      <c r="B173" s="1"/>
      <c r="C173" s="24" t="str">
        <f aca="false">IF(B173="","",IFERROR(INDEX(Patients!$B$2:$B$501,MATCH(B173,Patients!$A$2:$A$501,0))&amp;"",""))</f>
        <v/>
      </c>
      <c r="D173" s="1"/>
      <c r="E173" s="1"/>
      <c r="F173" s="28"/>
      <c r="G173" s="1"/>
      <c r="H173" s="1"/>
      <c r="I173" s="29"/>
      <c r="J173" s="20" t="str">
        <f aca="false">IF(D173="","",IFERROR(INDEX(Settings!$D$36:$D$45,MATCH(D173,Settings!$A$36:$A$45,0)),0))</f>
        <v/>
      </c>
      <c r="K173" s="20" t="str">
        <f aca="false">IF(J173="","",IF(H173="",J173,J173*(1-IF(I173="",Settings!$B$6,I173))))</f>
        <v/>
      </c>
      <c r="L173" s="20" t="str">
        <f aca="false">IF(OR(J173="",H173=""),"",J173-K173)</f>
        <v/>
      </c>
      <c r="M173" s="1"/>
    </row>
    <row r="174" customFormat="false" ht="15" hidden="false" customHeight="false" outlineLevel="0" collapsed="false">
      <c r="A174" s="27"/>
      <c r="B174" s="1"/>
      <c r="C174" s="24" t="str">
        <f aca="false">IF(B174="","",IFERROR(INDEX(Patients!$B$2:$B$501,MATCH(B174,Patients!$A$2:$A$501,0))&amp;"",""))</f>
        <v/>
      </c>
      <c r="D174" s="1"/>
      <c r="E174" s="1"/>
      <c r="F174" s="28"/>
      <c r="G174" s="1"/>
      <c r="H174" s="1"/>
      <c r="I174" s="29"/>
      <c r="J174" s="20" t="str">
        <f aca="false">IF(D174="","",IFERROR(INDEX(Settings!$D$36:$D$45,MATCH(D174,Settings!$A$36:$A$45,0)),0))</f>
        <v/>
      </c>
      <c r="K174" s="20" t="str">
        <f aca="false">IF(J174="","",IF(H174="",J174,J174*(1-IF(I174="",Settings!$B$6,I174))))</f>
        <v/>
      </c>
      <c r="L174" s="20" t="str">
        <f aca="false">IF(OR(J174="",H174=""),"",J174-K174)</f>
        <v/>
      </c>
      <c r="M174" s="1"/>
    </row>
    <row r="175" customFormat="false" ht="15" hidden="false" customHeight="false" outlineLevel="0" collapsed="false">
      <c r="A175" s="27"/>
      <c r="B175" s="1"/>
      <c r="C175" s="24" t="str">
        <f aca="false">IF(B175="","",IFERROR(INDEX(Patients!$B$2:$B$501,MATCH(B175,Patients!$A$2:$A$501,0))&amp;"",""))</f>
        <v/>
      </c>
      <c r="D175" s="1"/>
      <c r="E175" s="1"/>
      <c r="F175" s="28"/>
      <c r="G175" s="1"/>
      <c r="H175" s="1"/>
      <c r="I175" s="29"/>
      <c r="J175" s="20" t="str">
        <f aca="false">IF(D175="","",IFERROR(INDEX(Settings!$D$36:$D$45,MATCH(D175,Settings!$A$36:$A$45,0)),0))</f>
        <v/>
      </c>
      <c r="K175" s="20" t="str">
        <f aca="false">IF(J175="","",IF(H175="",J175,J175*(1-IF(I175="",Settings!$B$6,I175))))</f>
        <v/>
      </c>
      <c r="L175" s="20" t="str">
        <f aca="false">IF(OR(J175="",H175=""),"",J175-K175)</f>
        <v/>
      </c>
      <c r="M175" s="1"/>
    </row>
    <row r="176" customFormat="false" ht="15" hidden="false" customHeight="false" outlineLevel="0" collapsed="false">
      <c r="A176" s="27"/>
      <c r="B176" s="1"/>
      <c r="C176" s="24" t="str">
        <f aca="false">IF(B176="","",IFERROR(INDEX(Patients!$B$2:$B$501,MATCH(B176,Patients!$A$2:$A$501,0))&amp;"",""))</f>
        <v/>
      </c>
      <c r="D176" s="1"/>
      <c r="E176" s="1"/>
      <c r="F176" s="28"/>
      <c r="G176" s="1"/>
      <c r="H176" s="1"/>
      <c r="I176" s="29"/>
      <c r="J176" s="20" t="str">
        <f aca="false">IF(D176="","",IFERROR(INDEX(Settings!$D$36:$D$45,MATCH(D176,Settings!$A$36:$A$45,0)),0))</f>
        <v/>
      </c>
      <c r="K176" s="20" t="str">
        <f aca="false">IF(J176="","",IF(H176="",J176,J176*(1-IF(I176="",Settings!$B$6,I176))))</f>
        <v/>
      </c>
      <c r="L176" s="20" t="str">
        <f aca="false">IF(OR(J176="",H176=""),"",J176-K176)</f>
        <v/>
      </c>
      <c r="M176" s="1"/>
    </row>
    <row r="177" customFormat="false" ht="15" hidden="false" customHeight="false" outlineLevel="0" collapsed="false">
      <c r="A177" s="27"/>
      <c r="B177" s="1"/>
      <c r="C177" s="24" t="str">
        <f aca="false">IF(B177="","",IFERROR(INDEX(Patients!$B$2:$B$501,MATCH(B177,Patients!$A$2:$A$501,0))&amp;"",""))</f>
        <v/>
      </c>
      <c r="D177" s="1"/>
      <c r="E177" s="1"/>
      <c r="F177" s="28"/>
      <c r="G177" s="1"/>
      <c r="H177" s="1"/>
      <c r="I177" s="29"/>
      <c r="J177" s="20" t="str">
        <f aca="false">IF(D177="","",IFERROR(INDEX(Settings!$D$36:$D$45,MATCH(D177,Settings!$A$36:$A$45,0)),0))</f>
        <v/>
      </c>
      <c r="K177" s="20" t="str">
        <f aca="false">IF(J177="","",IF(H177="",J177,J177*(1-IF(I177="",Settings!$B$6,I177))))</f>
        <v/>
      </c>
      <c r="L177" s="20" t="str">
        <f aca="false">IF(OR(J177="",H177=""),"",J177-K177)</f>
        <v/>
      </c>
      <c r="M177" s="1"/>
    </row>
    <row r="178" customFormat="false" ht="15" hidden="false" customHeight="false" outlineLevel="0" collapsed="false">
      <c r="A178" s="27"/>
      <c r="B178" s="1"/>
      <c r="C178" s="24" t="str">
        <f aca="false">IF(B178="","",IFERROR(INDEX(Patients!$B$2:$B$501,MATCH(B178,Patients!$A$2:$A$501,0))&amp;"",""))</f>
        <v/>
      </c>
      <c r="D178" s="1"/>
      <c r="E178" s="1"/>
      <c r="F178" s="28"/>
      <c r="G178" s="1"/>
      <c r="H178" s="1"/>
      <c r="I178" s="29"/>
      <c r="J178" s="20" t="str">
        <f aca="false">IF(D178="","",IFERROR(INDEX(Settings!$D$36:$D$45,MATCH(D178,Settings!$A$36:$A$45,0)),0))</f>
        <v/>
      </c>
      <c r="K178" s="20" t="str">
        <f aca="false">IF(J178="","",IF(H178="",J178,J178*(1-IF(I178="",Settings!$B$6,I178))))</f>
        <v/>
      </c>
      <c r="L178" s="20" t="str">
        <f aca="false">IF(OR(J178="",H178=""),"",J178-K178)</f>
        <v/>
      </c>
      <c r="M178" s="1"/>
    </row>
    <row r="179" customFormat="false" ht="15" hidden="false" customHeight="false" outlineLevel="0" collapsed="false">
      <c r="A179" s="27"/>
      <c r="B179" s="1"/>
      <c r="C179" s="24" t="str">
        <f aca="false">IF(B179="","",IFERROR(INDEX(Patients!$B$2:$B$501,MATCH(B179,Patients!$A$2:$A$501,0))&amp;"",""))</f>
        <v/>
      </c>
      <c r="D179" s="1"/>
      <c r="E179" s="1"/>
      <c r="F179" s="28"/>
      <c r="G179" s="1"/>
      <c r="H179" s="1"/>
      <c r="I179" s="29"/>
      <c r="J179" s="20" t="str">
        <f aca="false">IF(D179="","",IFERROR(INDEX(Settings!$D$36:$D$45,MATCH(D179,Settings!$A$36:$A$45,0)),0))</f>
        <v/>
      </c>
      <c r="K179" s="20" t="str">
        <f aca="false">IF(J179="","",IF(H179="",J179,J179*(1-IF(I179="",Settings!$B$6,I179))))</f>
        <v/>
      </c>
      <c r="L179" s="20" t="str">
        <f aca="false">IF(OR(J179="",H179=""),"",J179-K179)</f>
        <v/>
      </c>
      <c r="M179" s="1"/>
    </row>
    <row r="180" customFormat="false" ht="15" hidden="false" customHeight="false" outlineLevel="0" collapsed="false">
      <c r="A180" s="27"/>
      <c r="B180" s="1"/>
      <c r="C180" s="24" t="str">
        <f aca="false">IF(B180="","",IFERROR(INDEX(Patients!$B$2:$B$501,MATCH(B180,Patients!$A$2:$A$501,0))&amp;"",""))</f>
        <v/>
      </c>
      <c r="D180" s="1"/>
      <c r="E180" s="1"/>
      <c r="F180" s="28"/>
      <c r="G180" s="1"/>
      <c r="H180" s="1"/>
      <c r="I180" s="29"/>
      <c r="J180" s="20" t="str">
        <f aca="false">IF(D180="","",IFERROR(INDEX(Settings!$D$36:$D$45,MATCH(D180,Settings!$A$36:$A$45,0)),0))</f>
        <v/>
      </c>
      <c r="K180" s="20" t="str">
        <f aca="false">IF(J180="","",IF(H180="",J180,J180*(1-IF(I180="",Settings!$B$6,I180))))</f>
        <v/>
      </c>
      <c r="L180" s="20" t="str">
        <f aca="false">IF(OR(J180="",H180=""),"",J180-K180)</f>
        <v/>
      </c>
      <c r="M180" s="1"/>
    </row>
    <row r="181" customFormat="false" ht="15" hidden="false" customHeight="false" outlineLevel="0" collapsed="false">
      <c r="A181" s="27"/>
      <c r="B181" s="1"/>
      <c r="C181" s="24" t="str">
        <f aca="false">IF(B181="","",IFERROR(INDEX(Patients!$B$2:$B$501,MATCH(B181,Patients!$A$2:$A$501,0))&amp;"",""))</f>
        <v/>
      </c>
      <c r="D181" s="1"/>
      <c r="E181" s="1"/>
      <c r="F181" s="28"/>
      <c r="G181" s="1"/>
      <c r="H181" s="1"/>
      <c r="I181" s="29"/>
      <c r="J181" s="20" t="str">
        <f aca="false">IF(D181="","",IFERROR(INDEX(Settings!$D$36:$D$45,MATCH(D181,Settings!$A$36:$A$45,0)),0))</f>
        <v/>
      </c>
      <c r="K181" s="20" t="str">
        <f aca="false">IF(J181="","",IF(H181="",J181,J181*(1-IF(I181="",Settings!$B$6,I181))))</f>
        <v/>
      </c>
      <c r="L181" s="20" t="str">
        <f aca="false">IF(OR(J181="",H181=""),"",J181-K181)</f>
        <v/>
      </c>
      <c r="M181" s="1"/>
    </row>
    <row r="182" customFormat="false" ht="15" hidden="false" customHeight="false" outlineLevel="0" collapsed="false">
      <c r="A182" s="27"/>
      <c r="B182" s="1"/>
      <c r="C182" s="24" t="str">
        <f aca="false">IF(B182="","",IFERROR(INDEX(Patients!$B$2:$B$501,MATCH(B182,Patients!$A$2:$A$501,0))&amp;"",""))</f>
        <v/>
      </c>
      <c r="D182" s="1"/>
      <c r="E182" s="1"/>
      <c r="F182" s="28"/>
      <c r="G182" s="1"/>
      <c r="H182" s="1"/>
      <c r="I182" s="29"/>
      <c r="J182" s="20" t="str">
        <f aca="false">IF(D182="","",IFERROR(INDEX(Settings!$D$36:$D$45,MATCH(D182,Settings!$A$36:$A$45,0)),0))</f>
        <v/>
      </c>
      <c r="K182" s="20" t="str">
        <f aca="false">IF(J182="","",IF(H182="",J182,J182*(1-IF(I182="",Settings!$B$6,I182))))</f>
        <v/>
      </c>
      <c r="L182" s="20" t="str">
        <f aca="false">IF(OR(J182="",H182=""),"",J182-K182)</f>
        <v/>
      </c>
      <c r="M182" s="1"/>
    </row>
    <row r="183" customFormat="false" ht="15" hidden="false" customHeight="false" outlineLevel="0" collapsed="false">
      <c r="A183" s="27"/>
      <c r="B183" s="1"/>
      <c r="C183" s="24" t="str">
        <f aca="false">IF(B183="","",IFERROR(INDEX(Patients!$B$2:$B$501,MATCH(B183,Patients!$A$2:$A$501,0))&amp;"",""))</f>
        <v/>
      </c>
      <c r="D183" s="1"/>
      <c r="E183" s="1"/>
      <c r="F183" s="28"/>
      <c r="G183" s="1"/>
      <c r="H183" s="1"/>
      <c r="I183" s="29"/>
      <c r="J183" s="20" t="str">
        <f aca="false">IF(D183="","",IFERROR(INDEX(Settings!$D$36:$D$45,MATCH(D183,Settings!$A$36:$A$45,0)),0))</f>
        <v/>
      </c>
      <c r="K183" s="20" t="str">
        <f aca="false">IF(J183="","",IF(H183="",J183,J183*(1-IF(I183="",Settings!$B$6,I183))))</f>
        <v/>
      </c>
      <c r="L183" s="20" t="str">
        <f aca="false">IF(OR(J183="",H183=""),"",J183-K183)</f>
        <v/>
      </c>
      <c r="M183" s="1"/>
    </row>
    <row r="184" customFormat="false" ht="15" hidden="false" customHeight="false" outlineLevel="0" collapsed="false">
      <c r="A184" s="27"/>
      <c r="B184" s="1"/>
      <c r="C184" s="24" t="str">
        <f aca="false">IF(B184="","",IFERROR(INDEX(Patients!$B$2:$B$501,MATCH(B184,Patients!$A$2:$A$501,0))&amp;"",""))</f>
        <v/>
      </c>
      <c r="D184" s="1"/>
      <c r="E184" s="1"/>
      <c r="F184" s="28"/>
      <c r="G184" s="1"/>
      <c r="H184" s="1"/>
      <c r="I184" s="29"/>
      <c r="J184" s="20" t="str">
        <f aca="false">IF(D184="","",IFERROR(INDEX(Settings!$D$36:$D$45,MATCH(D184,Settings!$A$36:$A$45,0)),0))</f>
        <v/>
      </c>
      <c r="K184" s="20" t="str">
        <f aca="false">IF(J184="","",IF(H184="",J184,J184*(1-IF(I184="",Settings!$B$6,I184))))</f>
        <v/>
      </c>
      <c r="L184" s="20" t="str">
        <f aca="false">IF(OR(J184="",H184=""),"",J184-K184)</f>
        <v/>
      </c>
      <c r="M184" s="1"/>
    </row>
    <row r="185" customFormat="false" ht="15" hidden="false" customHeight="false" outlineLevel="0" collapsed="false">
      <c r="A185" s="27"/>
      <c r="B185" s="1"/>
      <c r="C185" s="24" t="str">
        <f aca="false">IF(B185="","",IFERROR(INDEX(Patients!$B$2:$B$501,MATCH(B185,Patients!$A$2:$A$501,0))&amp;"",""))</f>
        <v/>
      </c>
      <c r="D185" s="1"/>
      <c r="E185" s="1"/>
      <c r="F185" s="28"/>
      <c r="G185" s="1"/>
      <c r="H185" s="1"/>
      <c r="I185" s="29"/>
      <c r="J185" s="20" t="str">
        <f aca="false">IF(D185="","",IFERROR(INDEX(Settings!$D$36:$D$45,MATCH(D185,Settings!$A$36:$A$45,0)),0))</f>
        <v/>
      </c>
      <c r="K185" s="20" t="str">
        <f aca="false">IF(J185="","",IF(H185="",J185,J185*(1-IF(I185="",Settings!$B$6,I185))))</f>
        <v/>
      </c>
      <c r="L185" s="20" t="str">
        <f aca="false">IF(OR(J185="",H185=""),"",J185-K185)</f>
        <v/>
      </c>
      <c r="M185" s="1"/>
    </row>
    <row r="186" customFormat="false" ht="15" hidden="false" customHeight="false" outlineLevel="0" collapsed="false">
      <c r="A186" s="27"/>
      <c r="B186" s="1"/>
      <c r="C186" s="24" t="str">
        <f aca="false">IF(B186="","",IFERROR(INDEX(Patients!$B$2:$B$501,MATCH(B186,Patients!$A$2:$A$501,0))&amp;"",""))</f>
        <v/>
      </c>
      <c r="D186" s="1"/>
      <c r="E186" s="1"/>
      <c r="F186" s="28"/>
      <c r="G186" s="1"/>
      <c r="H186" s="1"/>
      <c r="I186" s="29"/>
      <c r="J186" s="20" t="str">
        <f aca="false">IF(D186="","",IFERROR(INDEX(Settings!$D$36:$D$45,MATCH(D186,Settings!$A$36:$A$45,0)),0))</f>
        <v/>
      </c>
      <c r="K186" s="20" t="str">
        <f aca="false">IF(J186="","",IF(H186="",J186,J186*(1-IF(I186="",Settings!$B$6,I186))))</f>
        <v/>
      </c>
      <c r="L186" s="20" t="str">
        <f aca="false">IF(OR(J186="",H186=""),"",J186-K186)</f>
        <v/>
      </c>
      <c r="M186" s="1"/>
    </row>
    <row r="187" customFormat="false" ht="15" hidden="false" customHeight="false" outlineLevel="0" collapsed="false">
      <c r="A187" s="27"/>
      <c r="B187" s="1"/>
      <c r="C187" s="24" t="str">
        <f aca="false">IF(B187="","",IFERROR(INDEX(Patients!$B$2:$B$501,MATCH(B187,Patients!$A$2:$A$501,0))&amp;"",""))</f>
        <v/>
      </c>
      <c r="D187" s="1"/>
      <c r="E187" s="1"/>
      <c r="F187" s="28"/>
      <c r="G187" s="1"/>
      <c r="H187" s="1"/>
      <c r="I187" s="29"/>
      <c r="J187" s="20" t="str">
        <f aca="false">IF(D187="","",IFERROR(INDEX(Settings!$D$36:$D$45,MATCH(D187,Settings!$A$36:$A$45,0)),0))</f>
        <v/>
      </c>
      <c r="K187" s="20" t="str">
        <f aca="false">IF(J187="","",IF(H187="",J187,J187*(1-IF(I187="",Settings!$B$6,I187))))</f>
        <v/>
      </c>
      <c r="L187" s="20" t="str">
        <f aca="false">IF(OR(J187="",H187=""),"",J187-K187)</f>
        <v/>
      </c>
      <c r="M187" s="1"/>
    </row>
    <row r="188" customFormat="false" ht="15" hidden="false" customHeight="false" outlineLevel="0" collapsed="false">
      <c r="A188" s="27"/>
      <c r="B188" s="1"/>
      <c r="C188" s="24" t="str">
        <f aca="false">IF(B188="","",IFERROR(INDEX(Patients!$B$2:$B$501,MATCH(B188,Patients!$A$2:$A$501,0))&amp;"",""))</f>
        <v/>
      </c>
      <c r="D188" s="1"/>
      <c r="E188" s="1"/>
      <c r="F188" s="28"/>
      <c r="G188" s="1"/>
      <c r="H188" s="1"/>
      <c r="I188" s="29"/>
      <c r="J188" s="20" t="str">
        <f aca="false">IF(D188="","",IFERROR(INDEX(Settings!$D$36:$D$45,MATCH(D188,Settings!$A$36:$A$45,0)),0))</f>
        <v/>
      </c>
      <c r="K188" s="20" t="str">
        <f aca="false">IF(J188="","",IF(H188="",J188,J188*(1-IF(I188="",Settings!$B$6,I188))))</f>
        <v/>
      </c>
      <c r="L188" s="20" t="str">
        <f aca="false">IF(OR(J188="",H188=""),"",J188-K188)</f>
        <v/>
      </c>
      <c r="M188" s="1"/>
    </row>
    <row r="189" customFormat="false" ht="15" hidden="false" customHeight="false" outlineLevel="0" collapsed="false">
      <c r="A189" s="27"/>
      <c r="B189" s="1"/>
      <c r="C189" s="24" t="str">
        <f aca="false">IF(B189="","",IFERROR(INDEX(Patients!$B$2:$B$501,MATCH(B189,Patients!$A$2:$A$501,0))&amp;"",""))</f>
        <v/>
      </c>
      <c r="D189" s="1"/>
      <c r="E189" s="1"/>
      <c r="F189" s="28"/>
      <c r="G189" s="1"/>
      <c r="H189" s="1"/>
      <c r="I189" s="29"/>
      <c r="J189" s="20" t="str">
        <f aca="false">IF(D189="","",IFERROR(INDEX(Settings!$D$36:$D$45,MATCH(D189,Settings!$A$36:$A$45,0)),0))</f>
        <v/>
      </c>
      <c r="K189" s="20" t="str">
        <f aca="false">IF(J189="","",IF(H189="",J189,J189*(1-IF(I189="",Settings!$B$6,I189))))</f>
        <v/>
      </c>
      <c r="L189" s="20" t="str">
        <f aca="false">IF(OR(J189="",H189=""),"",J189-K189)</f>
        <v/>
      </c>
      <c r="M189" s="1"/>
    </row>
    <row r="190" customFormat="false" ht="15" hidden="false" customHeight="false" outlineLevel="0" collapsed="false">
      <c r="A190" s="27"/>
      <c r="B190" s="1"/>
      <c r="C190" s="24" t="str">
        <f aca="false">IF(B190="","",IFERROR(INDEX(Patients!$B$2:$B$501,MATCH(B190,Patients!$A$2:$A$501,0))&amp;"",""))</f>
        <v/>
      </c>
      <c r="D190" s="1"/>
      <c r="E190" s="1"/>
      <c r="F190" s="28"/>
      <c r="G190" s="1"/>
      <c r="H190" s="1"/>
      <c r="I190" s="29"/>
      <c r="J190" s="20" t="str">
        <f aca="false">IF(D190="","",IFERROR(INDEX(Settings!$D$36:$D$45,MATCH(D190,Settings!$A$36:$A$45,0)),0))</f>
        <v/>
      </c>
      <c r="K190" s="20" t="str">
        <f aca="false">IF(J190="","",IF(H190="",J190,J190*(1-IF(I190="",Settings!$B$6,I190))))</f>
        <v/>
      </c>
      <c r="L190" s="20" t="str">
        <f aca="false">IF(OR(J190="",H190=""),"",J190-K190)</f>
        <v/>
      </c>
      <c r="M190" s="1"/>
    </row>
    <row r="191" customFormat="false" ht="15" hidden="false" customHeight="false" outlineLevel="0" collapsed="false">
      <c r="A191" s="27"/>
      <c r="B191" s="1"/>
      <c r="C191" s="24" t="str">
        <f aca="false">IF(B191="","",IFERROR(INDEX(Patients!$B$2:$B$501,MATCH(B191,Patients!$A$2:$A$501,0))&amp;"",""))</f>
        <v/>
      </c>
      <c r="D191" s="1"/>
      <c r="E191" s="1"/>
      <c r="F191" s="28"/>
      <c r="G191" s="1"/>
      <c r="H191" s="1"/>
      <c r="I191" s="29"/>
      <c r="J191" s="20" t="str">
        <f aca="false">IF(D191="","",IFERROR(INDEX(Settings!$D$36:$D$45,MATCH(D191,Settings!$A$36:$A$45,0)),0))</f>
        <v/>
      </c>
      <c r="K191" s="20" t="str">
        <f aca="false">IF(J191="","",IF(H191="",J191,J191*(1-IF(I191="",Settings!$B$6,I191))))</f>
        <v/>
      </c>
      <c r="L191" s="20" t="str">
        <f aca="false">IF(OR(J191="",H191=""),"",J191-K191)</f>
        <v/>
      </c>
      <c r="M191" s="1"/>
    </row>
    <row r="192" customFormat="false" ht="15" hidden="false" customHeight="false" outlineLevel="0" collapsed="false">
      <c r="A192" s="27"/>
      <c r="B192" s="1"/>
      <c r="C192" s="24" t="str">
        <f aca="false">IF(B192="","",IFERROR(INDEX(Patients!$B$2:$B$501,MATCH(B192,Patients!$A$2:$A$501,0))&amp;"",""))</f>
        <v/>
      </c>
      <c r="D192" s="1"/>
      <c r="E192" s="1"/>
      <c r="F192" s="28"/>
      <c r="G192" s="1"/>
      <c r="H192" s="1"/>
      <c r="I192" s="29"/>
      <c r="J192" s="20" t="str">
        <f aca="false">IF(D192="","",IFERROR(INDEX(Settings!$D$36:$D$45,MATCH(D192,Settings!$A$36:$A$45,0)),0))</f>
        <v/>
      </c>
      <c r="K192" s="20" t="str">
        <f aca="false">IF(J192="","",IF(H192="",J192,J192*(1-IF(I192="",Settings!$B$6,I192))))</f>
        <v/>
      </c>
      <c r="L192" s="20" t="str">
        <f aca="false">IF(OR(J192="",H192=""),"",J192-K192)</f>
        <v/>
      </c>
      <c r="M192" s="1"/>
    </row>
    <row r="193" customFormat="false" ht="15" hidden="false" customHeight="false" outlineLevel="0" collapsed="false">
      <c r="A193" s="27"/>
      <c r="B193" s="1"/>
      <c r="C193" s="24" t="str">
        <f aca="false">IF(B193="","",IFERROR(INDEX(Patients!$B$2:$B$501,MATCH(B193,Patients!$A$2:$A$501,0))&amp;"",""))</f>
        <v/>
      </c>
      <c r="D193" s="1"/>
      <c r="E193" s="1"/>
      <c r="F193" s="28"/>
      <c r="G193" s="1"/>
      <c r="H193" s="1"/>
      <c r="I193" s="29"/>
      <c r="J193" s="20" t="str">
        <f aca="false">IF(D193="","",IFERROR(INDEX(Settings!$D$36:$D$45,MATCH(D193,Settings!$A$36:$A$45,0)),0))</f>
        <v/>
      </c>
      <c r="K193" s="20" t="str">
        <f aca="false">IF(J193="","",IF(H193="",J193,J193*(1-IF(I193="",Settings!$B$6,I193))))</f>
        <v/>
      </c>
      <c r="L193" s="20" t="str">
        <f aca="false">IF(OR(J193="",H193=""),"",J193-K193)</f>
        <v/>
      </c>
      <c r="M193" s="1"/>
    </row>
    <row r="194" customFormat="false" ht="15" hidden="false" customHeight="false" outlineLevel="0" collapsed="false">
      <c r="A194" s="27"/>
      <c r="B194" s="1"/>
      <c r="C194" s="24" t="str">
        <f aca="false">IF(B194="","",IFERROR(INDEX(Patients!$B$2:$B$501,MATCH(B194,Patients!$A$2:$A$501,0))&amp;"",""))</f>
        <v/>
      </c>
      <c r="D194" s="1"/>
      <c r="E194" s="1"/>
      <c r="F194" s="28"/>
      <c r="G194" s="1"/>
      <c r="H194" s="1"/>
      <c r="I194" s="29"/>
      <c r="J194" s="20" t="str">
        <f aca="false">IF(D194="","",IFERROR(INDEX(Settings!$D$36:$D$45,MATCH(D194,Settings!$A$36:$A$45,0)),0))</f>
        <v/>
      </c>
      <c r="K194" s="20" t="str">
        <f aca="false">IF(J194="","",IF(H194="",J194,J194*(1-IF(I194="",Settings!$B$6,I194))))</f>
        <v/>
      </c>
      <c r="L194" s="20" t="str">
        <f aca="false">IF(OR(J194="",H194=""),"",J194-K194)</f>
        <v/>
      </c>
      <c r="M194" s="1"/>
    </row>
    <row r="195" customFormat="false" ht="15" hidden="false" customHeight="false" outlineLevel="0" collapsed="false">
      <c r="A195" s="27"/>
      <c r="B195" s="1"/>
      <c r="C195" s="24" t="str">
        <f aca="false">IF(B195="","",IFERROR(INDEX(Patients!$B$2:$B$501,MATCH(B195,Patients!$A$2:$A$501,0))&amp;"",""))</f>
        <v/>
      </c>
      <c r="D195" s="1"/>
      <c r="E195" s="1"/>
      <c r="F195" s="28"/>
      <c r="G195" s="1"/>
      <c r="H195" s="1"/>
      <c r="I195" s="29"/>
      <c r="J195" s="20" t="str">
        <f aca="false">IF(D195="","",IFERROR(INDEX(Settings!$D$36:$D$45,MATCH(D195,Settings!$A$36:$A$45,0)),0))</f>
        <v/>
      </c>
      <c r="K195" s="20" t="str">
        <f aca="false">IF(J195="","",IF(H195="",J195,J195*(1-IF(I195="",Settings!$B$6,I195))))</f>
        <v/>
      </c>
      <c r="L195" s="20" t="str">
        <f aca="false">IF(OR(J195="",H195=""),"",J195-K195)</f>
        <v/>
      </c>
      <c r="M195" s="1"/>
    </row>
    <row r="196" customFormat="false" ht="15" hidden="false" customHeight="false" outlineLevel="0" collapsed="false">
      <c r="A196" s="27"/>
      <c r="B196" s="1"/>
      <c r="C196" s="24" t="str">
        <f aca="false">IF(B196="","",IFERROR(INDEX(Patients!$B$2:$B$501,MATCH(B196,Patients!$A$2:$A$501,0))&amp;"",""))</f>
        <v/>
      </c>
      <c r="D196" s="1"/>
      <c r="E196" s="1"/>
      <c r="F196" s="28"/>
      <c r="G196" s="1"/>
      <c r="H196" s="1"/>
      <c r="I196" s="29"/>
      <c r="J196" s="20" t="str">
        <f aca="false">IF(D196="","",IFERROR(INDEX(Settings!$D$36:$D$45,MATCH(D196,Settings!$A$36:$A$45,0)),0))</f>
        <v/>
      </c>
      <c r="K196" s="20" t="str">
        <f aca="false">IF(J196="","",IF(H196="",J196,J196*(1-IF(I196="",Settings!$B$6,I196))))</f>
        <v/>
      </c>
      <c r="L196" s="20" t="str">
        <f aca="false">IF(OR(J196="",H196=""),"",J196-K196)</f>
        <v/>
      </c>
      <c r="M196" s="1"/>
    </row>
    <row r="197" customFormat="false" ht="15" hidden="false" customHeight="false" outlineLevel="0" collapsed="false">
      <c r="A197" s="27"/>
      <c r="B197" s="1"/>
      <c r="C197" s="24" t="str">
        <f aca="false">IF(B197="","",IFERROR(INDEX(Patients!$B$2:$B$501,MATCH(B197,Patients!$A$2:$A$501,0))&amp;"",""))</f>
        <v/>
      </c>
      <c r="D197" s="1"/>
      <c r="E197" s="1"/>
      <c r="F197" s="28"/>
      <c r="G197" s="1"/>
      <c r="H197" s="1"/>
      <c r="I197" s="29"/>
      <c r="J197" s="20" t="str">
        <f aca="false">IF(D197="","",IFERROR(INDEX(Settings!$D$36:$D$45,MATCH(D197,Settings!$A$36:$A$45,0)),0))</f>
        <v/>
      </c>
      <c r="K197" s="20" t="str">
        <f aca="false">IF(J197="","",IF(H197="",J197,J197*(1-IF(I197="",Settings!$B$6,I197))))</f>
        <v/>
      </c>
      <c r="L197" s="20" t="str">
        <f aca="false">IF(OR(J197="",H197=""),"",J197-K197)</f>
        <v/>
      </c>
      <c r="M197" s="1"/>
    </row>
    <row r="198" customFormat="false" ht="15" hidden="false" customHeight="false" outlineLevel="0" collapsed="false">
      <c r="A198" s="27"/>
      <c r="B198" s="1"/>
      <c r="C198" s="24" t="str">
        <f aca="false">IF(B198="","",IFERROR(INDEX(Patients!$B$2:$B$501,MATCH(B198,Patients!$A$2:$A$501,0))&amp;"",""))</f>
        <v/>
      </c>
      <c r="D198" s="1"/>
      <c r="E198" s="1"/>
      <c r="F198" s="28"/>
      <c r="G198" s="1"/>
      <c r="H198" s="1"/>
      <c r="I198" s="29"/>
      <c r="J198" s="20" t="str">
        <f aca="false">IF(D198="","",IFERROR(INDEX(Settings!$D$36:$D$45,MATCH(D198,Settings!$A$36:$A$45,0)),0))</f>
        <v/>
      </c>
      <c r="K198" s="20" t="str">
        <f aca="false">IF(J198="","",IF(H198="",J198,J198*(1-IF(I198="",Settings!$B$6,I198))))</f>
        <v/>
      </c>
      <c r="L198" s="20" t="str">
        <f aca="false">IF(OR(J198="",H198=""),"",J198-K198)</f>
        <v/>
      </c>
      <c r="M198" s="1"/>
    </row>
    <row r="199" customFormat="false" ht="15" hidden="false" customHeight="false" outlineLevel="0" collapsed="false">
      <c r="A199" s="27"/>
      <c r="B199" s="1"/>
      <c r="C199" s="24" t="str">
        <f aca="false">IF(B199="","",IFERROR(INDEX(Patients!$B$2:$B$501,MATCH(B199,Patients!$A$2:$A$501,0))&amp;"",""))</f>
        <v/>
      </c>
      <c r="D199" s="1"/>
      <c r="E199" s="1"/>
      <c r="F199" s="28"/>
      <c r="G199" s="1"/>
      <c r="H199" s="1"/>
      <c r="I199" s="29"/>
      <c r="J199" s="20" t="str">
        <f aca="false">IF(D199="","",IFERROR(INDEX(Settings!$D$36:$D$45,MATCH(D199,Settings!$A$36:$A$45,0)),0))</f>
        <v/>
      </c>
      <c r="K199" s="20" t="str">
        <f aca="false">IF(J199="","",IF(H199="",J199,J199*(1-IF(I199="",Settings!$B$6,I199))))</f>
        <v/>
      </c>
      <c r="L199" s="20" t="str">
        <f aca="false">IF(OR(J199="",H199=""),"",J199-K199)</f>
        <v/>
      </c>
      <c r="M199" s="1"/>
    </row>
    <row r="200" customFormat="false" ht="15" hidden="false" customHeight="false" outlineLevel="0" collapsed="false">
      <c r="A200" s="27"/>
      <c r="B200" s="1"/>
      <c r="C200" s="24" t="str">
        <f aca="false">IF(B200="","",IFERROR(INDEX(Patients!$B$2:$B$501,MATCH(B200,Patients!$A$2:$A$501,0))&amp;"",""))</f>
        <v/>
      </c>
      <c r="D200" s="1"/>
      <c r="E200" s="1"/>
      <c r="F200" s="28"/>
      <c r="G200" s="1"/>
      <c r="H200" s="1"/>
      <c r="I200" s="29"/>
      <c r="J200" s="20" t="str">
        <f aca="false">IF(D200="","",IFERROR(INDEX(Settings!$D$36:$D$45,MATCH(D200,Settings!$A$36:$A$45,0)),0))</f>
        <v/>
      </c>
      <c r="K200" s="20" t="str">
        <f aca="false">IF(J200="","",IF(H200="",J200,J200*(1-IF(I200="",Settings!$B$6,I200))))</f>
        <v/>
      </c>
      <c r="L200" s="20" t="str">
        <f aca="false">IF(OR(J200="",H200=""),"",J200-K200)</f>
        <v/>
      </c>
      <c r="M200" s="1"/>
    </row>
    <row r="201" customFormat="false" ht="15" hidden="false" customHeight="false" outlineLevel="0" collapsed="false">
      <c r="A201" s="27"/>
      <c r="B201" s="1"/>
      <c r="C201" s="24" t="str">
        <f aca="false">IF(B201="","",IFERROR(INDEX(Patients!$B$2:$B$501,MATCH(B201,Patients!$A$2:$A$501,0))&amp;"",""))</f>
        <v/>
      </c>
      <c r="D201" s="1"/>
      <c r="E201" s="1"/>
      <c r="F201" s="28"/>
      <c r="G201" s="1"/>
      <c r="H201" s="1"/>
      <c r="I201" s="29"/>
      <c r="J201" s="20" t="str">
        <f aca="false">IF(D201="","",IFERROR(INDEX(Settings!$D$36:$D$45,MATCH(D201,Settings!$A$36:$A$45,0)),0))</f>
        <v/>
      </c>
      <c r="K201" s="20" t="str">
        <f aca="false">IF(J201="","",IF(H201="",J201,J201*(1-IF(I201="",Settings!$B$6,I201))))</f>
        <v/>
      </c>
      <c r="L201" s="20" t="str">
        <f aca="false">IF(OR(J201="",H201=""),"",J201-K201)</f>
        <v/>
      </c>
      <c r="M201" s="1"/>
    </row>
    <row r="202" customFormat="false" ht="15" hidden="false" customHeight="false" outlineLevel="0" collapsed="false">
      <c r="A202" s="27"/>
      <c r="B202" s="1"/>
      <c r="C202" s="24" t="str">
        <f aca="false">IF(B202="","",IFERROR(INDEX(Patients!$B$2:$B$501,MATCH(B202,Patients!$A$2:$A$501,0))&amp;"",""))</f>
        <v/>
      </c>
      <c r="D202" s="1"/>
      <c r="E202" s="1"/>
      <c r="F202" s="28"/>
      <c r="G202" s="1"/>
      <c r="H202" s="1"/>
      <c r="I202" s="29"/>
      <c r="J202" s="20" t="str">
        <f aca="false">IF(D202="","",IFERROR(INDEX(Settings!$D$36:$D$45,MATCH(D202,Settings!$A$36:$A$45,0)),0))</f>
        <v/>
      </c>
      <c r="K202" s="20" t="str">
        <f aca="false">IF(J202="","",IF(H202="",J202,J202*(1-IF(I202="",Settings!$B$6,I202))))</f>
        <v/>
      </c>
      <c r="L202" s="20" t="str">
        <f aca="false">IF(OR(J202="",H202=""),"",J202-K202)</f>
        <v/>
      </c>
      <c r="M202" s="1"/>
    </row>
    <row r="203" customFormat="false" ht="15" hidden="false" customHeight="false" outlineLevel="0" collapsed="false">
      <c r="A203" s="27"/>
      <c r="B203" s="1"/>
      <c r="C203" s="24" t="str">
        <f aca="false">IF(B203="","",IFERROR(INDEX(Patients!$B$2:$B$501,MATCH(B203,Patients!$A$2:$A$501,0))&amp;"",""))</f>
        <v/>
      </c>
      <c r="D203" s="1"/>
      <c r="E203" s="1"/>
      <c r="F203" s="28"/>
      <c r="G203" s="1"/>
      <c r="H203" s="1"/>
      <c r="I203" s="29"/>
      <c r="J203" s="20" t="str">
        <f aca="false">IF(D203="","",IFERROR(INDEX(Settings!$D$36:$D$45,MATCH(D203,Settings!$A$36:$A$45,0)),0))</f>
        <v/>
      </c>
      <c r="K203" s="20" t="str">
        <f aca="false">IF(J203="","",IF(H203="",J203,J203*(1-IF(I203="",Settings!$B$6,I203))))</f>
        <v/>
      </c>
      <c r="L203" s="20" t="str">
        <f aca="false">IF(OR(J203="",H203=""),"",J203-K203)</f>
        <v/>
      </c>
      <c r="M203" s="1"/>
    </row>
    <row r="204" customFormat="false" ht="15" hidden="false" customHeight="false" outlineLevel="0" collapsed="false">
      <c r="A204" s="27"/>
      <c r="B204" s="1"/>
      <c r="C204" s="24" t="str">
        <f aca="false">IF(B204="","",IFERROR(INDEX(Patients!$B$2:$B$501,MATCH(B204,Patients!$A$2:$A$501,0))&amp;"",""))</f>
        <v/>
      </c>
      <c r="D204" s="1"/>
      <c r="E204" s="1"/>
      <c r="F204" s="28"/>
      <c r="G204" s="1"/>
      <c r="H204" s="1"/>
      <c r="I204" s="29"/>
      <c r="J204" s="20" t="str">
        <f aca="false">IF(D204="","",IFERROR(INDEX(Settings!$D$36:$D$45,MATCH(D204,Settings!$A$36:$A$45,0)),0))</f>
        <v/>
      </c>
      <c r="K204" s="20" t="str">
        <f aca="false">IF(J204="","",IF(H204="",J204,J204*(1-IF(I204="",Settings!$B$6,I204))))</f>
        <v/>
      </c>
      <c r="L204" s="20" t="str">
        <f aca="false">IF(OR(J204="",H204=""),"",J204-K204)</f>
        <v/>
      </c>
      <c r="M204" s="1"/>
    </row>
    <row r="205" customFormat="false" ht="15" hidden="false" customHeight="false" outlineLevel="0" collapsed="false">
      <c r="A205" s="27"/>
      <c r="B205" s="1"/>
      <c r="C205" s="24" t="str">
        <f aca="false">IF(B205="","",IFERROR(INDEX(Patients!$B$2:$B$501,MATCH(B205,Patients!$A$2:$A$501,0))&amp;"",""))</f>
        <v/>
      </c>
      <c r="D205" s="1"/>
      <c r="E205" s="1"/>
      <c r="F205" s="28"/>
      <c r="G205" s="1"/>
      <c r="H205" s="1"/>
      <c r="I205" s="29"/>
      <c r="J205" s="20" t="str">
        <f aca="false">IF(D205="","",IFERROR(INDEX(Settings!$D$36:$D$45,MATCH(D205,Settings!$A$36:$A$45,0)),0))</f>
        <v/>
      </c>
      <c r="K205" s="20" t="str">
        <f aca="false">IF(J205="","",IF(H205="",J205,J205*(1-IF(I205="",Settings!$B$6,I205))))</f>
        <v/>
      </c>
      <c r="L205" s="20" t="str">
        <f aca="false">IF(OR(J205="",H205=""),"",J205-K205)</f>
        <v/>
      </c>
      <c r="M205" s="1"/>
    </row>
    <row r="206" customFormat="false" ht="15" hidden="false" customHeight="false" outlineLevel="0" collapsed="false">
      <c r="A206" s="27"/>
      <c r="B206" s="1"/>
      <c r="C206" s="24" t="str">
        <f aca="false">IF(B206="","",IFERROR(INDEX(Patients!$B$2:$B$501,MATCH(B206,Patients!$A$2:$A$501,0))&amp;"",""))</f>
        <v/>
      </c>
      <c r="D206" s="1"/>
      <c r="E206" s="1"/>
      <c r="F206" s="28"/>
      <c r="G206" s="1"/>
      <c r="H206" s="1"/>
      <c r="I206" s="29"/>
      <c r="J206" s="20" t="str">
        <f aca="false">IF(D206="","",IFERROR(INDEX(Settings!$D$36:$D$45,MATCH(D206,Settings!$A$36:$A$45,0)),0))</f>
        <v/>
      </c>
      <c r="K206" s="20" t="str">
        <f aca="false">IF(J206="","",IF(H206="",J206,J206*(1-IF(I206="",Settings!$B$6,I206))))</f>
        <v/>
      </c>
      <c r="L206" s="20" t="str">
        <f aca="false">IF(OR(J206="",H206=""),"",J206-K206)</f>
        <v/>
      </c>
      <c r="M206" s="1"/>
    </row>
    <row r="207" customFormat="false" ht="15" hidden="false" customHeight="false" outlineLevel="0" collapsed="false">
      <c r="A207" s="27"/>
      <c r="B207" s="1"/>
      <c r="C207" s="24" t="str">
        <f aca="false">IF(B207="","",IFERROR(INDEX(Patients!$B$2:$B$501,MATCH(B207,Patients!$A$2:$A$501,0))&amp;"",""))</f>
        <v/>
      </c>
      <c r="D207" s="1"/>
      <c r="E207" s="1"/>
      <c r="F207" s="28"/>
      <c r="G207" s="1"/>
      <c r="H207" s="1"/>
      <c r="I207" s="29"/>
      <c r="J207" s="20" t="str">
        <f aca="false">IF(D207="","",IFERROR(INDEX(Settings!$D$36:$D$45,MATCH(D207,Settings!$A$36:$A$45,0)),0))</f>
        <v/>
      </c>
      <c r="K207" s="20" t="str">
        <f aca="false">IF(J207="","",IF(H207="",J207,J207*(1-IF(I207="",Settings!$B$6,I207))))</f>
        <v/>
      </c>
      <c r="L207" s="20" t="str">
        <f aca="false">IF(OR(J207="",H207=""),"",J207-K207)</f>
        <v/>
      </c>
      <c r="M207" s="1"/>
    </row>
    <row r="208" customFormat="false" ht="15" hidden="false" customHeight="false" outlineLevel="0" collapsed="false">
      <c r="A208" s="27"/>
      <c r="B208" s="1"/>
      <c r="C208" s="24" t="str">
        <f aca="false">IF(B208="","",IFERROR(INDEX(Patients!$B$2:$B$501,MATCH(B208,Patients!$A$2:$A$501,0))&amp;"",""))</f>
        <v/>
      </c>
      <c r="D208" s="1"/>
      <c r="E208" s="1"/>
      <c r="F208" s="28"/>
      <c r="G208" s="1"/>
      <c r="H208" s="1"/>
      <c r="I208" s="29"/>
      <c r="J208" s="20" t="str">
        <f aca="false">IF(D208="","",IFERROR(INDEX(Settings!$D$36:$D$45,MATCH(D208,Settings!$A$36:$A$45,0)),0))</f>
        <v/>
      </c>
      <c r="K208" s="20" t="str">
        <f aca="false">IF(J208="","",IF(H208="",J208,J208*(1-IF(I208="",Settings!$B$6,I208))))</f>
        <v/>
      </c>
      <c r="L208" s="20" t="str">
        <f aca="false">IF(OR(J208="",H208=""),"",J208-K208)</f>
        <v/>
      </c>
      <c r="M208" s="1"/>
    </row>
    <row r="209" customFormat="false" ht="15" hidden="false" customHeight="false" outlineLevel="0" collapsed="false">
      <c r="A209" s="27"/>
      <c r="B209" s="1"/>
      <c r="C209" s="24" t="str">
        <f aca="false">IF(B209="","",IFERROR(INDEX(Patients!$B$2:$B$501,MATCH(B209,Patients!$A$2:$A$501,0))&amp;"",""))</f>
        <v/>
      </c>
      <c r="D209" s="1"/>
      <c r="E209" s="1"/>
      <c r="F209" s="28"/>
      <c r="G209" s="1"/>
      <c r="H209" s="1"/>
      <c r="I209" s="29"/>
      <c r="J209" s="20" t="str">
        <f aca="false">IF(D209="","",IFERROR(INDEX(Settings!$D$36:$D$45,MATCH(D209,Settings!$A$36:$A$45,0)),0))</f>
        <v/>
      </c>
      <c r="K209" s="20" t="str">
        <f aca="false">IF(J209="","",IF(H209="",J209,J209*(1-IF(I209="",Settings!$B$6,I209))))</f>
        <v/>
      </c>
      <c r="L209" s="20" t="str">
        <f aca="false">IF(OR(J209="",H209=""),"",J209-K209)</f>
        <v/>
      </c>
      <c r="M209" s="1"/>
    </row>
    <row r="210" customFormat="false" ht="15" hidden="false" customHeight="false" outlineLevel="0" collapsed="false">
      <c r="A210" s="27"/>
      <c r="B210" s="1"/>
      <c r="C210" s="24" t="str">
        <f aca="false">IF(B210="","",IFERROR(INDEX(Patients!$B$2:$B$501,MATCH(B210,Patients!$A$2:$A$501,0))&amp;"",""))</f>
        <v/>
      </c>
      <c r="D210" s="1"/>
      <c r="E210" s="1"/>
      <c r="F210" s="28"/>
      <c r="G210" s="1"/>
      <c r="H210" s="1"/>
      <c r="I210" s="29"/>
      <c r="J210" s="20" t="str">
        <f aca="false">IF(D210="","",IFERROR(INDEX(Settings!$D$36:$D$45,MATCH(D210,Settings!$A$36:$A$45,0)),0))</f>
        <v/>
      </c>
      <c r="K210" s="20" t="str">
        <f aca="false">IF(J210="","",IF(H210="",J210,J210*(1-IF(I210="",Settings!$B$6,I210))))</f>
        <v/>
      </c>
      <c r="L210" s="20" t="str">
        <f aca="false">IF(OR(J210="",H210=""),"",J210-K210)</f>
        <v/>
      </c>
      <c r="M210" s="1"/>
    </row>
    <row r="211" customFormat="false" ht="15" hidden="false" customHeight="false" outlineLevel="0" collapsed="false">
      <c r="A211" s="27"/>
      <c r="B211" s="1"/>
      <c r="C211" s="24" t="str">
        <f aca="false">IF(B211="","",IFERROR(INDEX(Patients!$B$2:$B$501,MATCH(B211,Patients!$A$2:$A$501,0))&amp;"",""))</f>
        <v/>
      </c>
      <c r="D211" s="1"/>
      <c r="E211" s="1"/>
      <c r="F211" s="28"/>
      <c r="G211" s="1"/>
      <c r="H211" s="1"/>
      <c r="I211" s="29"/>
      <c r="J211" s="20" t="str">
        <f aca="false">IF(D211="","",IFERROR(INDEX(Settings!$D$36:$D$45,MATCH(D211,Settings!$A$36:$A$45,0)),0))</f>
        <v/>
      </c>
      <c r="K211" s="20" t="str">
        <f aca="false">IF(J211="","",IF(H211="",J211,J211*(1-IF(I211="",Settings!$B$6,I211))))</f>
        <v/>
      </c>
      <c r="L211" s="20" t="str">
        <f aca="false">IF(OR(J211="",H211=""),"",J211-K211)</f>
        <v/>
      </c>
      <c r="M211" s="1"/>
    </row>
    <row r="212" customFormat="false" ht="15" hidden="false" customHeight="false" outlineLevel="0" collapsed="false">
      <c r="A212" s="27"/>
      <c r="B212" s="1"/>
      <c r="C212" s="24" t="str">
        <f aca="false">IF(B212="","",IFERROR(INDEX(Patients!$B$2:$B$501,MATCH(B212,Patients!$A$2:$A$501,0))&amp;"",""))</f>
        <v/>
      </c>
      <c r="D212" s="1"/>
      <c r="E212" s="1"/>
      <c r="F212" s="28"/>
      <c r="G212" s="1"/>
      <c r="H212" s="1"/>
      <c r="I212" s="29"/>
      <c r="J212" s="20" t="str">
        <f aca="false">IF(D212="","",IFERROR(INDEX(Settings!$D$36:$D$45,MATCH(D212,Settings!$A$36:$A$45,0)),0))</f>
        <v/>
      </c>
      <c r="K212" s="20" t="str">
        <f aca="false">IF(J212="","",IF(H212="",J212,J212*(1-IF(I212="",Settings!$B$6,I212))))</f>
        <v/>
      </c>
      <c r="L212" s="20" t="str">
        <f aca="false">IF(OR(J212="",H212=""),"",J212-K212)</f>
        <v/>
      </c>
      <c r="M212" s="1"/>
    </row>
    <row r="213" customFormat="false" ht="15" hidden="false" customHeight="false" outlineLevel="0" collapsed="false">
      <c r="A213" s="27"/>
      <c r="B213" s="1"/>
      <c r="C213" s="24" t="str">
        <f aca="false">IF(B213="","",IFERROR(INDEX(Patients!$B$2:$B$501,MATCH(B213,Patients!$A$2:$A$501,0))&amp;"",""))</f>
        <v/>
      </c>
      <c r="D213" s="1"/>
      <c r="E213" s="1"/>
      <c r="F213" s="28"/>
      <c r="G213" s="1"/>
      <c r="H213" s="1"/>
      <c r="I213" s="29"/>
      <c r="J213" s="20" t="str">
        <f aca="false">IF(D213="","",IFERROR(INDEX(Settings!$D$36:$D$45,MATCH(D213,Settings!$A$36:$A$45,0)),0))</f>
        <v/>
      </c>
      <c r="K213" s="20" t="str">
        <f aca="false">IF(J213="","",IF(H213="",J213,J213*(1-IF(I213="",Settings!$B$6,I213))))</f>
        <v/>
      </c>
      <c r="L213" s="20" t="str">
        <f aca="false">IF(OR(J213="",H213=""),"",J213-K213)</f>
        <v/>
      </c>
      <c r="M213" s="1"/>
    </row>
    <row r="214" customFormat="false" ht="15" hidden="false" customHeight="false" outlineLevel="0" collapsed="false">
      <c r="A214" s="27"/>
      <c r="B214" s="1"/>
      <c r="C214" s="24" t="str">
        <f aca="false">IF(B214="","",IFERROR(INDEX(Patients!$B$2:$B$501,MATCH(B214,Patients!$A$2:$A$501,0))&amp;"",""))</f>
        <v/>
      </c>
      <c r="D214" s="1"/>
      <c r="E214" s="1"/>
      <c r="F214" s="28"/>
      <c r="G214" s="1"/>
      <c r="H214" s="1"/>
      <c r="I214" s="29"/>
      <c r="J214" s="20" t="str">
        <f aca="false">IF(D214="","",IFERROR(INDEX(Settings!$D$36:$D$45,MATCH(D214,Settings!$A$36:$A$45,0)),0))</f>
        <v/>
      </c>
      <c r="K214" s="20" t="str">
        <f aca="false">IF(J214="","",IF(H214="",J214,J214*(1-IF(I214="",Settings!$B$6,I214))))</f>
        <v/>
      </c>
      <c r="L214" s="20" t="str">
        <f aca="false">IF(OR(J214="",H214=""),"",J214-K214)</f>
        <v/>
      </c>
      <c r="M214" s="1"/>
    </row>
    <row r="215" customFormat="false" ht="15" hidden="false" customHeight="false" outlineLevel="0" collapsed="false">
      <c r="A215" s="27"/>
      <c r="B215" s="1"/>
      <c r="C215" s="24" t="str">
        <f aca="false">IF(B215="","",IFERROR(INDEX(Patients!$B$2:$B$501,MATCH(B215,Patients!$A$2:$A$501,0))&amp;"",""))</f>
        <v/>
      </c>
      <c r="D215" s="1"/>
      <c r="E215" s="1"/>
      <c r="F215" s="28"/>
      <c r="G215" s="1"/>
      <c r="H215" s="1"/>
      <c r="I215" s="29"/>
      <c r="J215" s="20" t="str">
        <f aca="false">IF(D215="","",IFERROR(INDEX(Settings!$D$36:$D$45,MATCH(D215,Settings!$A$36:$A$45,0)),0))</f>
        <v/>
      </c>
      <c r="K215" s="20" t="str">
        <f aca="false">IF(J215="","",IF(H215="",J215,J215*(1-IF(I215="",Settings!$B$6,I215))))</f>
        <v/>
      </c>
      <c r="L215" s="20" t="str">
        <f aca="false">IF(OR(J215="",H215=""),"",J215-K215)</f>
        <v/>
      </c>
      <c r="M215" s="1"/>
    </row>
    <row r="216" customFormat="false" ht="15" hidden="false" customHeight="false" outlineLevel="0" collapsed="false">
      <c r="A216" s="27"/>
      <c r="B216" s="1"/>
      <c r="C216" s="24" t="str">
        <f aca="false">IF(B216="","",IFERROR(INDEX(Patients!$B$2:$B$501,MATCH(B216,Patients!$A$2:$A$501,0))&amp;"",""))</f>
        <v/>
      </c>
      <c r="D216" s="1"/>
      <c r="E216" s="1"/>
      <c r="F216" s="28"/>
      <c r="G216" s="1"/>
      <c r="H216" s="1"/>
      <c r="I216" s="29"/>
      <c r="J216" s="20" t="str">
        <f aca="false">IF(D216="","",IFERROR(INDEX(Settings!$D$36:$D$45,MATCH(D216,Settings!$A$36:$A$45,0)),0))</f>
        <v/>
      </c>
      <c r="K216" s="20" t="str">
        <f aca="false">IF(J216="","",IF(H216="",J216,J216*(1-IF(I216="",Settings!$B$6,I216))))</f>
        <v/>
      </c>
      <c r="L216" s="20" t="str">
        <f aca="false">IF(OR(J216="",H216=""),"",J216-K216)</f>
        <v/>
      </c>
      <c r="M216" s="1"/>
    </row>
    <row r="217" customFormat="false" ht="15" hidden="false" customHeight="false" outlineLevel="0" collapsed="false">
      <c r="A217" s="27"/>
      <c r="B217" s="1"/>
      <c r="C217" s="24" t="str">
        <f aca="false">IF(B217="","",IFERROR(INDEX(Patients!$B$2:$B$501,MATCH(B217,Patients!$A$2:$A$501,0))&amp;"",""))</f>
        <v/>
      </c>
      <c r="D217" s="1"/>
      <c r="E217" s="1"/>
      <c r="F217" s="28"/>
      <c r="G217" s="1"/>
      <c r="H217" s="1"/>
      <c r="I217" s="29"/>
      <c r="J217" s="20" t="str">
        <f aca="false">IF(D217="","",IFERROR(INDEX(Settings!$D$36:$D$45,MATCH(D217,Settings!$A$36:$A$45,0)),0))</f>
        <v/>
      </c>
      <c r="K217" s="20" t="str">
        <f aca="false">IF(J217="","",IF(H217="",J217,J217*(1-IF(I217="",Settings!$B$6,I217))))</f>
        <v/>
      </c>
      <c r="L217" s="20" t="str">
        <f aca="false">IF(OR(J217="",H217=""),"",J217-K217)</f>
        <v/>
      </c>
      <c r="M217" s="1"/>
    </row>
    <row r="218" customFormat="false" ht="15" hidden="false" customHeight="false" outlineLevel="0" collapsed="false">
      <c r="A218" s="27"/>
      <c r="B218" s="1"/>
      <c r="C218" s="24" t="str">
        <f aca="false">IF(B218="","",IFERROR(INDEX(Patients!$B$2:$B$501,MATCH(B218,Patients!$A$2:$A$501,0))&amp;"",""))</f>
        <v/>
      </c>
      <c r="D218" s="1"/>
      <c r="E218" s="1"/>
      <c r="F218" s="28"/>
      <c r="G218" s="1"/>
      <c r="H218" s="1"/>
      <c r="I218" s="29"/>
      <c r="J218" s="20" t="str">
        <f aca="false">IF(D218="","",IFERROR(INDEX(Settings!$D$36:$D$45,MATCH(D218,Settings!$A$36:$A$45,0)),0))</f>
        <v/>
      </c>
      <c r="K218" s="20" t="str">
        <f aca="false">IF(J218="","",IF(H218="",J218,J218*(1-IF(I218="",Settings!$B$6,I218))))</f>
        <v/>
      </c>
      <c r="L218" s="20" t="str">
        <f aca="false">IF(OR(J218="",H218=""),"",J218-K218)</f>
        <v/>
      </c>
      <c r="M218" s="1"/>
    </row>
    <row r="219" customFormat="false" ht="15" hidden="false" customHeight="false" outlineLevel="0" collapsed="false">
      <c r="A219" s="27"/>
      <c r="B219" s="1"/>
      <c r="C219" s="24" t="str">
        <f aca="false">IF(B219="","",IFERROR(INDEX(Patients!$B$2:$B$501,MATCH(B219,Patients!$A$2:$A$501,0))&amp;"",""))</f>
        <v/>
      </c>
      <c r="D219" s="1"/>
      <c r="E219" s="1"/>
      <c r="F219" s="28"/>
      <c r="G219" s="1"/>
      <c r="H219" s="1"/>
      <c r="I219" s="29"/>
      <c r="J219" s="20" t="str">
        <f aca="false">IF(D219="","",IFERROR(INDEX(Settings!$D$36:$D$45,MATCH(D219,Settings!$A$36:$A$45,0)),0))</f>
        <v/>
      </c>
      <c r="K219" s="20" t="str">
        <f aca="false">IF(J219="","",IF(H219="",J219,J219*(1-IF(I219="",Settings!$B$6,I219))))</f>
        <v/>
      </c>
      <c r="L219" s="20" t="str">
        <f aca="false">IF(OR(J219="",H219=""),"",J219-K219)</f>
        <v/>
      </c>
      <c r="M219" s="1"/>
    </row>
    <row r="220" customFormat="false" ht="15" hidden="false" customHeight="false" outlineLevel="0" collapsed="false">
      <c r="A220" s="27"/>
      <c r="B220" s="1"/>
      <c r="C220" s="24" t="str">
        <f aca="false">IF(B220="","",IFERROR(INDEX(Patients!$B$2:$B$501,MATCH(B220,Patients!$A$2:$A$501,0))&amp;"",""))</f>
        <v/>
      </c>
      <c r="D220" s="1"/>
      <c r="E220" s="1"/>
      <c r="F220" s="28"/>
      <c r="G220" s="1"/>
      <c r="H220" s="1"/>
      <c r="I220" s="29"/>
      <c r="J220" s="20" t="str">
        <f aca="false">IF(D220="","",IFERROR(INDEX(Settings!$D$36:$D$45,MATCH(D220,Settings!$A$36:$A$45,0)),0))</f>
        <v/>
      </c>
      <c r="K220" s="20" t="str">
        <f aca="false">IF(J220="","",IF(H220="",J220,J220*(1-IF(I220="",Settings!$B$6,I220))))</f>
        <v/>
      </c>
      <c r="L220" s="20" t="str">
        <f aca="false">IF(OR(J220="",H220=""),"",J220-K220)</f>
        <v/>
      </c>
      <c r="M220" s="1"/>
    </row>
    <row r="221" customFormat="false" ht="15" hidden="false" customHeight="false" outlineLevel="0" collapsed="false">
      <c r="A221" s="27"/>
      <c r="B221" s="1"/>
      <c r="C221" s="24" t="str">
        <f aca="false">IF(B221="","",IFERROR(INDEX(Patients!$B$2:$B$501,MATCH(B221,Patients!$A$2:$A$501,0))&amp;"",""))</f>
        <v/>
      </c>
      <c r="D221" s="1"/>
      <c r="E221" s="1"/>
      <c r="F221" s="28"/>
      <c r="G221" s="1"/>
      <c r="H221" s="1"/>
      <c r="I221" s="29"/>
      <c r="J221" s="20" t="str">
        <f aca="false">IF(D221="","",IFERROR(INDEX(Settings!$D$36:$D$45,MATCH(D221,Settings!$A$36:$A$45,0)),0))</f>
        <v/>
      </c>
      <c r="K221" s="20" t="str">
        <f aca="false">IF(J221="","",IF(H221="",J221,J221*(1-IF(I221="",Settings!$B$6,I221))))</f>
        <v/>
      </c>
      <c r="L221" s="20" t="str">
        <f aca="false">IF(OR(J221="",H221=""),"",J221-K221)</f>
        <v/>
      </c>
      <c r="M221" s="1"/>
    </row>
    <row r="222" customFormat="false" ht="15" hidden="false" customHeight="false" outlineLevel="0" collapsed="false">
      <c r="A222" s="27"/>
      <c r="B222" s="1"/>
      <c r="C222" s="24" t="str">
        <f aca="false">IF(B222="","",IFERROR(INDEX(Patients!$B$2:$B$501,MATCH(B222,Patients!$A$2:$A$501,0))&amp;"",""))</f>
        <v/>
      </c>
      <c r="D222" s="1"/>
      <c r="E222" s="1"/>
      <c r="F222" s="28"/>
      <c r="G222" s="1"/>
      <c r="H222" s="1"/>
      <c r="I222" s="29"/>
      <c r="J222" s="20" t="str">
        <f aca="false">IF(D222="","",IFERROR(INDEX(Settings!$D$36:$D$45,MATCH(D222,Settings!$A$36:$A$45,0)),0))</f>
        <v/>
      </c>
      <c r="K222" s="20" t="str">
        <f aca="false">IF(J222="","",IF(H222="",J222,J222*(1-IF(I222="",Settings!$B$6,I222))))</f>
        <v/>
      </c>
      <c r="L222" s="20" t="str">
        <f aca="false">IF(OR(J222="",H222=""),"",J222-K222)</f>
        <v/>
      </c>
      <c r="M222" s="1"/>
    </row>
    <row r="223" customFormat="false" ht="15" hidden="false" customHeight="false" outlineLevel="0" collapsed="false">
      <c r="A223" s="27"/>
      <c r="B223" s="1"/>
      <c r="C223" s="24" t="str">
        <f aca="false">IF(B223="","",IFERROR(INDEX(Patients!$B$2:$B$501,MATCH(B223,Patients!$A$2:$A$501,0))&amp;"",""))</f>
        <v/>
      </c>
      <c r="D223" s="1"/>
      <c r="E223" s="1"/>
      <c r="F223" s="28"/>
      <c r="G223" s="1"/>
      <c r="H223" s="1"/>
      <c r="I223" s="29"/>
      <c r="J223" s="20" t="str">
        <f aca="false">IF(D223="","",IFERROR(INDEX(Settings!$D$36:$D$45,MATCH(D223,Settings!$A$36:$A$45,0)),0))</f>
        <v/>
      </c>
      <c r="K223" s="20" t="str">
        <f aca="false">IF(J223="","",IF(H223="",J223,J223*(1-IF(I223="",Settings!$B$6,I223))))</f>
        <v/>
      </c>
      <c r="L223" s="20" t="str">
        <f aca="false">IF(OR(J223="",H223=""),"",J223-K223)</f>
        <v/>
      </c>
      <c r="M223" s="1"/>
    </row>
    <row r="224" customFormat="false" ht="15" hidden="false" customHeight="false" outlineLevel="0" collapsed="false">
      <c r="A224" s="27"/>
      <c r="B224" s="1"/>
      <c r="C224" s="24" t="str">
        <f aca="false">IF(B224="","",IFERROR(INDEX(Patients!$B$2:$B$501,MATCH(B224,Patients!$A$2:$A$501,0))&amp;"",""))</f>
        <v/>
      </c>
      <c r="D224" s="1"/>
      <c r="E224" s="1"/>
      <c r="F224" s="28"/>
      <c r="G224" s="1"/>
      <c r="H224" s="1"/>
      <c r="I224" s="29"/>
      <c r="J224" s="20" t="str">
        <f aca="false">IF(D224="","",IFERROR(INDEX(Settings!$D$36:$D$45,MATCH(D224,Settings!$A$36:$A$45,0)),0))</f>
        <v/>
      </c>
      <c r="K224" s="20" t="str">
        <f aca="false">IF(J224="","",IF(H224="",J224,J224*(1-IF(I224="",Settings!$B$6,I224))))</f>
        <v/>
      </c>
      <c r="L224" s="20" t="str">
        <f aca="false">IF(OR(J224="",H224=""),"",J224-K224)</f>
        <v/>
      </c>
      <c r="M224" s="1"/>
    </row>
    <row r="225" customFormat="false" ht="15" hidden="false" customHeight="false" outlineLevel="0" collapsed="false">
      <c r="A225" s="27"/>
      <c r="B225" s="1"/>
      <c r="C225" s="24" t="str">
        <f aca="false">IF(B225="","",IFERROR(INDEX(Patients!$B$2:$B$501,MATCH(B225,Patients!$A$2:$A$501,0))&amp;"",""))</f>
        <v/>
      </c>
      <c r="D225" s="1"/>
      <c r="E225" s="1"/>
      <c r="F225" s="28"/>
      <c r="G225" s="1"/>
      <c r="H225" s="1"/>
      <c r="I225" s="29"/>
      <c r="J225" s="20" t="str">
        <f aca="false">IF(D225="","",IFERROR(INDEX(Settings!$D$36:$D$45,MATCH(D225,Settings!$A$36:$A$45,0)),0))</f>
        <v/>
      </c>
      <c r="K225" s="20" t="str">
        <f aca="false">IF(J225="","",IF(H225="",J225,J225*(1-IF(I225="",Settings!$B$6,I225))))</f>
        <v/>
      </c>
      <c r="L225" s="20" t="str">
        <f aca="false">IF(OR(J225="",H225=""),"",J225-K225)</f>
        <v/>
      </c>
      <c r="M225" s="1"/>
    </row>
    <row r="226" customFormat="false" ht="15" hidden="false" customHeight="false" outlineLevel="0" collapsed="false">
      <c r="A226" s="27"/>
      <c r="B226" s="1"/>
      <c r="C226" s="24" t="str">
        <f aca="false">IF(B226="","",IFERROR(INDEX(Patients!$B$2:$B$501,MATCH(B226,Patients!$A$2:$A$501,0))&amp;"",""))</f>
        <v/>
      </c>
      <c r="D226" s="1"/>
      <c r="E226" s="1"/>
      <c r="F226" s="28"/>
      <c r="G226" s="1"/>
      <c r="H226" s="1"/>
      <c r="I226" s="29"/>
      <c r="J226" s="20" t="str">
        <f aca="false">IF(D226="","",IFERROR(INDEX(Settings!$D$36:$D$45,MATCH(D226,Settings!$A$36:$A$45,0)),0))</f>
        <v/>
      </c>
      <c r="K226" s="20" t="str">
        <f aca="false">IF(J226="","",IF(H226="",J226,J226*(1-IF(I226="",Settings!$B$6,I226))))</f>
        <v/>
      </c>
      <c r="L226" s="20" t="str">
        <f aca="false">IF(OR(J226="",H226=""),"",J226-K226)</f>
        <v/>
      </c>
      <c r="M226" s="1"/>
    </row>
    <row r="227" customFormat="false" ht="15" hidden="false" customHeight="false" outlineLevel="0" collapsed="false">
      <c r="A227" s="27"/>
      <c r="B227" s="1"/>
      <c r="C227" s="24" t="str">
        <f aca="false">IF(B227="","",IFERROR(INDEX(Patients!$B$2:$B$501,MATCH(B227,Patients!$A$2:$A$501,0))&amp;"",""))</f>
        <v/>
      </c>
      <c r="D227" s="1"/>
      <c r="E227" s="1"/>
      <c r="F227" s="28"/>
      <c r="G227" s="1"/>
      <c r="H227" s="1"/>
      <c r="I227" s="29"/>
      <c r="J227" s="20" t="str">
        <f aca="false">IF(D227="","",IFERROR(INDEX(Settings!$D$36:$D$45,MATCH(D227,Settings!$A$36:$A$45,0)),0))</f>
        <v/>
      </c>
      <c r="K227" s="20" t="str">
        <f aca="false">IF(J227="","",IF(H227="",J227,J227*(1-IF(I227="",Settings!$B$6,I227))))</f>
        <v/>
      </c>
      <c r="L227" s="20" t="str">
        <f aca="false">IF(OR(J227="",H227=""),"",J227-K227)</f>
        <v/>
      </c>
      <c r="M227" s="1"/>
    </row>
    <row r="228" customFormat="false" ht="15" hidden="false" customHeight="false" outlineLevel="0" collapsed="false">
      <c r="A228" s="27"/>
      <c r="B228" s="1"/>
      <c r="C228" s="24" t="str">
        <f aca="false">IF(B228="","",IFERROR(INDEX(Patients!$B$2:$B$501,MATCH(B228,Patients!$A$2:$A$501,0))&amp;"",""))</f>
        <v/>
      </c>
      <c r="D228" s="1"/>
      <c r="E228" s="1"/>
      <c r="F228" s="28"/>
      <c r="G228" s="1"/>
      <c r="H228" s="1"/>
      <c r="I228" s="29"/>
      <c r="J228" s="20" t="str">
        <f aca="false">IF(D228="","",IFERROR(INDEX(Settings!$D$36:$D$45,MATCH(D228,Settings!$A$36:$A$45,0)),0))</f>
        <v/>
      </c>
      <c r="K228" s="20" t="str">
        <f aca="false">IF(J228="","",IF(H228="",J228,J228*(1-IF(I228="",Settings!$B$6,I228))))</f>
        <v/>
      </c>
      <c r="L228" s="20" t="str">
        <f aca="false">IF(OR(J228="",H228=""),"",J228-K228)</f>
        <v/>
      </c>
      <c r="M228" s="1"/>
    </row>
    <row r="229" customFormat="false" ht="15" hidden="false" customHeight="false" outlineLevel="0" collapsed="false">
      <c r="A229" s="27"/>
      <c r="B229" s="1"/>
      <c r="C229" s="24" t="str">
        <f aca="false">IF(B229="","",IFERROR(INDEX(Patients!$B$2:$B$501,MATCH(B229,Patients!$A$2:$A$501,0))&amp;"",""))</f>
        <v/>
      </c>
      <c r="D229" s="1"/>
      <c r="E229" s="1"/>
      <c r="F229" s="28"/>
      <c r="G229" s="1"/>
      <c r="H229" s="1"/>
      <c r="I229" s="29"/>
      <c r="J229" s="20" t="str">
        <f aca="false">IF(D229="","",IFERROR(INDEX(Settings!$D$36:$D$45,MATCH(D229,Settings!$A$36:$A$45,0)),0))</f>
        <v/>
      </c>
      <c r="K229" s="20" t="str">
        <f aca="false">IF(J229="","",IF(H229="",J229,J229*(1-IF(I229="",Settings!$B$6,I229))))</f>
        <v/>
      </c>
      <c r="L229" s="20" t="str">
        <f aca="false">IF(OR(J229="",H229=""),"",J229-K229)</f>
        <v/>
      </c>
      <c r="M229" s="1"/>
    </row>
    <row r="230" customFormat="false" ht="15" hidden="false" customHeight="false" outlineLevel="0" collapsed="false">
      <c r="A230" s="27"/>
      <c r="B230" s="1"/>
      <c r="C230" s="24" t="str">
        <f aca="false">IF(B230="","",IFERROR(INDEX(Patients!$B$2:$B$501,MATCH(B230,Patients!$A$2:$A$501,0))&amp;"",""))</f>
        <v/>
      </c>
      <c r="D230" s="1"/>
      <c r="E230" s="1"/>
      <c r="F230" s="28"/>
      <c r="G230" s="1"/>
      <c r="H230" s="1"/>
      <c r="I230" s="29"/>
      <c r="J230" s="20" t="str">
        <f aca="false">IF(D230="","",IFERROR(INDEX(Settings!$D$36:$D$45,MATCH(D230,Settings!$A$36:$A$45,0)),0))</f>
        <v/>
      </c>
      <c r="K230" s="20" t="str">
        <f aca="false">IF(J230="","",IF(H230="",J230,J230*(1-IF(I230="",Settings!$B$6,I230))))</f>
        <v/>
      </c>
      <c r="L230" s="20" t="str">
        <f aca="false">IF(OR(J230="",H230=""),"",J230-K230)</f>
        <v/>
      </c>
      <c r="M230" s="1"/>
    </row>
    <row r="231" customFormat="false" ht="15" hidden="false" customHeight="false" outlineLevel="0" collapsed="false">
      <c r="A231" s="27"/>
      <c r="B231" s="1"/>
      <c r="C231" s="24" t="str">
        <f aca="false">IF(B231="","",IFERROR(INDEX(Patients!$B$2:$B$501,MATCH(B231,Patients!$A$2:$A$501,0))&amp;"",""))</f>
        <v/>
      </c>
      <c r="D231" s="1"/>
      <c r="E231" s="1"/>
      <c r="F231" s="28"/>
      <c r="G231" s="1"/>
      <c r="H231" s="1"/>
      <c r="I231" s="29"/>
      <c r="J231" s="20" t="str">
        <f aca="false">IF(D231="","",IFERROR(INDEX(Settings!$D$36:$D$45,MATCH(D231,Settings!$A$36:$A$45,0)),0))</f>
        <v/>
      </c>
      <c r="K231" s="20" t="str">
        <f aca="false">IF(J231="","",IF(H231="",J231,J231*(1-IF(I231="",Settings!$B$6,I231))))</f>
        <v/>
      </c>
      <c r="L231" s="20" t="str">
        <f aca="false">IF(OR(J231="",H231=""),"",J231-K231)</f>
        <v/>
      </c>
      <c r="M231" s="1"/>
    </row>
    <row r="232" customFormat="false" ht="15" hidden="false" customHeight="false" outlineLevel="0" collapsed="false">
      <c r="A232" s="27"/>
      <c r="B232" s="1"/>
      <c r="C232" s="24" t="str">
        <f aca="false">IF(B232="","",IFERROR(INDEX(Patients!$B$2:$B$501,MATCH(B232,Patients!$A$2:$A$501,0))&amp;"",""))</f>
        <v/>
      </c>
      <c r="D232" s="1"/>
      <c r="E232" s="1"/>
      <c r="F232" s="28"/>
      <c r="G232" s="1"/>
      <c r="H232" s="1"/>
      <c r="I232" s="29"/>
      <c r="J232" s="20" t="str">
        <f aca="false">IF(D232="","",IFERROR(INDEX(Settings!$D$36:$D$45,MATCH(D232,Settings!$A$36:$A$45,0)),0))</f>
        <v/>
      </c>
      <c r="K232" s="20" t="str">
        <f aca="false">IF(J232="","",IF(H232="",J232,J232*(1-IF(I232="",Settings!$B$6,I232))))</f>
        <v/>
      </c>
      <c r="L232" s="20" t="str">
        <f aca="false">IF(OR(J232="",H232=""),"",J232-K232)</f>
        <v/>
      </c>
      <c r="M232" s="1"/>
    </row>
    <row r="233" customFormat="false" ht="15" hidden="false" customHeight="false" outlineLevel="0" collapsed="false">
      <c r="A233" s="27"/>
      <c r="B233" s="1"/>
      <c r="C233" s="24" t="str">
        <f aca="false">IF(B233="","",IFERROR(INDEX(Patients!$B$2:$B$501,MATCH(B233,Patients!$A$2:$A$501,0))&amp;"",""))</f>
        <v/>
      </c>
      <c r="D233" s="1"/>
      <c r="E233" s="1"/>
      <c r="F233" s="28"/>
      <c r="G233" s="1"/>
      <c r="H233" s="1"/>
      <c r="I233" s="29"/>
      <c r="J233" s="20" t="str">
        <f aca="false">IF(D233="","",IFERROR(INDEX(Settings!$D$36:$D$45,MATCH(D233,Settings!$A$36:$A$45,0)),0))</f>
        <v/>
      </c>
      <c r="K233" s="20" t="str">
        <f aca="false">IF(J233="","",IF(H233="",J233,J233*(1-IF(I233="",Settings!$B$6,I233))))</f>
        <v/>
      </c>
      <c r="L233" s="20" t="str">
        <f aca="false">IF(OR(J233="",H233=""),"",J233-K233)</f>
        <v/>
      </c>
      <c r="M233" s="1"/>
    </row>
    <row r="234" customFormat="false" ht="15" hidden="false" customHeight="false" outlineLevel="0" collapsed="false">
      <c r="A234" s="27"/>
      <c r="B234" s="1"/>
      <c r="C234" s="24" t="str">
        <f aca="false">IF(B234="","",IFERROR(INDEX(Patients!$B$2:$B$501,MATCH(B234,Patients!$A$2:$A$501,0))&amp;"",""))</f>
        <v/>
      </c>
      <c r="D234" s="1"/>
      <c r="E234" s="1"/>
      <c r="F234" s="28"/>
      <c r="G234" s="1"/>
      <c r="H234" s="1"/>
      <c r="I234" s="29"/>
      <c r="J234" s="20" t="str">
        <f aca="false">IF(D234="","",IFERROR(INDEX(Settings!$D$36:$D$45,MATCH(D234,Settings!$A$36:$A$45,0)),0))</f>
        <v/>
      </c>
      <c r="K234" s="20" t="str">
        <f aca="false">IF(J234="","",IF(H234="",J234,J234*(1-IF(I234="",Settings!$B$6,I234))))</f>
        <v/>
      </c>
      <c r="L234" s="20" t="str">
        <f aca="false">IF(OR(J234="",H234=""),"",J234-K234)</f>
        <v/>
      </c>
      <c r="M234" s="1"/>
    </row>
    <row r="235" customFormat="false" ht="15" hidden="false" customHeight="false" outlineLevel="0" collapsed="false">
      <c r="A235" s="27"/>
      <c r="B235" s="1"/>
      <c r="C235" s="24" t="str">
        <f aca="false">IF(B235="","",IFERROR(INDEX(Patients!$B$2:$B$501,MATCH(B235,Patients!$A$2:$A$501,0))&amp;"",""))</f>
        <v/>
      </c>
      <c r="D235" s="1"/>
      <c r="E235" s="1"/>
      <c r="F235" s="28"/>
      <c r="G235" s="1"/>
      <c r="H235" s="1"/>
      <c r="I235" s="29"/>
      <c r="J235" s="20" t="str">
        <f aca="false">IF(D235="","",IFERROR(INDEX(Settings!$D$36:$D$45,MATCH(D235,Settings!$A$36:$A$45,0)),0))</f>
        <v/>
      </c>
      <c r="K235" s="20" t="str">
        <f aca="false">IF(J235="","",IF(H235="",J235,J235*(1-IF(I235="",Settings!$B$6,I235))))</f>
        <v/>
      </c>
      <c r="L235" s="20" t="str">
        <f aca="false">IF(OR(J235="",H235=""),"",J235-K235)</f>
        <v/>
      </c>
      <c r="M235" s="1"/>
    </row>
    <row r="236" customFormat="false" ht="15" hidden="false" customHeight="false" outlineLevel="0" collapsed="false">
      <c r="A236" s="27"/>
      <c r="B236" s="1"/>
      <c r="C236" s="24" t="str">
        <f aca="false">IF(B236="","",IFERROR(INDEX(Patients!$B$2:$B$501,MATCH(B236,Patients!$A$2:$A$501,0))&amp;"",""))</f>
        <v/>
      </c>
      <c r="D236" s="1"/>
      <c r="E236" s="1"/>
      <c r="F236" s="28"/>
      <c r="G236" s="1"/>
      <c r="H236" s="1"/>
      <c r="I236" s="29"/>
      <c r="J236" s="20" t="str">
        <f aca="false">IF(D236="","",IFERROR(INDEX(Settings!$D$36:$D$45,MATCH(D236,Settings!$A$36:$A$45,0)),0))</f>
        <v/>
      </c>
      <c r="K236" s="20" t="str">
        <f aca="false">IF(J236="","",IF(H236="",J236,J236*(1-IF(I236="",Settings!$B$6,I236))))</f>
        <v/>
      </c>
      <c r="L236" s="20" t="str">
        <f aca="false">IF(OR(J236="",H236=""),"",J236-K236)</f>
        <v/>
      </c>
      <c r="M236" s="1"/>
    </row>
    <row r="237" customFormat="false" ht="15" hidden="false" customHeight="false" outlineLevel="0" collapsed="false">
      <c r="A237" s="27"/>
      <c r="B237" s="1"/>
      <c r="C237" s="24" t="str">
        <f aca="false">IF(B237="","",IFERROR(INDEX(Patients!$B$2:$B$501,MATCH(B237,Patients!$A$2:$A$501,0))&amp;"",""))</f>
        <v/>
      </c>
      <c r="D237" s="1"/>
      <c r="E237" s="1"/>
      <c r="F237" s="28"/>
      <c r="G237" s="1"/>
      <c r="H237" s="1"/>
      <c r="I237" s="29"/>
      <c r="J237" s="20" t="str">
        <f aca="false">IF(D237="","",IFERROR(INDEX(Settings!$D$36:$D$45,MATCH(D237,Settings!$A$36:$A$45,0)),0))</f>
        <v/>
      </c>
      <c r="K237" s="20" t="str">
        <f aca="false">IF(J237="","",IF(H237="",J237,J237*(1-IF(I237="",Settings!$B$6,I237))))</f>
        <v/>
      </c>
      <c r="L237" s="20" t="str">
        <f aca="false">IF(OR(J237="",H237=""),"",J237-K237)</f>
        <v/>
      </c>
      <c r="M237" s="1"/>
    </row>
    <row r="238" customFormat="false" ht="15" hidden="false" customHeight="false" outlineLevel="0" collapsed="false">
      <c r="A238" s="27"/>
      <c r="B238" s="1"/>
      <c r="C238" s="24" t="str">
        <f aca="false">IF(B238="","",IFERROR(INDEX(Patients!$B$2:$B$501,MATCH(B238,Patients!$A$2:$A$501,0))&amp;"",""))</f>
        <v/>
      </c>
      <c r="D238" s="1"/>
      <c r="E238" s="1"/>
      <c r="F238" s="28"/>
      <c r="G238" s="1"/>
      <c r="H238" s="1"/>
      <c r="I238" s="29"/>
      <c r="J238" s="20" t="str">
        <f aca="false">IF(D238="","",IFERROR(INDEX(Settings!$D$36:$D$45,MATCH(D238,Settings!$A$36:$A$45,0)),0))</f>
        <v/>
      </c>
      <c r="K238" s="20" t="str">
        <f aca="false">IF(J238="","",IF(H238="",J238,J238*(1-IF(I238="",Settings!$B$6,I238))))</f>
        <v/>
      </c>
      <c r="L238" s="20" t="str">
        <f aca="false">IF(OR(J238="",H238=""),"",J238-K238)</f>
        <v/>
      </c>
      <c r="M238" s="1"/>
    </row>
    <row r="239" customFormat="false" ht="15" hidden="false" customHeight="false" outlineLevel="0" collapsed="false">
      <c r="A239" s="27"/>
      <c r="B239" s="1"/>
      <c r="C239" s="24" t="str">
        <f aca="false">IF(B239="","",IFERROR(INDEX(Patients!$B$2:$B$501,MATCH(B239,Patients!$A$2:$A$501,0))&amp;"",""))</f>
        <v/>
      </c>
      <c r="D239" s="1"/>
      <c r="E239" s="1"/>
      <c r="F239" s="28"/>
      <c r="G239" s="1"/>
      <c r="H239" s="1"/>
      <c r="I239" s="29"/>
      <c r="J239" s="20" t="str">
        <f aca="false">IF(D239="","",IFERROR(INDEX(Settings!$D$36:$D$45,MATCH(D239,Settings!$A$36:$A$45,0)),0))</f>
        <v/>
      </c>
      <c r="K239" s="20" t="str">
        <f aca="false">IF(J239="","",IF(H239="",J239,J239*(1-IF(I239="",Settings!$B$6,I239))))</f>
        <v/>
      </c>
      <c r="L239" s="20" t="str">
        <f aca="false">IF(OR(J239="",H239=""),"",J239-K239)</f>
        <v/>
      </c>
      <c r="M239" s="1"/>
    </row>
    <row r="240" customFormat="false" ht="15" hidden="false" customHeight="false" outlineLevel="0" collapsed="false">
      <c r="A240" s="27"/>
      <c r="B240" s="1"/>
      <c r="C240" s="24" t="str">
        <f aca="false">IF(B240="","",IFERROR(INDEX(Patients!$B$2:$B$501,MATCH(B240,Patients!$A$2:$A$501,0))&amp;"",""))</f>
        <v/>
      </c>
      <c r="D240" s="1"/>
      <c r="E240" s="1"/>
      <c r="F240" s="28"/>
      <c r="G240" s="1"/>
      <c r="H240" s="1"/>
      <c r="I240" s="29"/>
      <c r="J240" s="20" t="str">
        <f aca="false">IF(D240="","",IFERROR(INDEX(Settings!$D$36:$D$45,MATCH(D240,Settings!$A$36:$A$45,0)),0))</f>
        <v/>
      </c>
      <c r="K240" s="20" t="str">
        <f aca="false">IF(J240="","",IF(H240="",J240,J240*(1-IF(I240="",Settings!$B$6,I240))))</f>
        <v/>
      </c>
      <c r="L240" s="20" t="str">
        <f aca="false">IF(OR(J240="",H240=""),"",J240-K240)</f>
        <v/>
      </c>
      <c r="M240" s="1"/>
    </row>
    <row r="241" customFormat="false" ht="15" hidden="false" customHeight="false" outlineLevel="0" collapsed="false">
      <c r="A241" s="27"/>
      <c r="B241" s="1"/>
      <c r="C241" s="24" t="str">
        <f aca="false">IF(B241="","",IFERROR(INDEX(Patients!$B$2:$B$501,MATCH(B241,Patients!$A$2:$A$501,0))&amp;"",""))</f>
        <v/>
      </c>
      <c r="D241" s="1"/>
      <c r="E241" s="1"/>
      <c r="F241" s="28"/>
      <c r="G241" s="1"/>
      <c r="H241" s="1"/>
      <c r="I241" s="29"/>
      <c r="J241" s="20" t="str">
        <f aca="false">IF(D241="","",IFERROR(INDEX(Settings!$D$36:$D$45,MATCH(D241,Settings!$A$36:$A$45,0)),0))</f>
        <v/>
      </c>
      <c r="K241" s="20" t="str">
        <f aca="false">IF(J241="","",IF(H241="",J241,J241*(1-IF(I241="",Settings!$B$6,I241))))</f>
        <v/>
      </c>
      <c r="L241" s="20" t="str">
        <f aca="false">IF(OR(J241="",H241=""),"",J241-K241)</f>
        <v/>
      </c>
      <c r="M241" s="1"/>
    </row>
    <row r="242" customFormat="false" ht="15" hidden="false" customHeight="false" outlineLevel="0" collapsed="false">
      <c r="A242" s="27"/>
      <c r="B242" s="1"/>
      <c r="C242" s="24" t="str">
        <f aca="false">IF(B242="","",IFERROR(INDEX(Patients!$B$2:$B$501,MATCH(B242,Patients!$A$2:$A$501,0))&amp;"",""))</f>
        <v/>
      </c>
      <c r="D242" s="1"/>
      <c r="E242" s="1"/>
      <c r="F242" s="28"/>
      <c r="G242" s="1"/>
      <c r="H242" s="1"/>
      <c r="I242" s="29"/>
      <c r="J242" s="20" t="str">
        <f aca="false">IF(D242="","",IFERROR(INDEX(Settings!$D$36:$D$45,MATCH(D242,Settings!$A$36:$A$45,0)),0))</f>
        <v/>
      </c>
      <c r="K242" s="20" t="str">
        <f aca="false">IF(J242="","",IF(H242="",J242,J242*(1-IF(I242="",Settings!$B$6,I242))))</f>
        <v/>
      </c>
      <c r="L242" s="20" t="str">
        <f aca="false">IF(OR(J242="",H242=""),"",J242-K242)</f>
        <v/>
      </c>
      <c r="M242" s="1"/>
    </row>
    <row r="243" customFormat="false" ht="15" hidden="false" customHeight="false" outlineLevel="0" collapsed="false">
      <c r="A243" s="27"/>
      <c r="B243" s="1"/>
      <c r="C243" s="24" t="str">
        <f aca="false">IF(B243="","",IFERROR(INDEX(Patients!$B$2:$B$501,MATCH(B243,Patients!$A$2:$A$501,0))&amp;"",""))</f>
        <v/>
      </c>
      <c r="D243" s="1"/>
      <c r="E243" s="1"/>
      <c r="F243" s="28"/>
      <c r="G243" s="1"/>
      <c r="H243" s="1"/>
      <c r="I243" s="29"/>
      <c r="J243" s="20" t="str">
        <f aca="false">IF(D243="","",IFERROR(INDEX(Settings!$D$36:$D$45,MATCH(D243,Settings!$A$36:$A$45,0)),0))</f>
        <v/>
      </c>
      <c r="K243" s="20" t="str">
        <f aca="false">IF(J243="","",IF(H243="",J243,J243*(1-IF(I243="",Settings!$B$6,I243))))</f>
        <v/>
      </c>
      <c r="L243" s="20" t="str">
        <f aca="false">IF(OR(J243="",H243=""),"",J243-K243)</f>
        <v/>
      </c>
      <c r="M243" s="1"/>
    </row>
    <row r="244" customFormat="false" ht="15" hidden="false" customHeight="false" outlineLevel="0" collapsed="false">
      <c r="A244" s="27"/>
      <c r="B244" s="1"/>
      <c r="C244" s="24" t="str">
        <f aca="false">IF(B244="","",IFERROR(INDEX(Patients!$B$2:$B$501,MATCH(B244,Patients!$A$2:$A$501,0))&amp;"",""))</f>
        <v/>
      </c>
      <c r="D244" s="1"/>
      <c r="E244" s="1"/>
      <c r="F244" s="28"/>
      <c r="G244" s="1"/>
      <c r="H244" s="1"/>
      <c r="I244" s="29"/>
      <c r="J244" s="20" t="str">
        <f aca="false">IF(D244="","",IFERROR(INDEX(Settings!$D$36:$D$45,MATCH(D244,Settings!$A$36:$A$45,0)),0))</f>
        <v/>
      </c>
      <c r="K244" s="20" t="str">
        <f aca="false">IF(J244="","",IF(H244="",J244,J244*(1-IF(I244="",Settings!$B$6,I244))))</f>
        <v/>
      </c>
      <c r="L244" s="20" t="str">
        <f aca="false">IF(OR(J244="",H244=""),"",J244-K244)</f>
        <v/>
      </c>
      <c r="M244" s="1"/>
    </row>
    <row r="245" customFormat="false" ht="15" hidden="false" customHeight="false" outlineLevel="0" collapsed="false">
      <c r="A245" s="27"/>
      <c r="B245" s="1"/>
      <c r="C245" s="24" t="str">
        <f aca="false">IF(B245="","",IFERROR(INDEX(Patients!$B$2:$B$501,MATCH(B245,Patients!$A$2:$A$501,0))&amp;"",""))</f>
        <v/>
      </c>
      <c r="D245" s="1"/>
      <c r="E245" s="1"/>
      <c r="F245" s="28"/>
      <c r="G245" s="1"/>
      <c r="H245" s="1"/>
      <c r="I245" s="29"/>
      <c r="J245" s="20" t="str">
        <f aca="false">IF(D245="","",IFERROR(INDEX(Settings!$D$36:$D$45,MATCH(D245,Settings!$A$36:$A$45,0)),0))</f>
        <v/>
      </c>
      <c r="K245" s="20" t="str">
        <f aca="false">IF(J245="","",IF(H245="",J245,J245*(1-IF(I245="",Settings!$B$6,I245))))</f>
        <v/>
      </c>
      <c r="L245" s="20" t="str">
        <f aca="false">IF(OR(J245="",H245=""),"",J245-K245)</f>
        <v/>
      </c>
      <c r="M245" s="1"/>
    </row>
    <row r="246" customFormat="false" ht="15" hidden="false" customHeight="false" outlineLevel="0" collapsed="false">
      <c r="A246" s="27"/>
      <c r="B246" s="1"/>
      <c r="C246" s="24" t="str">
        <f aca="false">IF(B246="","",IFERROR(INDEX(Patients!$B$2:$B$501,MATCH(B246,Patients!$A$2:$A$501,0))&amp;"",""))</f>
        <v/>
      </c>
      <c r="D246" s="1"/>
      <c r="E246" s="1"/>
      <c r="F246" s="28"/>
      <c r="G246" s="1"/>
      <c r="H246" s="1"/>
      <c r="I246" s="29"/>
      <c r="J246" s="20" t="str">
        <f aca="false">IF(D246="","",IFERROR(INDEX(Settings!$D$36:$D$45,MATCH(D246,Settings!$A$36:$A$45,0)),0))</f>
        <v/>
      </c>
      <c r="K246" s="20" t="str">
        <f aca="false">IF(J246="","",IF(H246="",J246,J246*(1-IF(I246="",Settings!$B$6,I246))))</f>
        <v/>
      </c>
      <c r="L246" s="20" t="str">
        <f aca="false">IF(OR(J246="",H246=""),"",J246-K246)</f>
        <v/>
      </c>
      <c r="M246" s="1"/>
    </row>
    <row r="247" customFormat="false" ht="15" hidden="false" customHeight="false" outlineLevel="0" collapsed="false">
      <c r="A247" s="27"/>
      <c r="B247" s="1"/>
      <c r="C247" s="24" t="str">
        <f aca="false">IF(B247="","",IFERROR(INDEX(Patients!$B$2:$B$501,MATCH(B247,Patients!$A$2:$A$501,0))&amp;"",""))</f>
        <v/>
      </c>
      <c r="D247" s="1"/>
      <c r="E247" s="1"/>
      <c r="F247" s="28"/>
      <c r="G247" s="1"/>
      <c r="H247" s="1"/>
      <c r="I247" s="29"/>
      <c r="J247" s="20" t="str">
        <f aca="false">IF(D247="","",IFERROR(INDEX(Settings!$D$36:$D$45,MATCH(D247,Settings!$A$36:$A$45,0)),0))</f>
        <v/>
      </c>
      <c r="K247" s="20" t="str">
        <f aca="false">IF(J247="","",IF(H247="",J247,J247*(1-IF(I247="",Settings!$B$6,I247))))</f>
        <v/>
      </c>
      <c r="L247" s="20" t="str">
        <f aca="false">IF(OR(J247="",H247=""),"",J247-K247)</f>
        <v/>
      </c>
      <c r="M247" s="1"/>
    </row>
    <row r="248" customFormat="false" ht="15" hidden="false" customHeight="false" outlineLevel="0" collapsed="false">
      <c r="A248" s="27"/>
      <c r="B248" s="1"/>
      <c r="C248" s="24" t="str">
        <f aca="false">IF(B248="","",IFERROR(INDEX(Patients!$B$2:$B$501,MATCH(B248,Patients!$A$2:$A$501,0))&amp;"",""))</f>
        <v/>
      </c>
      <c r="D248" s="1"/>
      <c r="E248" s="1"/>
      <c r="F248" s="28"/>
      <c r="G248" s="1"/>
      <c r="H248" s="1"/>
      <c r="I248" s="29"/>
      <c r="J248" s="20" t="str">
        <f aca="false">IF(D248="","",IFERROR(INDEX(Settings!$D$36:$D$45,MATCH(D248,Settings!$A$36:$A$45,0)),0))</f>
        <v/>
      </c>
      <c r="K248" s="20" t="str">
        <f aca="false">IF(J248="","",IF(H248="",J248,J248*(1-IF(I248="",Settings!$B$6,I248))))</f>
        <v/>
      </c>
      <c r="L248" s="20" t="str">
        <f aca="false">IF(OR(J248="",H248=""),"",J248-K248)</f>
        <v/>
      </c>
      <c r="M248" s="1"/>
    </row>
    <row r="249" customFormat="false" ht="15" hidden="false" customHeight="false" outlineLevel="0" collapsed="false">
      <c r="A249" s="27"/>
      <c r="B249" s="1"/>
      <c r="C249" s="24" t="str">
        <f aca="false">IF(B249="","",IFERROR(INDEX(Patients!$B$2:$B$501,MATCH(B249,Patients!$A$2:$A$501,0))&amp;"",""))</f>
        <v/>
      </c>
      <c r="D249" s="1"/>
      <c r="E249" s="1"/>
      <c r="F249" s="28"/>
      <c r="G249" s="1"/>
      <c r="H249" s="1"/>
      <c r="I249" s="29"/>
      <c r="J249" s="20" t="str">
        <f aca="false">IF(D249="","",IFERROR(INDEX(Settings!$D$36:$D$45,MATCH(D249,Settings!$A$36:$A$45,0)),0))</f>
        <v/>
      </c>
      <c r="K249" s="20" t="str">
        <f aca="false">IF(J249="","",IF(H249="",J249,J249*(1-IF(I249="",Settings!$B$6,I249))))</f>
        <v/>
      </c>
      <c r="L249" s="20" t="str">
        <f aca="false">IF(OR(J249="",H249=""),"",J249-K249)</f>
        <v/>
      </c>
      <c r="M249" s="1"/>
    </row>
    <row r="250" customFormat="false" ht="15" hidden="false" customHeight="false" outlineLevel="0" collapsed="false">
      <c r="A250" s="27"/>
      <c r="B250" s="1"/>
      <c r="C250" s="24" t="str">
        <f aca="false">IF(B250="","",IFERROR(INDEX(Patients!$B$2:$B$501,MATCH(B250,Patients!$A$2:$A$501,0))&amp;"",""))</f>
        <v/>
      </c>
      <c r="D250" s="1"/>
      <c r="E250" s="1"/>
      <c r="F250" s="28"/>
      <c r="G250" s="1"/>
      <c r="H250" s="1"/>
      <c r="I250" s="29"/>
      <c r="J250" s="20" t="str">
        <f aca="false">IF(D250="","",IFERROR(INDEX(Settings!$D$36:$D$45,MATCH(D250,Settings!$A$36:$A$45,0)),0))</f>
        <v/>
      </c>
      <c r="K250" s="20" t="str">
        <f aca="false">IF(J250="","",IF(H250="",J250,J250*(1-IF(I250="",Settings!$B$6,I250))))</f>
        <v/>
      </c>
      <c r="L250" s="20" t="str">
        <f aca="false">IF(OR(J250="",H250=""),"",J250-K250)</f>
        <v/>
      </c>
      <c r="M250" s="1"/>
    </row>
    <row r="251" customFormat="false" ht="15" hidden="false" customHeight="false" outlineLevel="0" collapsed="false">
      <c r="A251" s="27"/>
      <c r="B251" s="1"/>
      <c r="C251" s="24" t="str">
        <f aca="false">IF(B251="","",IFERROR(INDEX(Patients!$B$2:$B$501,MATCH(B251,Patients!$A$2:$A$501,0))&amp;"",""))</f>
        <v/>
      </c>
      <c r="D251" s="1"/>
      <c r="E251" s="1"/>
      <c r="F251" s="28"/>
      <c r="G251" s="1"/>
      <c r="H251" s="1"/>
      <c r="I251" s="29"/>
      <c r="J251" s="20" t="str">
        <f aca="false">IF(D251="","",IFERROR(INDEX(Settings!$D$36:$D$45,MATCH(D251,Settings!$A$36:$A$45,0)),0))</f>
        <v/>
      </c>
      <c r="K251" s="20" t="str">
        <f aca="false">IF(J251="","",IF(H251="",J251,J251*(1-IF(I251="",Settings!$B$6,I251))))</f>
        <v/>
      </c>
      <c r="L251" s="20" t="str">
        <f aca="false">IF(OR(J251="",H251=""),"",J251-K251)</f>
        <v/>
      </c>
      <c r="M251" s="1"/>
    </row>
    <row r="252" customFormat="false" ht="15" hidden="false" customHeight="false" outlineLevel="0" collapsed="false">
      <c r="A252" s="27"/>
      <c r="B252" s="1"/>
      <c r="C252" s="24" t="str">
        <f aca="false">IF(B252="","",IFERROR(INDEX(Patients!$B$2:$B$501,MATCH(B252,Patients!$A$2:$A$501,0))&amp;"",""))</f>
        <v/>
      </c>
      <c r="D252" s="1"/>
      <c r="E252" s="1"/>
      <c r="F252" s="28"/>
      <c r="G252" s="1"/>
      <c r="H252" s="1"/>
      <c r="I252" s="29"/>
      <c r="J252" s="20" t="str">
        <f aca="false">IF(D252="","",IFERROR(INDEX(Settings!$D$36:$D$45,MATCH(D252,Settings!$A$36:$A$45,0)),0))</f>
        <v/>
      </c>
      <c r="K252" s="20" t="str">
        <f aca="false">IF(J252="","",IF(H252="",J252,J252*(1-IF(I252="",Settings!$B$6,I252))))</f>
        <v/>
      </c>
      <c r="L252" s="20" t="str">
        <f aca="false">IF(OR(J252="",H252=""),"",J252-K252)</f>
        <v/>
      </c>
      <c r="M252" s="1"/>
    </row>
    <row r="253" customFormat="false" ht="15" hidden="false" customHeight="false" outlineLevel="0" collapsed="false">
      <c r="A253" s="27"/>
      <c r="B253" s="1"/>
      <c r="C253" s="24" t="str">
        <f aca="false">IF(B253="","",IFERROR(INDEX(Patients!$B$2:$B$501,MATCH(B253,Patients!$A$2:$A$501,0))&amp;"",""))</f>
        <v/>
      </c>
      <c r="D253" s="1"/>
      <c r="E253" s="1"/>
      <c r="F253" s="28"/>
      <c r="G253" s="1"/>
      <c r="H253" s="1"/>
      <c r="I253" s="29"/>
      <c r="J253" s="20" t="str">
        <f aca="false">IF(D253="","",IFERROR(INDEX(Settings!$D$36:$D$45,MATCH(D253,Settings!$A$36:$A$45,0)),0))</f>
        <v/>
      </c>
      <c r="K253" s="20" t="str">
        <f aca="false">IF(J253="","",IF(H253="",J253,J253*(1-IF(I253="",Settings!$B$6,I253))))</f>
        <v/>
      </c>
      <c r="L253" s="20" t="str">
        <f aca="false">IF(OR(J253="",H253=""),"",J253-K253)</f>
        <v/>
      </c>
      <c r="M253" s="1"/>
    </row>
    <row r="254" customFormat="false" ht="15" hidden="false" customHeight="false" outlineLevel="0" collapsed="false">
      <c r="A254" s="27"/>
      <c r="B254" s="1"/>
      <c r="C254" s="24" t="str">
        <f aca="false">IF(B254="","",IFERROR(INDEX(Patients!$B$2:$B$501,MATCH(B254,Patients!$A$2:$A$501,0))&amp;"",""))</f>
        <v/>
      </c>
      <c r="D254" s="1"/>
      <c r="E254" s="1"/>
      <c r="F254" s="28"/>
      <c r="G254" s="1"/>
      <c r="H254" s="1"/>
      <c r="I254" s="29"/>
      <c r="J254" s="20" t="str">
        <f aca="false">IF(D254="","",IFERROR(INDEX(Settings!$D$36:$D$45,MATCH(D254,Settings!$A$36:$A$45,0)),0))</f>
        <v/>
      </c>
      <c r="K254" s="20" t="str">
        <f aca="false">IF(J254="","",IF(H254="",J254,J254*(1-IF(I254="",Settings!$B$6,I254))))</f>
        <v/>
      </c>
      <c r="L254" s="20" t="str">
        <f aca="false">IF(OR(J254="",H254=""),"",J254-K254)</f>
        <v/>
      </c>
      <c r="M254" s="1"/>
    </row>
    <row r="255" customFormat="false" ht="15" hidden="false" customHeight="false" outlineLevel="0" collapsed="false">
      <c r="A255" s="27"/>
      <c r="B255" s="1"/>
      <c r="C255" s="24" t="str">
        <f aca="false">IF(B255="","",IFERROR(INDEX(Patients!$B$2:$B$501,MATCH(B255,Patients!$A$2:$A$501,0))&amp;"",""))</f>
        <v/>
      </c>
      <c r="D255" s="1"/>
      <c r="E255" s="1"/>
      <c r="F255" s="28"/>
      <c r="G255" s="1"/>
      <c r="H255" s="1"/>
      <c r="I255" s="29"/>
      <c r="J255" s="20" t="str">
        <f aca="false">IF(D255="","",IFERROR(INDEX(Settings!$D$36:$D$45,MATCH(D255,Settings!$A$36:$A$45,0)),0))</f>
        <v/>
      </c>
      <c r="K255" s="20" t="str">
        <f aca="false">IF(J255="","",IF(H255="",J255,J255*(1-IF(I255="",Settings!$B$6,I255))))</f>
        <v/>
      </c>
      <c r="L255" s="20" t="str">
        <f aca="false">IF(OR(J255="",H255=""),"",J255-K255)</f>
        <v/>
      </c>
      <c r="M255" s="1"/>
    </row>
    <row r="256" customFormat="false" ht="15" hidden="false" customHeight="false" outlineLevel="0" collapsed="false">
      <c r="A256" s="27"/>
      <c r="B256" s="1"/>
      <c r="C256" s="24" t="str">
        <f aca="false">IF(B256="","",IFERROR(INDEX(Patients!$B$2:$B$501,MATCH(B256,Patients!$A$2:$A$501,0))&amp;"",""))</f>
        <v/>
      </c>
      <c r="D256" s="1"/>
      <c r="E256" s="1"/>
      <c r="F256" s="28"/>
      <c r="G256" s="1"/>
      <c r="H256" s="1"/>
      <c r="I256" s="29"/>
      <c r="J256" s="20" t="str">
        <f aca="false">IF(D256="","",IFERROR(INDEX(Settings!$D$36:$D$45,MATCH(D256,Settings!$A$36:$A$45,0)),0))</f>
        <v/>
      </c>
      <c r="K256" s="20" t="str">
        <f aca="false">IF(J256="","",IF(H256="",J256,J256*(1-IF(I256="",Settings!$B$6,I256))))</f>
        <v/>
      </c>
      <c r="L256" s="20" t="str">
        <f aca="false">IF(OR(J256="",H256=""),"",J256-K256)</f>
        <v/>
      </c>
      <c r="M256" s="1"/>
    </row>
    <row r="257" customFormat="false" ht="15" hidden="false" customHeight="false" outlineLevel="0" collapsed="false">
      <c r="A257" s="27"/>
      <c r="B257" s="1"/>
      <c r="C257" s="24" t="str">
        <f aca="false">IF(B257="","",IFERROR(INDEX(Patients!$B$2:$B$501,MATCH(B257,Patients!$A$2:$A$501,0))&amp;"",""))</f>
        <v/>
      </c>
      <c r="D257" s="1"/>
      <c r="E257" s="1"/>
      <c r="F257" s="28"/>
      <c r="G257" s="1"/>
      <c r="H257" s="1"/>
      <c r="I257" s="29"/>
      <c r="J257" s="20" t="str">
        <f aca="false">IF(D257="","",IFERROR(INDEX(Settings!$D$36:$D$45,MATCH(D257,Settings!$A$36:$A$45,0)),0))</f>
        <v/>
      </c>
      <c r="K257" s="20" t="str">
        <f aca="false">IF(J257="","",IF(H257="",J257,J257*(1-IF(I257="",Settings!$B$6,I257))))</f>
        <v/>
      </c>
      <c r="L257" s="20" t="str">
        <f aca="false">IF(OR(J257="",H257=""),"",J257-K257)</f>
        <v/>
      </c>
      <c r="M257" s="1"/>
    </row>
    <row r="258" customFormat="false" ht="15" hidden="false" customHeight="false" outlineLevel="0" collapsed="false">
      <c r="A258" s="27"/>
      <c r="B258" s="1"/>
      <c r="C258" s="24" t="str">
        <f aca="false">IF(B258="","",IFERROR(INDEX(Patients!$B$2:$B$501,MATCH(B258,Patients!$A$2:$A$501,0))&amp;"",""))</f>
        <v/>
      </c>
      <c r="D258" s="1"/>
      <c r="E258" s="1"/>
      <c r="F258" s="28"/>
      <c r="G258" s="1"/>
      <c r="H258" s="1"/>
      <c r="I258" s="29"/>
      <c r="J258" s="20" t="str">
        <f aca="false">IF(D258="","",IFERROR(INDEX(Settings!$D$36:$D$45,MATCH(D258,Settings!$A$36:$A$45,0)),0))</f>
        <v/>
      </c>
      <c r="K258" s="20" t="str">
        <f aca="false">IF(J258="","",IF(H258="",J258,J258*(1-IF(I258="",Settings!$B$6,I258))))</f>
        <v/>
      </c>
      <c r="L258" s="20" t="str">
        <f aca="false">IF(OR(J258="",H258=""),"",J258-K258)</f>
        <v/>
      </c>
      <c r="M258" s="1"/>
    </row>
    <row r="259" customFormat="false" ht="15" hidden="false" customHeight="false" outlineLevel="0" collapsed="false">
      <c r="A259" s="27"/>
      <c r="B259" s="1"/>
      <c r="C259" s="24" t="str">
        <f aca="false">IF(B259="","",IFERROR(INDEX(Patients!$B$2:$B$501,MATCH(B259,Patients!$A$2:$A$501,0))&amp;"",""))</f>
        <v/>
      </c>
      <c r="D259" s="1"/>
      <c r="E259" s="1"/>
      <c r="F259" s="28"/>
      <c r="G259" s="1"/>
      <c r="H259" s="1"/>
      <c r="I259" s="29"/>
      <c r="J259" s="20" t="str">
        <f aca="false">IF(D259="","",IFERROR(INDEX(Settings!$D$36:$D$45,MATCH(D259,Settings!$A$36:$A$45,0)),0))</f>
        <v/>
      </c>
      <c r="K259" s="20" t="str">
        <f aca="false">IF(J259="","",IF(H259="",J259,J259*(1-IF(I259="",Settings!$B$6,I259))))</f>
        <v/>
      </c>
      <c r="L259" s="20" t="str">
        <f aca="false">IF(OR(J259="",H259=""),"",J259-K259)</f>
        <v/>
      </c>
      <c r="M259" s="1"/>
    </row>
    <row r="260" customFormat="false" ht="15" hidden="false" customHeight="false" outlineLevel="0" collapsed="false">
      <c r="A260" s="27"/>
      <c r="B260" s="1"/>
      <c r="C260" s="24" t="str">
        <f aca="false">IF(B260="","",IFERROR(INDEX(Patients!$B$2:$B$501,MATCH(B260,Patients!$A$2:$A$501,0))&amp;"",""))</f>
        <v/>
      </c>
      <c r="D260" s="1"/>
      <c r="E260" s="1"/>
      <c r="F260" s="28"/>
      <c r="G260" s="1"/>
      <c r="H260" s="1"/>
      <c r="I260" s="29"/>
      <c r="J260" s="20" t="str">
        <f aca="false">IF(D260="","",IFERROR(INDEX(Settings!$D$36:$D$45,MATCH(D260,Settings!$A$36:$A$45,0)),0))</f>
        <v/>
      </c>
      <c r="K260" s="20" t="str">
        <f aca="false">IF(J260="","",IF(H260="",J260,J260*(1-IF(I260="",Settings!$B$6,I260))))</f>
        <v/>
      </c>
      <c r="L260" s="20" t="str">
        <f aca="false">IF(OR(J260="",H260=""),"",J260-K260)</f>
        <v/>
      </c>
      <c r="M260" s="1"/>
    </row>
    <row r="261" customFormat="false" ht="15" hidden="false" customHeight="false" outlineLevel="0" collapsed="false">
      <c r="A261" s="27"/>
      <c r="B261" s="1"/>
      <c r="C261" s="24" t="str">
        <f aca="false">IF(B261="","",IFERROR(INDEX(Patients!$B$2:$B$501,MATCH(B261,Patients!$A$2:$A$501,0))&amp;"",""))</f>
        <v/>
      </c>
      <c r="D261" s="1"/>
      <c r="E261" s="1"/>
      <c r="F261" s="28"/>
      <c r="G261" s="1"/>
      <c r="H261" s="1"/>
      <c r="I261" s="29"/>
      <c r="J261" s="20" t="str">
        <f aca="false">IF(D261="","",IFERROR(INDEX(Settings!$D$36:$D$45,MATCH(D261,Settings!$A$36:$A$45,0)),0))</f>
        <v/>
      </c>
      <c r="K261" s="20" t="str">
        <f aca="false">IF(J261="","",IF(H261="",J261,J261*(1-IF(I261="",Settings!$B$6,I261))))</f>
        <v/>
      </c>
      <c r="L261" s="20" t="str">
        <f aca="false">IF(OR(J261="",H261=""),"",J261-K261)</f>
        <v/>
      </c>
      <c r="M261" s="1"/>
    </row>
    <row r="262" customFormat="false" ht="15" hidden="false" customHeight="false" outlineLevel="0" collapsed="false">
      <c r="A262" s="27"/>
      <c r="B262" s="1"/>
      <c r="C262" s="24" t="str">
        <f aca="false">IF(B262="","",IFERROR(INDEX(Patients!$B$2:$B$501,MATCH(B262,Patients!$A$2:$A$501,0))&amp;"",""))</f>
        <v/>
      </c>
      <c r="D262" s="1"/>
      <c r="E262" s="1"/>
      <c r="F262" s="28"/>
      <c r="G262" s="1"/>
      <c r="H262" s="1"/>
      <c r="I262" s="29"/>
      <c r="J262" s="20" t="str">
        <f aca="false">IF(D262="","",IFERROR(INDEX(Settings!$D$36:$D$45,MATCH(D262,Settings!$A$36:$A$45,0)),0))</f>
        <v/>
      </c>
      <c r="K262" s="20" t="str">
        <f aca="false">IF(J262="","",IF(H262="",J262,J262*(1-IF(I262="",Settings!$B$6,I262))))</f>
        <v/>
      </c>
      <c r="L262" s="20" t="str">
        <f aca="false">IF(OR(J262="",H262=""),"",J262-K262)</f>
        <v/>
      </c>
      <c r="M262" s="1"/>
    </row>
    <row r="263" customFormat="false" ht="15" hidden="false" customHeight="false" outlineLevel="0" collapsed="false">
      <c r="A263" s="27"/>
      <c r="B263" s="1"/>
      <c r="C263" s="24" t="str">
        <f aca="false">IF(B263="","",IFERROR(INDEX(Patients!$B$2:$B$501,MATCH(B263,Patients!$A$2:$A$501,0))&amp;"",""))</f>
        <v/>
      </c>
      <c r="D263" s="1"/>
      <c r="E263" s="1"/>
      <c r="F263" s="28"/>
      <c r="G263" s="1"/>
      <c r="H263" s="1"/>
      <c r="I263" s="29"/>
      <c r="J263" s="20" t="str">
        <f aca="false">IF(D263="","",IFERROR(INDEX(Settings!$D$36:$D$45,MATCH(D263,Settings!$A$36:$A$45,0)),0))</f>
        <v/>
      </c>
      <c r="K263" s="20" t="str">
        <f aca="false">IF(J263="","",IF(H263="",J263,J263*(1-IF(I263="",Settings!$B$6,I263))))</f>
        <v/>
      </c>
      <c r="L263" s="20" t="str">
        <f aca="false">IF(OR(J263="",H263=""),"",J263-K263)</f>
        <v/>
      </c>
      <c r="M263" s="1"/>
    </row>
    <row r="264" customFormat="false" ht="15" hidden="false" customHeight="false" outlineLevel="0" collapsed="false">
      <c r="A264" s="27"/>
      <c r="B264" s="1"/>
      <c r="C264" s="24" t="str">
        <f aca="false">IF(B264="","",IFERROR(INDEX(Patients!$B$2:$B$501,MATCH(B264,Patients!$A$2:$A$501,0))&amp;"",""))</f>
        <v/>
      </c>
      <c r="D264" s="1"/>
      <c r="E264" s="1"/>
      <c r="F264" s="28"/>
      <c r="G264" s="1"/>
      <c r="H264" s="1"/>
      <c r="I264" s="29"/>
      <c r="J264" s="20" t="str">
        <f aca="false">IF(D264="","",IFERROR(INDEX(Settings!$D$36:$D$45,MATCH(D264,Settings!$A$36:$A$45,0)),0))</f>
        <v/>
      </c>
      <c r="K264" s="20" t="str">
        <f aca="false">IF(J264="","",IF(H264="",J264,J264*(1-IF(I264="",Settings!$B$6,I264))))</f>
        <v/>
      </c>
      <c r="L264" s="20" t="str">
        <f aca="false">IF(OR(J264="",H264=""),"",J264-K264)</f>
        <v/>
      </c>
      <c r="M264" s="1"/>
    </row>
    <row r="265" customFormat="false" ht="15" hidden="false" customHeight="false" outlineLevel="0" collapsed="false">
      <c r="A265" s="27"/>
      <c r="B265" s="1"/>
      <c r="C265" s="24" t="str">
        <f aca="false">IF(B265="","",IFERROR(INDEX(Patients!$B$2:$B$501,MATCH(B265,Patients!$A$2:$A$501,0))&amp;"",""))</f>
        <v/>
      </c>
      <c r="D265" s="1"/>
      <c r="E265" s="1"/>
      <c r="F265" s="28"/>
      <c r="G265" s="1"/>
      <c r="H265" s="1"/>
      <c r="I265" s="29"/>
      <c r="J265" s="20" t="str">
        <f aca="false">IF(D265="","",IFERROR(INDEX(Settings!$D$36:$D$45,MATCH(D265,Settings!$A$36:$A$45,0)),0))</f>
        <v/>
      </c>
      <c r="K265" s="20" t="str">
        <f aca="false">IF(J265="","",IF(H265="",J265,J265*(1-IF(I265="",Settings!$B$6,I265))))</f>
        <v/>
      </c>
      <c r="L265" s="20" t="str">
        <f aca="false">IF(OR(J265="",H265=""),"",J265-K265)</f>
        <v/>
      </c>
      <c r="M265" s="1"/>
    </row>
    <row r="266" customFormat="false" ht="15" hidden="false" customHeight="false" outlineLevel="0" collapsed="false">
      <c r="A266" s="27"/>
      <c r="B266" s="1"/>
      <c r="C266" s="24" t="str">
        <f aca="false">IF(B266="","",IFERROR(INDEX(Patients!$B$2:$B$501,MATCH(B266,Patients!$A$2:$A$501,0))&amp;"",""))</f>
        <v/>
      </c>
      <c r="D266" s="1"/>
      <c r="E266" s="1"/>
      <c r="F266" s="28"/>
      <c r="G266" s="1"/>
      <c r="H266" s="1"/>
      <c r="I266" s="29"/>
      <c r="J266" s="20" t="str">
        <f aca="false">IF(D266="","",IFERROR(INDEX(Settings!$D$36:$D$45,MATCH(D266,Settings!$A$36:$A$45,0)),0))</f>
        <v/>
      </c>
      <c r="K266" s="20" t="str">
        <f aca="false">IF(J266="","",IF(H266="",J266,J266*(1-IF(I266="",Settings!$B$6,I266))))</f>
        <v/>
      </c>
      <c r="L266" s="20" t="str">
        <f aca="false">IF(OR(J266="",H266=""),"",J266-K266)</f>
        <v/>
      </c>
      <c r="M266" s="1"/>
    </row>
    <row r="267" customFormat="false" ht="15" hidden="false" customHeight="false" outlineLevel="0" collapsed="false">
      <c r="A267" s="27"/>
      <c r="B267" s="1"/>
      <c r="C267" s="24" t="str">
        <f aca="false">IF(B267="","",IFERROR(INDEX(Patients!$B$2:$B$501,MATCH(B267,Patients!$A$2:$A$501,0))&amp;"",""))</f>
        <v/>
      </c>
      <c r="D267" s="1"/>
      <c r="E267" s="1"/>
      <c r="F267" s="28"/>
      <c r="G267" s="1"/>
      <c r="H267" s="1"/>
      <c r="I267" s="29"/>
      <c r="J267" s="20" t="str">
        <f aca="false">IF(D267="","",IFERROR(INDEX(Settings!$D$36:$D$45,MATCH(D267,Settings!$A$36:$A$45,0)),0))</f>
        <v/>
      </c>
      <c r="K267" s="20" t="str">
        <f aca="false">IF(J267="","",IF(H267="",J267,J267*(1-IF(I267="",Settings!$B$6,I267))))</f>
        <v/>
      </c>
      <c r="L267" s="20" t="str">
        <f aca="false">IF(OR(J267="",H267=""),"",J267-K267)</f>
        <v/>
      </c>
      <c r="M267" s="1"/>
    </row>
    <row r="268" customFormat="false" ht="15" hidden="false" customHeight="false" outlineLevel="0" collapsed="false">
      <c r="A268" s="27"/>
      <c r="B268" s="1"/>
      <c r="C268" s="24" t="str">
        <f aca="false">IF(B268="","",IFERROR(INDEX(Patients!$B$2:$B$501,MATCH(B268,Patients!$A$2:$A$501,0))&amp;"",""))</f>
        <v/>
      </c>
      <c r="D268" s="1"/>
      <c r="E268" s="1"/>
      <c r="F268" s="28"/>
      <c r="G268" s="1"/>
      <c r="H268" s="1"/>
      <c r="I268" s="29"/>
      <c r="J268" s="20" t="str">
        <f aca="false">IF(D268="","",IFERROR(INDEX(Settings!$D$36:$D$45,MATCH(D268,Settings!$A$36:$A$45,0)),0))</f>
        <v/>
      </c>
      <c r="K268" s="20" t="str">
        <f aca="false">IF(J268="","",IF(H268="",J268,J268*(1-IF(I268="",Settings!$B$6,I268))))</f>
        <v/>
      </c>
      <c r="L268" s="20" t="str">
        <f aca="false">IF(OR(J268="",H268=""),"",J268-K268)</f>
        <v/>
      </c>
      <c r="M268" s="1"/>
    </row>
    <row r="269" customFormat="false" ht="15" hidden="false" customHeight="false" outlineLevel="0" collapsed="false">
      <c r="A269" s="27"/>
      <c r="B269" s="1"/>
      <c r="C269" s="24" t="str">
        <f aca="false">IF(B269="","",IFERROR(INDEX(Patients!$B$2:$B$501,MATCH(B269,Patients!$A$2:$A$501,0))&amp;"",""))</f>
        <v/>
      </c>
      <c r="D269" s="1"/>
      <c r="E269" s="1"/>
      <c r="F269" s="28"/>
      <c r="G269" s="1"/>
      <c r="H269" s="1"/>
      <c r="I269" s="29"/>
      <c r="J269" s="20" t="str">
        <f aca="false">IF(D269="","",IFERROR(INDEX(Settings!$D$36:$D$45,MATCH(D269,Settings!$A$36:$A$45,0)),0))</f>
        <v/>
      </c>
      <c r="K269" s="20" t="str">
        <f aca="false">IF(J269="","",IF(H269="",J269,J269*(1-IF(I269="",Settings!$B$6,I269))))</f>
        <v/>
      </c>
      <c r="L269" s="20" t="str">
        <f aca="false">IF(OR(J269="",H269=""),"",J269-K269)</f>
        <v/>
      </c>
      <c r="M269" s="1"/>
    </row>
    <row r="270" customFormat="false" ht="15" hidden="false" customHeight="false" outlineLevel="0" collapsed="false">
      <c r="A270" s="27"/>
      <c r="B270" s="1"/>
      <c r="C270" s="24" t="str">
        <f aca="false">IF(B270="","",IFERROR(INDEX(Patients!$B$2:$B$501,MATCH(B270,Patients!$A$2:$A$501,0))&amp;"",""))</f>
        <v/>
      </c>
      <c r="D270" s="1"/>
      <c r="E270" s="1"/>
      <c r="F270" s="28"/>
      <c r="G270" s="1"/>
      <c r="H270" s="1"/>
      <c r="I270" s="29"/>
      <c r="J270" s="20" t="str">
        <f aca="false">IF(D270="","",IFERROR(INDEX(Settings!$D$36:$D$45,MATCH(D270,Settings!$A$36:$A$45,0)),0))</f>
        <v/>
      </c>
      <c r="K270" s="20" t="str">
        <f aca="false">IF(J270="","",IF(H270="",J270,J270*(1-IF(I270="",Settings!$B$6,I270))))</f>
        <v/>
      </c>
      <c r="L270" s="20" t="str">
        <f aca="false">IF(OR(J270="",H270=""),"",J270-K270)</f>
        <v/>
      </c>
      <c r="M270" s="1"/>
    </row>
    <row r="271" customFormat="false" ht="15" hidden="false" customHeight="false" outlineLevel="0" collapsed="false">
      <c r="A271" s="27"/>
      <c r="B271" s="1"/>
      <c r="C271" s="24" t="str">
        <f aca="false">IF(B271="","",IFERROR(INDEX(Patients!$B$2:$B$501,MATCH(B271,Patients!$A$2:$A$501,0))&amp;"",""))</f>
        <v/>
      </c>
      <c r="D271" s="1"/>
      <c r="E271" s="1"/>
      <c r="F271" s="28"/>
      <c r="G271" s="1"/>
      <c r="H271" s="1"/>
      <c r="I271" s="29"/>
      <c r="J271" s="20" t="str">
        <f aca="false">IF(D271="","",IFERROR(INDEX(Settings!$D$36:$D$45,MATCH(D271,Settings!$A$36:$A$45,0)),0))</f>
        <v/>
      </c>
      <c r="K271" s="20" t="str">
        <f aca="false">IF(J271="","",IF(H271="",J271,J271*(1-IF(I271="",Settings!$B$6,I271))))</f>
        <v/>
      </c>
      <c r="L271" s="20" t="str">
        <f aca="false">IF(OR(J271="",H271=""),"",J271-K271)</f>
        <v/>
      </c>
      <c r="M271" s="1"/>
    </row>
    <row r="272" customFormat="false" ht="15" hidden="false" customHeight="false" outlineLevel="0" collapsed="false">
      <c r="A272" s="27"/>
      <c r="B272" s="1"/>
      <c r="C272" s="24" t="str">
        <f aca="false">IF(B272="","",IFERROR(INDEX(Patients!$B$2:$B$501,MATCH(B272,Patients!$A$2:$A$501,0))&amp;"",""))</f>
        <v/>
      </c>
      <c r="D272" s="1"/>
      <c r="E272" s="1"/>
      <c r="F272" s="28"/>
      <c r="G272" s="1"/>
      <c r="H272" s="1"/>
      <c r="I272" s="29"/>
      <c r="J272" s="20" t="str">
        <f aca="false">IF(D272="","",IFERROR(INDEX(Settings!$D$36:$D$45,MATCH(D272,Settings!$A$36:$A$45,0)),0))</f>
        <v/>
      </c>
      <c r="K272" s="20" t="str">
        <f aca="false">IF(J272="","",IF(H272="",J272,J272*(1-IF(I272="",Settings!$B$6,I272))))</f>
        <v/>
      </c>
      <c r="L272" s="20" t="str">
        <f aca="false">IF(OR(J272="",H272=""),"",J272-K272)</f>
        <v/>
      </c>
      <c r="M272" s="1"/>
    </row>
    <row r="273" customFormat="false" ht="15" hidden="false" customHeight="false" outlineLevel="0" collapsed="false">
      <c r="A273" s="27"/>
      <c r="B273" s="1"/>
      <c r="C273" s="24" t="str">
        <f aca="false">IF(B273="","",IFERROR(INDEX(Patients!$B$2:$B$501,MATCH(B273,Patients!$A$2:$A$501,0))&amp;"",""))</f>
        <v/>
      </c>
      <c r="D273" s="1"/>
      <c r="E273" s="1"/>
      <c r="F273" s="28"/>
      <c r="G273" s="1"/>
      <c r="H273" s="1"/>
      <c r="I273" s="29"/>
      <c r="J273" s="20" t="str">
        <f aca="false">IF(D273="","",IFERROR(INDEX(Settings!$D$36:$D$45,MATCH(D273,Settings!$A$36:$A$45,0)),0))</f>
        <v/>
      </c>
      <c r="K273" s="20" t="str">
        <f aca="false">IF(J273="","",IF(H273="",J273,J273*(1-IF(I273="",Settings!$B$6,I273))))</f>
        <v/>
      </c>
      <c r="L273" s="20" t="str">
        <f aca="false">IF(OR(J273="",H273=""),"",J273-K273)</f>
        <v/>
      </c>
      <c r="M273" s="1"/>
    </row>
    <row r="274" customFormat="false" ht="15" hidden="false" customHeight="false" outlineLevel="0" collapsed="false">
      <c r="A274" s="27"/>
      <c r="B274" s="1"/>
      <c r="C274" s="24" t="str">
        <f aca="false">IF(B274="","",IFERROR(INDEX(Patients!$B$2:$B$501,MATCH(B274,Patients!$A$2:$A$501,0))&amp;"",""))</f>
        <v/>
      </c>
      <c r="D274" s="1"/>
      <c r="E274" s="1"/>
      <c r="F274" s="28"/>
      <c r="G274" s="1"/>
      <c r="H274" s="1"/>
      <c r="I274" s="29"/>
      <c r="J274" s="20" t="str">
        <f aca="false">IF(D274="","",IFERROR(INDEX(Settings!$D$36:$D$45,MATCH(D274,Settings!$A$36:$A$45,0)),0))</f>
        <v/>
      </c>
      <c r="K274" s="20" t="str">
        <f aca="false">IF(J274="","",IF(H274="",J274,J274*(1-IF(I274="",Settings!$B$6,I274))))</f>
        <v/>
      </c>
      <c r="L274" s="20" t="str">
        <f aca="false">IF(OR(J274="",H274=""),"",J274-K274)</f>
        <v/>
      </c>
      <c r="M274" s="1"/>
    </row>
    <row r="275" customFormat="false" ht="15" hidden="false" customHeight="false" outlineLevel="0" collapsed="false">
      <c r="A275" s="27"/>
      <c r="B275" s="1"/>
      <c r="C275" s="24" t="str">
        <f aca="false">IF(B275="","",IFERROR(INDEX(Patients!$B$2:$B$501,MATCH(B275,Patients!$A$2:$A$501,0))&amp;"",""))</f>
        <v/>
      </c>
      <c r="D275" s="1"/>
      <c r="E275" s="1"/>
      <c r="F275" s="28"/>
      <c r="G275" s="1"/>
      <c r="H275" s="1"/>
      <c r="I275" s="29"/>
      <c r="J275" s="20" t="str">
        <f aca="false">IF(D275="","",IFERROR(INDEX(Settings!$D$36:$D$45,MATCH(D275,Settings!$A$36:$A$45,0)),0))</f>
        <v/>
      </c>
      <c r="K275" s="20" t="str">
        <f aca="false">IF(J275="","",IF(H275="",J275,J275*(1-IF(I275="",Settings!$B$6,I275))))</f>
        <v/>
      </c>
      <c r="L275" s="20" t="str">
        <f aca="false">IF(OR(J275="",H275=""),"",J275-K275)</f>
        <v/>
      </c>
      <c r="M275" s="1"/>
    </row>
    <row r="276" customFormat="false" ht="15" hidden="false" customHeight="false" outlineLevel="0" collapsed="false">
      <c r="A276" s="27"/>
      <c r="B276" s="1"/>
      <c r="C276" s="24" t="str">
        <f aca="false">IF(B276="","",IFERROR(INDEX(Patients!$B$2:$B$501,MATCH(B276,Patients!$A$2:$A$501,0))&amp;"",""))</f>
        <v/>
      </c>
      <c r="D276" s="1"/>
      <c r="E276" s="1"/>
      <c r="F276" s="28"/>
      <c r="G276" s="1"/>
      <c r="H276" s="1"/>
      <c r="I276" s="29"/>
      <c r="J276" s="20" t="str">
        <f aca="false">IF(D276="","",IFERROR(INDEX(Settings!$D$36:$D$45,MATCH(D276,Settings!$A$36:$A$45,0)),0))</f>
        <v/>
      </c>
      <c r="K276" s="20" t="str">
        <f aca="false">IF(J276="","",IF(H276="",J276,J276*(1-IF(I276="",Settings!$B$6,I276))))</f>
        <v/>
      </c>
      <c r="L276" s="20" t="str">
        <f aca="false">IF(OR(J276="",H276=""),"",J276-K276)</f>
        <v/>
      </c>
      <c r="M276" s="1"/>
    </row>
    <row r="277" customFormat="false" ht="15" hidden="false" customHeight="false" outlineLevel="0" collapsed="false">
      <c r="A277" s="27"/>
      <c r="B277" s="1"/>
      <c r="C277" s="24" t="str">
        <f aca="false">IF(B277="","",IFERROR(INDEX(Patients!$B$2:$B$501,MATCH(B277,Patients!$A$2:$A$501,0))&amp;"",""))</f>
        <v/>
      </c>
      <c r="D277" s="1"/>
      <c r="E277" s="1"/>
      <c r="F277" s="28"/>
      <c r="G277" s="1"/>
      <c r="H277" s="1"/>
      <c r="I277" s="29"/>
      <c r="J277" s="20" t="str">
        <f aca="false">IF(D277="","",IFERROR(INDEX(Settings!$D$36:$D$45,MATCH(D277,Settings!$A$36:$A$45,0)),0))</f>
        <v/>
      </c>
      <c r="K277" s="20" t="str">
        <f aca="false">IF(J277="","",IF(H277="",J277,J277*(1-IF(I277="",Settings!$B$6,I277))))</f>
        <v/>
      </c>
      <c r="L277" s="20" t="str">
        <f aca="false">IF(OR(J277="",H277=""),"",J277-K277)</f>
        <v/>
      </c>
      <c r="M277" s="1"/>
    </row>
    <row r="278" customFormat="false" ht="15" hidden="false" customHeight="false" outlineLevel="0" collapsed="false">
      <c r="A278" s="27"/>
      <c r="B278" s="1"/>
      <c r="C278" s="24" t="str">
        <f aca="false">IF(B278="","",IFERROR(INDEX(Patients!$B$2:$B$501,MATCH(B278,Patients!$A$2:$A$501,0))&amp;"",""))</f>
        <v/>
      </c>
      <c r="D278" s="1"/>
      <c r="E278" s="1"/>
      <c r="F278" s="28"/>
      <c r="G278" s="1"/>
      <c r="H278" s="1"/>
      <c r="I278" s="29"/>
      <c r="J278" s="20" t="str">
        <f aca="false">IF(D278="","",IFERROR(INDEX(Settings!$D$36:$D$45,MATCH(D278,Settings!$A$36:$A$45,0)),0))</f>
        <v/>
      </c>
      <c r="K278" s="20" t="str">
        <f aca="false">IF(J278="","",IF(H278="",J278,J278*(1-IF(I278="",Settings!$B$6,I278))))</f>
        <v/>
      </c>
      <c r="L278" s="20" t="str">
        <f aca="false">IF(OR(J278="",H278=""),"",J278-K278)</f>
        <v/>
      </c>
      <c r="M278" s="1"/>
    </row>
    <row r="279" customFormat="false" ht="15" hidden="false" customHeight="false" outlineLevel="0" collapsed="false">
      <c r="A279" s="27"/>
      <c r="B279" s="1"/>
      <c r="C279" s="24" t="str">
        <f aca="false">IF(B279="","",IFERROR(INDEX(Patients!$B$2:$B$501,MATCH(B279,Patients!$A$2:$A$501,0))&amp;"",""))</f>
        <v/>
      </c>
      <c r="D279" s="1"/>
      <c r="E279" s="1"/>
      <c r="F279" s="28"/>
      <c r="G279" s="1"/>
      <c r="H279" s="1"/>
      <c r="I279" s="29"/>
      <c r="J279" s="20" t="str">
        <f aca="false">IF(D279="","",IFERROR(INDEX(Settings!$D$36:$D$45,MATCH(D279,Settings!$A$36:$A$45,0)),0))</f>
        <v/>
      </c>
      <c r="K279" s="20" t="str">
        <f aca="false">IF(J279="","",IF(H279="",J279,J279*(1-IF(I279="",Settings!$B$6,I279))))</f>
        <v/>
      </c>
      <c r="L279" s="20" t="str">
        <f aca="false">IF(OR(J279="",H279=""),"",J279-K279)</f>
        <v/>
      </c>
      <c r="M279" s="1"/>
    </row>
    <row r="280" customFormat="false" ht="15" hidden="false" customHeight="false" outlineLevel="0" collapsed="false">
      <c r="A280" s="27"/>
      <c r="B280" s="1"/>
      <c r="C280" s="24" t="str">
        <f aca="false">IF(B280="","",IFERROR(INDEX(Patients!$B$2:$B$501,MATCH(B280,Patients!$A$2:$A$501,0))&amp;"",""))</f>
        <v/>
      </c>
      <c r="D280" s="1"/>
      <c r="E280" s="1"/>
      <c r="F280" s="28"/>
      <c r="G280" s="1"/>
      <c r="H280" s="1"/>
      <c r="I280" s="29"/>
      <c r="J280" s="20" t="str">
        <f aca="false">IF(D280="","",IFERROR(INDEX(Settings!$D$36:$D$45,MATCH(D280,Settings!$A$36:$A$45,0)),0))</f>
        <v/>
      </c>
      <c r="K280" s="20" t="str">
        <f aca="false">IF(J280="","",IF(H280="",J280,J280*(1-IF(I280="",Settings!$B$6,I280))))</f>
        <v/>
      </c>
      <c r="L280" s="20" t="str">
        <f aca="false">IF(OR(J280="",H280=""),"",J280-K280)</f>
        <v/>
      </c>
      <c r="M280" s="1"/>
    </row>
    <row r="281" customFormat="false" ht="15" hidden="false" customHeight="false" outlineLevel="0" collapsed="false">
      <c r="A281" s="27"/>
      <c r="B281" s="1"/>
      <c r="C281" s="24" t="str">
        <f aca="false">IF(B281="","",IFERROR(INDEX(Patients!$B$2:$B$501,MATCH(B281,Patients!$A$2:$A$501,0))&amp;"",""))</f>
        <v/>
      </c>
      <c r="D281" s="1"/>
      <c r="E281" s="1"/>
      <c r="F281" s="28"/>
      <c r="G281" s="1"/>
      <c r="H281" s="1"/>
      <c r="I281" s="29"/>
      <c r="J281" s="20" t="str">
        <f aca="false">IF(D281="","",IFERROR(INDEX(Settings!$D$36:$D$45,MATCH(D281,Settings!$A$36:$A$45,0)),0))</f>
        <v/>
      </c>
      <c r="K281" s="20" t="str">
        <f aca="false">IF(J281="","",IF(H281="",J281,J281*(1-IF(I281="",Settings!$B$6,I281))))</f>
        <v/>
      </c>
      <c r="L281" s="20" t="str">
        <f aca="false">IF(OR(J281="",H281=""),"",J281-K281)</f>
        <v/>
      </c>
      <c r="M281" s="1"/>
    </row>
    <row r="282" customFormat="false" ht="15" hidden="false" customHeight="false" outlineLevel="0" collapsed="false">
      <c r="A282" s="27"/>
      <c r="B282" s="1"/>
      <c r="C282" s="24" t="str">
        <f aca="false">IF(B282="","",IFERROR(INDEX(Patients!$B$2:$B$501,MATCH(B282,Patients!$A$2:$A$501,0))&amp;"",""))</f>
        <v/>
      </c>
      <c r="D282" s="1"/>
      <c r="E282" s="1"/>
      <c r="F282" s="28"/>
      <c r="G282" s="1"/>
      <c r="H282" s="1"/>
      <c r="I282" s="29"/>
      <c r="J282" s="20" t="str">
        <f aca="false">IF(D282="","",IFERROR(INDEX(Settings!$D$36:$D$45,MATCH(D282,Settings!$A$36:$A$45,0)),0))</f>
        <v/>
      </c>
      <c r="K282" s="20" t="str">
        <f aca="false">IF(J282="","",IF(H282="",J282,J282*(1-IF(I282="",Settings!$B$6,I282))))</f>
        <v/>
      </c>
      <c r="L282" s="20" t="str">
        <f aca="false">IF(OR(J282="",H282=""),"",J282-K282)</f>
        <v/>
      </c>
      <c r="M282" s="1"/>
    </row>
    <row r="283" customFormat="false" ht="15" hidden="false" customHeight="false" outlineLevel="0" collapsed="false">
      <c r="A283" s="27"/>
      <c r="B283" s="1"/>
      <c r="C283" s="24" t="str">
        <f aca="false">IF(B283="","",IFERROR(INDEX(Patients!$B$2:$B$501,MATCH(B283,Patients!$A$2:$A$501,0))&amp;"",""))</f>
        <v/>
      </c>
      <c r="D283" s="1"/>
      <c r="E283" s="1"/>
      <c r="F283" s="28"/>
      <c r="G283" s="1"/>
      <c r="H283" s="1"/>
      <c r="I283" s="29"/>
      <c r="J283" s="20" t="str">
        <f aca="false">IF(D283="","",IFERROR(INDEX(Settings!$D$36:$D$45,MATCH(D283,Settings!$A$36:$A$45,0)),0))</f>
        <v/>
      </c>
      <c r="K283" s="20" t="str">
        <f aca="false">IF(J283="","",IF(H283="",J283,J283*(1-IF(I283="",Settings!$B$6,I283))))</f>
        <v/>
      </c>
      <c r="L283" s="20" t="str">
        <f aca="false">IF(OR(J283="",H283=""),"",J283-K283)</f>
        <v/>
      </c>
      <c r="M283" s="1"/>
    </row>
    <row r="284" customFormat="false" ht="15" hidden="false" customHeight="false" outlineLevel="0" collapsed="false">
      <c r="A284" s="27"/>
      <c r="B284" s="1"/>
      <c r="C284" s="24" t="str">
        <f aca="false">IF(B284="","",IFERROR(INDEX(Patients!$B$2:$B$501,MATCH(B284,Patients!$A$2:$A$501,0))&amp;"",""))</f>
        <v/>
      </c>
      <c r="D284" s="1"/>
      <c r="E284" s="1"/>
      <c r="F284" s="28"/>
      <c r="G284" s="1"/>
      <c r="H284" s="1"/>
      <c r="I284" s="29"/>
      <c r="J284" s="20" t="str">
        <f aca="false">IF(D284="","",IFERROR(INDEX(Settings!$D$36:$D$45,MATCH(D284,Settings!$A$36:$A$45,0)),0))</f>
        <v/>
      </c>
      <c r="K284" s="20" t="str">
        <f aca="false">IF(J284="","",IF(H284="",J284,J284*(1-IF(I284="",Settings!$B$6,I284))))</f>
        <v/>
      </c>
      <c r="L284" s="20" t="str">
        <f aca="false">IF(OR(J284="",H284=""),"",J284-K284)</f>
        <v/>
      </c>
      <c r="M284" s="1"/>
    </row>
    <row r="285" customFormat="false" ht="15" hidden="false" customHeight="false" outlineLevel="0" collapsed="false">
      <c r="A285" s="27"/>
      <c r="B285" s="1"/>
      <c r="C285" s="24" t="str">
        <f aca="false">IF(B285="","",IFERROR(INDEX(Patients!$B$2:$B$501,MATCH(B285,Patients!$A$2:$A$501,0))&amp;"",""))</f>
        <v/>
      </c>
      <c r="D285" s="1"/>
      <c r="E285" s="1"/>
      <c r="F285" s="28"/>
      <c r="G285" s="1"/>
      <c r="H285" s="1"/>
      <c r="I285" s="29"/>
      <c r="J285" s="20" t="str">
        <f aca="false">IF(D285="","",IFERROR(INDEX(Settings!$D$36:$D$45,MATCH(D285,Settings!$A$36:$A$45,0)),0))</f>
        <v/>
      </c>
      <c r="K285" s="20" t="str">
        <f aca="false">IF(J285="","",IF(H285="",J285,J285*(1-IF(I285="",Settings!$B$6,I285))))</f>
        <v/>
      </c>
      <c r="L285" s="20" t="str">
        <f aca="false">IF(OR(J285="",H285=""),"",J285-K285)</f>
        <v/>
      </c>
      <c r="M285" s="1"/>
    </row>
    <row r="286" customFormat="false" ht="15" hidden="false" customHeight="false" outlineLevel="0" collapsed="false">
      <c r="A286" s="27"/>
      <c r="B286" s="1"/>
      <c r="C286" s="24" t="str">
        <f aca="false">IF(B286="","",IFERROR(INDEX(Patients!$B$2:$B$501,MATCH(B286,Patients!$A$2:$A$501,0))&amp;"",""))</f>
        <v/>
      </c>
      <c r="D286" s="1"/>
      <c r="E286" s="1"/>
      <c r="F286" s="28"/>
      <c r="G286" s="1"/>
      <c r="H286" s="1"/>
      <c r="I286" s="29"/>
      <c r="J286" s="20" t="str">
        <f aca="false">IF(D286="","",IFERROR(INDEX(Settings!$D$36:$D$45,MATCH(D286,Settings!$A$36:$A$45,0)),0))</f>
        <v/>
      </c>
      <c r="K286" s="20" t="str">
        <f aca="false">IF(J286="","",IF(H286="",J286,J286*(1-IF(I286="",Settings!$B$6,I286))))</f>
        <v/>
      </c>
      <c r="L286" s="20" t="str">
        <f aca="false">IF(OR(J286="",H286=""),"",J286-K286)</f>
        <v/>
      </c>
      <c r="M286" s="1"/>
    </row>
    <row r="287" customFormat="false" ht="15" hidden="false" customHeight="false" outlineLevel="0" collapsed="false">
      <c r="A287" s="27"/>
      <c r="B287" s="1"/>
      <c r="C287" s="24" t="str">
        <f aca="false">IF(B287="","",IFERROR(INDEX(Patients!$B$2:$B$501,MATCH(B287,Patients!$A$2:$A$501,0))&amp;"",""))</f>
        <v/>
      </c>
      <c r="D287" s="1"/>
      <c r="E287" s="1"/>
      <c r="F287" s="28"/>
      <c r="G287" s="1"/>
      <c r="H287" s="1"/>
      <c r="I287" s="29"/>
      <c r="J287" s="20" t="str">
        <f aca="false">IF(D287="","",IFERROR(INDEX(Settings!$D$36:$D$45,MATCH(D287,Settings!$A$36:$A$45,0)),0))</f>
        <v/>
      </c>
      <c r="K287" s="20" t="str">
        <f aca="false">IF(J287="","",IF(H287="",J287,J287*(1-IF(I287="",Settings!$B$6,I287))))</f>
        <v/>
      </c>
      <c r="L287" s="20" t="str">
        <f aca="false">IF(OR(J287="",H287=""),"",J287-K287)</f>
        <v/>
      </c>
      <c r="M287" s="1"/>
    </row>
    <row r="288" customFormat="false" ht="15" hidden="false" customHeight="false" outlineLevel="0" collapsed="false">
      <c r="A288" s="27"/>
      <c r="B288" s="1"/>
      <c r="C288" s="24" t="str">
        <f aca="false">IF(B288="","",IFERROR(INDEX(Patients!$B$2:$B$501,MATCH(B288,Patients!$A$2:$A$501,0))&amp;"",""))</f>
        <v/>
      </c>
      <c r="D288" s="1"/>
      <c r="E288" s="1"/>
      <c r="F288" s="28"/>
      <c r="G288" s="1"/>
      <c r="H288" s="1"/>
      <c r="I288" s="29"/>
      <c r="J288" s="20" t="str">
        <f aca="false">IF(D288="","",IFERROR(INDEX(Settings!$D$36:$D$45,MATCH(D288,Settings!$A$36:$A$45,0)),0))</f>
        <v/>
      </c>
      <c r="K288" s="20" t="str">
        <f aca="false">IF(J288="","",IF(H288="",J288,J288*(1-IF(I288="",Settings!$B$6,I288))))</f>
        <v/>
      </c>
      <c r="L288" s="20" t="str">
        <f aca="false">IF(OR(J288="",H288=""),"",J288-K288)</f>
        <v/>
      </c>
      <c r="M288" s="1"/>
    </row>
    <row r="289" customFormat="false" ht="15" hidden="false" customHeight="false" outlineLevel="0" collapsed="false">
      <c r="A289" s="27"/>
      <c r="B289" s="1"/>
      <c r="C289" s="24" t="str">
        <f aca="false">IF(B289="","",IFERROR(INDEX(Patients!$B$2:$B$501,MATCH(B289,Patients!$A$2:$A$501,0))&amp;"",""))</f>
        <v/>
      </c>
      <c r="D289" s="1"/>
      <c r="E289" s="1"/>
      <c r="F289" s="28"/>
      <c r="G289" s="1"/>
      <c r="H289" s="1"/>
      <c r="I289" s="29"/>
      <c r="J289" s="20" t="str">
        <f aca="false">IF(D289="","",IFERROR(INDEX(Settings!$D$36:$D$45,MATCH(D289,Settings!$A$36:$A$45,0)),0))</f>
        <v/>
      </c>
      <c r="K289" s="20" t="str">
        <f aca="false">IF(J289="","",IF(H289="",J289,J289*(1-IF(I289="",Settings!$B$6,I289))))</f>
        <v/>
      </c>
      <c r="L289" s="20" t="str">
        <f aca="false">IF(OR(J289="",H289=""),"",J289-K289)</f>
        <v/>
      </c>
      <c r="M289" s="1"/>
    </row>
    <row r="290" customFormat="false" ht="15" hidden="false" customHeight="false" outlineLevel="0" collapsed="false">
      <c r="A290" s="27"/>
      <c r="B290" s="1"/>
      <c r="C290" s="24" t="str">
        <f aca="false">IF(B290="","",IFERROR(INDEX(Patients!$B$2:$B$501,MATCH(B290,Patients!$A$2:$A$501,0))&amp;"",""))</f>
        <v/>
      </c>
      <c r="D290" s="1"/>
      <c r="E290" s="1"/>
      <c r="F290" s="28"/>
      <c r="G290" s="1"/>
      <c r="H290" s="1"/>
      <c r="I290" s="29"/>
      <c r="J290" s="20" t="str">
        <f aca="false">IF(D290="","",IFERROR(INDEX(Settings!$D$36:$D$45,MATCH(D290,Settings!$A$36:$A$45,0)),0))</f>
        <v/>
      </c>
      <c r="K290" s="20" t="str">
        <f aca="false">IF(J290="","",IF(H290="",J290,J290*(1-IF(I290="",Settings!$B$6,I290))))</f>
        <v/>
      </c>
      <c r="L290" s="20" t="str">
        <f aca="false">IF(OR(J290="",H290=""),"",J290-K290)</f>
        <v/>
      </c>
      <c r="M290" s="1"/>
    </row>
    <row r="291" customFormat="false" ht="15" hidden="false" customHeight="false" outlineLevel="0" collapsed="false">
      <c r="A291" s="27"/>
      <c r="B291" s="1"/>
      <c r="C291" s="24" t="str">
        <f aca="false">IF(B291="","",IFERROR(INDEX(Patients!$B$2:$B$501,MATCH(B291,Patients!$A$2:$A$501,0))&amp;"",""))</f>
        <v/>
      </c>
      <c r="D291" s="1"/>
      <c r="E291" s="1"/>
      <c r="F291" s="28"/>
      <c r="G291" s="1"/>
      <c r="H291" s="1"/>
      <c r="I291" s="29"/>
      <c r="J291" s="20" t="str">
        <f aca="false">IF(D291="","",IFERROR(INDEX(Settings!$D$36:$D$45,MATCH(D291,Settings!$A$36:$A$45,0)),0))</f>
        <v/>
      </c>
      <c r="K291" s="20" t="str">
        <f aca="false">IF(J291="","",IF(H291="",J291,J291*(1-IF(I291="",Settings!$B$6,I291))))</f>
        <v/>
      </c>
      <c r="L291" s="20" t="str">
        <f aca="false">IF(OR(J291="",H291=""),"",J291-K291)</f>
        <v/>
      </c>
      <c r="M291" s="1"/>
    </row>
    <row r="292" customFormat="false" ht="15" hidden="false" customHeight="false" outlineLevel="0" collapsed="false">
      <c r="A292" s="27"/>
      <c r="B292" s="1"/>
      <c r="C292" s="24" t="str">
        <f aca="false">IF(B292="","",IFERROR(INDEX(Patients!$B$2:$B$501,MATCH(B292,Patients!$A$2:$A$501,0))&amp;"",""))</f>
        <v/>
      </c>
      <c r="D292" s="1"/>
      <c r="E292" s="1"/>
      <c r="F292" s="28"/>
      <c r="G292" s="1"/>
      <c r="H292" s="1"/>
      <c r="I292" s="29"/>
      <c r="J292" s="20" t="str">
        <f aca="false">IF(D292="","",IFERROR(INDEX(Settings!$D$36:$D$45,MATCH(D292,Settings!$A$36:$A$45,0)),0))</f>
        <v/>
      </c>
      <c r="K292" s="20" t="str">
        <f aca="false">IF(J292="","",IF(H292="",J292,J292*(1-IF(I292="",Settings!$B$6,I292))))</f>
        <v/>
      </c>
      <c r="L292" s="20" t="str">
        <f aca="false">IF(OR(J292="",H292=""),"",J292-K292)</f>
        <v/>
      </c>
      <c r="M292" s="1"/>
    </row>
    <row r="293" customFormat="false" ht="15" hidden="false" customHeight="false" outlineLevel="0" collapsed="false">
      <c r="A293" s="27"/>
      <c r="B293" s="1"/>
      <c r="C293" s="24" t="str">
        <f aca="false">IF(B293="","",IFERROR(INDEX(Patients!$B$2:$B$501,MATCH(B293,Patients!$A$2:$A$501,0))&amp;"",""))</f>
        <v/>
      </c>
      <c r="D293" s="1"/>
      <c r="E293" s="1"/>
      <c r="F293" s="28"/>
      <c r="G293" s="1"/>
      <c r="H293" s="1"/>
      <c r="I293" s="29"/>
      <c r="J293" s="20" t="str">
        <f aca="false">IF(D293="","",IFERROR(INDEX(Settings!$D$36:$D$45,MATCH(D293,Settings!$A$36:$A$45,0)),0))</f>
        <v/>
      </c>
      <c r="K293" s="20" t="str">
        <f aca="false">IF(J293="","",IF(H293="",J293,J293*(1-IF(I293="",Settings!$B$6,I293))))</f>
        <v/>
      </c>
      <c r="L293" s="20" t="str">
        <f aca="false">IF(OR(J293="",H293=""),"",J293-K293)</f>
        <v/>
      </c>
      <c r="M293" s="1"/>
    </row>
    <row r="294" customFormat="false" ht="15" hidden="false" customHeight="false" outlineLevel="0" collapsed="false">
      <c r="A294" s="27"/>
      <c r="B294" s="1"/>
      <c r="C294" s="24" t="str">
        <f aca="false">IF(B294="","",IFERROR(INDEX(Patients!$B$2:$B$501,MATCH(B294,Patients!$A$2:$A$501,0))&amp;"",""))</f>
        <v/>
      </c>
      <c r="D294" s="1"/>
      <c r="E294" s="1"/>
      <c r="F294" s="28"/>
      <c r="G294" s="1"/>
      <c r="H294" s="1"/>
      <c r="I294" s="29"/>
      <c r="J294" s="20" t="str">
        <f aca="false">IF(D294="","",IFERROR(INDEX(Settings!$D$36:$D$45,MATCH(D294,Settings!$A$36:$A$45,0)),0))</f>
        <v/>
      </c>
      <c r="K294" s="20" t="str">
        <f aca="false">IF(J294="","",IF(H294="",J294,J294*(1-IF(I294="",Settings!$B$6,I294))))</f>
        <v/>
      </c>
      <c r="L294" s="20" t="str">
        <f aca="false">IF(OR(J294="",H294=""),"",J294-K294)</f>
        <v/>
      </c>
      <c r="M294" s="1"/>
    </row>
    <row r="295" customFormat="false" ht="15" hidden="false" customHeight="false" outlineLevel="0" collapsed="false">
      <c r="A295" s="27"/>
      <c r="B295" s="1"/>
      <c r="C295" s="24" t="str">
        <f aca="false">IF(B295="","",IFERROR(INDEX(Patients!$B$2:$B$501,MATCH(B295,Patients!$A$2:$A$501,0))&amp;"",""))</f>
        <v/>
      </c>
      <c r="D295" s="1"/>
      <c r="E295" s="1"/>
      <c r="F295" s="28"/>
      <c r="G295" s="1"/>
      <c r="H295" s="1"/>
      <c r="I295" s="29"/>
      <c r="J295" s="20" t="str">
        <f aca="false">IF(D295="","",IFERROR(INDEX(Settings!$D$36:$D$45,MATCH(D295,Settings!$A$36:$A$45,0)),0))</f>
        <v/>
      </c>
      <c r="K295" s="20" t="str">
        <f aca="false">IF(J295="","",IF(H295="",J295,J295*(1-IF(I295="",Settings!$B$6,I295))))</f>
        <v/>
      </c>
      <c r="L295" s="20" t="str">
        <f aca="false">IF(OR(J295="",H295=""),"",J295-K295)</f>
        <v/>
      </c>
      <c r="M295" s="1"/>
    </row>
    <row r="296" customFormat="false" ht="15" hidden="false" customHeight="false" outlineLevel="0" collapsed="false">
      <c r="A296" s="27"/>
      <c r="B296" s="1"/>
      <c r="C296" s="24" t="str">
        <f aca="false">IF(B296="","",IFERROR(INDEX(Patients!$B$2:$B$501,MATCH(B296,Patients!$A$2:$A$501,0))&amp;"",""))</f>
        <v/>
      </c>
      <c r="D296" s="1"/>
      <c r="E296" s="1"/>
      <c r="F296" s="28"/>
      <c r="G296" s="1"/>
      <c r="H296" s="1"/>
      <c r="I296" s="29"/>
      <c r="J296" s="20" t="str">
        <f aca="false">IF(D296="","",IFERROR(INDEX(Settings!$D$36:$D$45,MATCH(D296,Settings!$A$36:$A$45,0)),0))</f>
        <v/>
      </c>
      <c r="K296" s="20" t="str">
        <f aca="false">IF(J296="","",IF(H296="",J296,J296*(1-IF(I296="",Settings!$B$6,I296))))</f>
        <v/>
      </c>
      <c r="L296" s="20" t="str">
        <f aca="false">IF(OR(J296="",H296=""),"",J296-K296)</f>
        <v/>
      </c>
      <c r="M296" s="1"/>
    </row>
    <row r="297" customFormat="false" ht="15" hidden="false" customHeight="false" outlineLevel="0" collapsed="false">
      <c r="A297" s="27"/>
      <c r="B297" s="1"/>
      <c r="C297" s="24" t="str">
        <f aca="false">IF(B297="","",IFERROR(INDEX(Patients!$B$2:$B$501,MATCH(B297,Patients!$A$2:$A$501,0))&amp;"",""))</f>
        <v/>
      </c>
      <c r="D297" s="1"/>
      <c r="E297" s="1"/>
      <c r="F297" s="28"/>
      <c r="G297" s="1"/>
      <c r="H297" s="1"/>
      <c r="I297" s="29"/>
      <c r="J297" s="20" t="str">
        <f aca="false">IF(D297="","",IFERROR(INDEX(Settings!$D$36:$D$45,MATCH(D297,Settings!$A$36:$A$45,0)),0))</f>
        <v/>
      </c>
      <c r="K297" s="20" t="str">
        <f aca="false">IF(J297="","",IF(H297="",J297,J297*(1-IF(I297="",Settings!$B$6,I297))))</f>
        <v/>
      </c>
      <c r="L297" s="20" t="str">
        <f aca="false">IF(OR(J297="",H297=""),"",J297-K297)</f>
        <v/>
      </c>
      <c r="M297" s="1"/>
    </row>
    <row r="298" customFormat="false" ht="15" hidden="false" customHeight="false" outlineLevel="0" collapsed="false">
      <c r="A298" s="27"/>
      <c r="B298" s="1"/>
      <c r="C298" s="24" t="str">
        <f aca="false">IF(B298="","",IFERROR(INDEX(Patients!$B$2:$B$501,MATCH(B298,Patients!$A$2:$A$501,0))&amp;"",""))</f>
        <v/>
      </c>
      <c r="D298" s="1"/>
      <c r="E298" s="1"/>
      <c r="F298" s="28"/>
      <c r="G298" s="1"/>
      <c r="H298" s="1"/>
      <c r="I298" s="29"/>
      <c r="J298" s="20" t="str">
        <f aca="false">IF(D298="","",IFERROR(INDEX(Settings!$D$36:$D$45,MATCH(D298,Settings!$A$36:$A$45,0)),0))</f>
        <v/>
      </c>
      <c r="K298" s="20" t="str">
        <f aca="false">IF(J298="","",IF(H298="",J298,J298*(1-IF(I298="",Settings!$B$6,I298))))</f>
        <v/>
      </c>
      <c r="L298" s="20" t="str">
        <f aca="false">IF(OR(J298="",H298=""),"",J298-K298)</f>
        <v/>
      </c>
      <c r="M298" s="1"/>
    </row>
    <row r="299" customFormat="false" ht="15" hidden="false" customHeight="false" outlineLevel="0" collapsed="false">
      <c r="A299" s="27"/>
      <c r="B299" s="1"/>
      <c r="C299" s="24" t="str">
        <f aca="false">IF(B299="","",IFERROR(INDEX(Patients!$B$2:$B$501,MATCH(B299,Patients!$A$2:$A$501,0))&amp;"",""))</f>
        <v/>
      </c>
      <c r="D299" s="1"/>
      <c r="E299" s="1"/>
      <c r="F299" s="28"/>
      <c r="G299" s="1"/>
      <c r="H299" s="1"/>
      <c r="I299" s="29"/>
      <c r="J299" s="20" t="str">
        <f aca="false">IF(D299="","",IFERROR(INDEX(Settings!$D$36:$D$45,MATCH(D299,Settings!$A$36:$A$45,0)),0))</f>
        <v/>
      </c>
      <c r="K299" s="20" t="str">
        <f aca="false">IF(J299="","",IF(H299="",J299,J299*(1-IF(I299="",Settings!$B$6,I299))))</f>
        <v/>
      </c>
      <c r="L299" s="20" t="str">
        <f aca="false">IF(OR(J299="",H299=""),"",J299-K299)</f>
        <v/>
      </c>
      <c r="M299" s="1"/>
    </row>
    <row r="300" customFormat="false" ht="15" hidden="false" customHeight="false" outlineLevel="0" collapsed="false">
      <c r="A300" s="27"/>
      <c r="B300" s="1"/>
      <c r="C300" s="24" t="str">
        <f aca="false">IF(B300="","",IFERROR(INDEX(Patients!$B$2:$B$501,MATCH(B300,Patients!$A$2:$A$501,0))&amp;"",""))</f>
        <v/>
      </c>
      <c r="D300" s="1"/>
      <c r="E300" s="1"/>
      <c r="F300" s="28"/>
      <c r="G300" s="1"/>
      <c r="H300" s="1"/>
      <c r="I300" s="29"/>
      <c r="J300" s="20" t="str">
        <f aca="false">IF(D300="","",IFERROR(INDEX(Settings!$D$36:$D$45,MATCH(D300,Settings!$A$36:$A$45,0)),0))</f>
        <v/>
      </c>
      <c r="K300" s="20" t="str">
        <f aca="false">IF(J300="","",IF(H300="",J300,J300*(1-IF(I300="",Settings!$B$6,I300))))</f>
        <v/>
      </c>
      <c r="L300" s="20" t="str">
        <f aca="false">IF(OR(J300="",H300=""),"",J300-K300)</f>
        <v/>
      </c>
      <c r="M300" s="1"/>
    </row>
    <row r="301" customFormat="false" ht="15" hidden="false" customHeight="false" outlineLevel="0" collapsed="false">
      <c r="A301" s="27"/>
      <c r="B301" s="1"/>
      <c r="C301" s="24" t="str">
        <f aca="false">IF(B301="","",IFERROR(INDEX(Patients!$B$2:$B$501,MATCH(B301,Patients!$A$2:$A$501,0))&amp;"",""))</f>
        <v/>
      </c>
      <c r="D301" s="1"/>
      <c r="E301" s="1"/>
      <c r="F301" s="28"/>
      <c r="G301" s="1"/>
      <c r="H301" s="1"/>
      <c r="I301" s="29"/>
      <c r="J301" s="20" t="str">
        <f aca="false">IF(D301="","",IFERROR(INDEX(Settings!$D$36:$D$45,MATCH(D301,Settings!$A$36:$A$45,0)),0))</f>
        <v/>
      </c>
      <c r="K301" s="20" t="str">
        <f aca="false">IF(J301="","",IF(H301="",J301,J301*(1-IF(I301="",Settings!$B$6,I301))))</f>
        <v/>
      </c>
      <c r="L301" s="20" t="str">
        <f aca="false">IF(OR(J301="",H301=""),"",J301-K301)</f>
        <v/>
      </c>
      <c r="M301" s="1"/>
    </row>
    <row r="302" customFormat="false" ht="15" hidden="false" customHeight="false" outlineLevel="0" collapsed="false">
      <c r="A302" s="27"/>
      <c r="B302" s="1"/>
      <c r="C302" s="24" t="str">
        <f aca="false">IF(B302="","",IFERROR(INDEX(Patients!$B$2:$B$501,MATCH(B302,Patients!$A$2:$A$501,0))&amp;"",""))</f>
        <v/>
      </c>
      <c r="D302" s="1"/>
      <c r="E302" s="1"/>
      <c r="F302" s="28"/>
      <c r="G302" s="1"/>
      <c r="H302" s="1"/>
      <c r="I302" s="29"/>
      <c r="J302" s="20" t="str">
        <f aca="false">IF(D302="","",IFERROR(INDEX(Settings!$D$36:$D$45,MATCH(D302,Settings!$A$36:$A$45,0)),0))</f>
        <v/>
      </c>
      <c r="K302" s="20" t="str">
        <f aca="false">IF(J302="","",IF(H302="",J302,J302*(1-IF(I302="",Settings!$B$6,I302))))</f>
        <v/>
      </c>
      <c r="L302" s="20" t="str">
        <f aca="false">IF(OR(J302="",H302=""),"",J302-K302)</f>
        <v/>
      </c>
      <c r="M302" s="1"/>
    </row>
    <row r="303" customFormat="false" ht="15" hidden="false" customHeight="false" outlineLevel="0" collapsed="false">
      <c r="A303" s="27"/>
      <c r="B303" s="1"/>
      <c r="C303" s="24" t="str">
        <f aca="false">IF(B303="","",IFERROR(INDEX(Patients!$B$2:$B$501,MATCH(B303,Patients!$A$2:$A$501,0))&amp;"",""))</f>
        <v/>
      </c>
      <c r="D303" s="1"/>
      <c r="E303" s="1"/>
      <c r="F303" s="28"/>
      <c r="G303" s="1"/>
      <c r="H303" s="1"/>
      <c r="I303" s="29"/>
      <c r="J303" s="20" t="str">
        <f aca="false">IF(D303="","",IFERROR(INDEX(Settings!$D$36:$D$45,MATCH(D303,Settings!$A$36:$A$45,0)),0))</f>
        <v/>
      </c>
      <c r="K303" s="20" t="str">
        <f aca="false">IF(J303="","",IF(H303="",J303,J303*(1-IF(I303="",Settings!$B$6,I303))))</f>
        <v/>
      </c>
      <c r="L303" s="20" t="str">
        <f aca="false">IF(OR(J303="",H303=""),"",J303-K303)</f>
        <v/>
      </c>
      <c r="M303" s="1"/>
    </row>
    <row r="304" customFormat="false" ht="15" hidden="false" customHeight="false" outlineLevel="0" collapsed="false">
      <c r="A304" s="27"/>
      <c r="B304" s="1"/>
      <c r="C304" s="24" t="str">
        <f aca="false">IF(B304="","",IFERROR(INDEX(Patients!$B$2:$B$501,MATCH(B304,Patients!$A$2:$A$501,0))&amp;"",""))</f>
        <v/>
      </c>
      <c r="D304" s="1"/>
      <c r="E304" s="1"/>
      <c r="F304" s="28"/>
      <c r="G304" s="1"/>
      <c r="H304" s="1"/>
      <c r="I304" s="29"/>
      <c r="J304" s="20" t="str">
        <f aca="false">IF(D304="","",IFERROR(INDEX(Settings!$D$36:$D$45,MATCH(D304,Settings!$A$36:$A$45,0)),0))</f>
        <v/>
      </c>
      <c r="K304" s="20" t="str">
        <f aca="false">IF(J304="","",IF(H304="",J304,J304*(1-IF(I304="",Settings!$B$6,I304))))</f>
        <v/>
      </c>
      <c r="L304" s="20" t="str">
        <f aca="false">IF(OR(J304="",H304=""),"",J304-K304)</f>
        <v/>
      </c>
      <c r="M304" s="1"/>
    </row>
    <row r="305" customFormat="false" ht="15" hidden="false" customHeight="false" outlineLevel="0" collapsed="false">
      <c r="A305" s="27"/>
      <c r="B305" s="1"/>
      <c r="C305" s="24" t="str">
        <f aca="false">IF(B305="","",IFERROR(INDEX(Patients!$B$2:$B$501,MATCH(B305,Patients!$A$2:$A$501,0))&amp;"",""))</f>
        <v/>
      </c>
      <c r="D305" s="1"/>
      <c r="E305" s="1"/>
      <c r="F305" s="28"/>
      <c r="G305" s="1"/>
      <c r="H305" s="1"/>
      <c r="I305" s="29"/>
      <c r="J305" s="20" t="str">
        <f aca="false">IF(D305="","",IFERROR(INDEX(Settings!$D$36:$D$45,MATCH(D305,Settings!$A$36:$A$45,0)),0))</f>
        <v/>
      </c>
      <c r="K305" s="20" t="str">
        <f aca="false">IF(J305="","",IF(H305="",J305,J305*(1-IF(I305="",Settings!$B$6,I305))))</f>
        <v/>
      </c>
      <c r="L305" s="20" t="str">
        <f aca="false">IF(OR(J305="",H305=""),"",J305-K305)</f>
        <v/>
      </c>
      <c r="M305" s="1"/>
    </row>
    <row r="306" customFormat="false" ht="15" hidden="false" customHeight="false" outlineLevel="0" collapsed="false">
      <c r="A306" s="27"/>
      <c r="B306" s="1"/>
      <c r="C306" s="24" t="str">
        <f aca="false">IF(B306="","",IFERROR(INDEX(Patients!$B$2:$B$501,MATCH(B306,Patients!$A$2:$A$501,0))&amp;"",""))</f>
        <v/>
      </c>
      <c r="D306" s="1"/>
      <c r="E306" s="1"/>
      <c r="F306" s="28"/>
      <c r="G306" s="1"/>
      <c r="H306" s="1"/>
      <c r="I306" s="29"/>
      <c r="J306" s="20" t="str">
        <f aca="false">IF(D306="","",IFERROR(INDEX(Settings!$D$36:$D$45,MATCH(D306,Settings!$A$36:$A$45,0)),0))</f>
        <v/>
      </c>
      <c r="K306" s="20" t="str">
        <f aca="false">IF(J306="","",IF(H306="",J306,J306*(1-IF(I306="",Settings!$B$6,I306))))</f>
        <v/>
      </c>
      <c r="L306" s="20" t="str">
        <f aca="false">IF(OR(J306="",H306=""),"",J306-K306)</f>
        <v/>
      </c>
      <c r="M306" s="1"/>
    </row>
    <row r="307" customFormat="false" ht="15" hidden="false" customHeight="false" outlineLevel="0" collapsed="false">
      <c r="A307" s="27"/>
      <c r="B307" s="1"/>
      <c r="C307" s="24" t="str">
        <f aca="false">IF(B307="","",IFERROR(INDEX(Patients!$B$2:$B$501,MATCH(B307,Patients!$A$2:$A$501,0))&amp;"",""))</f>
        <v/>
      </c>
      <c r="D307" s="1"/>
      <c r="E307" s="1"/>
      <c r="F307" s="28"/>
      <c r="G307" s="1"/>
      <c r="H307" s="1"/>
      <c r="I307" s="29"/>
      <c r="J307" s="20" t="str">
        <f aca="false">IF(D307="","",IFERROR(INDEX(Settings!$D$36:$D$45,MATCH(D307,Settings!$A$36:$A$45,0)),0))</f>
        <v/>
      </c>
      <c r="K307" s="20" t="str">
        <f aca="false">IF(J307="","",IF(H307="",J307,J307*(1-IF(I307="",Settings!$B$6,I307))))</f>
        <v/>
      </c>
      <c r="L307" s="20" t="str">
        <f aca="false">IF(OR(J307="",H307=""),"",J307-K307)</f>
        <v/>
      </c>
      <c r="M307" s="1"/>
    </row>
    <row r="308" customFormat="false" ht="15" hidden="false" customHeight="false" outlineLevel="0" collapsed="false">
      <c r="A308" s="27"/>
      <c r="B308" s="1"/>
      <c r="C308" s="24" t="str">
        <f aca="false">IF(B308="","",IFERROR(INDEX(Patients!$B$2:$B$501,MATCH(B308,Patients!$A$2:$A$501,0))&amp;"",""))</f>
        <v/>
      </c>
      <c r="D308" s="1"/>
      <c r="E308" s="1"/>
      <c r="F308" s="28"/>
      <c r="G308" s="1"/>
      <c r="H308" s="1"/>
      <c r="I308" s="29"/>
      <c r="J308" s="20" t="str">
        <f aca="false">IF(D308="","",IFERROR(INDEX(Settings!$D$36:$D$45,MATCH(D308,Settings!$A$36:$A$45,0)),0))</f>
        <v/>
      </c>
      <c r="K308" s="20" t="str">
        <f aca="false">IF(J308="","",IF(H308="",J308,J308*(1-IF(I308="",Settings!$B$6,I308))))</f>
        <v/>
      </c>
      <c r="L308" s="20" t="str">
        <f aca="false">IF(OR(J308="",H308=""),"",J308-K308)</f>
        <v/>
      </c>
      <c r="M308" s="1"/>
    </row>
    <row r="309" customFormat="false" ht="15" hidden="false" customHeight="false" outlineLevel="0" collapsed="false">
      <c r="A309" s="27"/>
      <c r="B309" s="1"/>
      <c r="C309" s="24" t="str">
        <f aca="false">IF(B309="","",IFERROR(INDEX(Patients!$B$2:$B$501,MATCH(B309,Patients!$A$2:$A$501,0))&amp;"",""))</f>
        <v/>
      </c>
      <c r="D309" s="1"/>
      <c r="E309" s="1"/>
      <c r="F309" s="28"/>
      <c r="G309" s="1"/>
      <c r="H309" s="1"/>
      <c r="I309" s="29"/>
      <c r="J309" s="20" t="str">
        <f aca="false">IF(D309="","",IFERROR(INDEX(Settings!$D$36:$D$45,MATCH(D309,Settings!$A$36:$A$45,0)),0))</f>
        <v/>
      </c>
      <c r="K309" s="20" t="str">
        <f aca="false">IF(J309="","",IF(H309="",J309,J309*(1-IF(I309="",Settings!$B$6,I309))))</f>
        <v/>
      </c>
      <c r="L309" s="20" t="str">
        <f aca="false">IF(OR(J309="",H309=""),"",J309-K309)</f>
        <v/>
      </c>
      <c r="M309" s="1"/>
    </row>
    <row r="310" customFormat="false" ht="15" hidden="false" customHeight="false" outlineLevel="0" collapsed="false">
      <c r="A310" s="27"/>
      <c r="B310" s="1"/>
      <c r="C310" s="24" t="str">
        <f aca="false">IF(B310="","",IFERROR(INDEX(Patients!$B$2:$B$501,MATCH(B310,Patients!$A$2:$A$501,0))&amp;"",""))</f>
        <v/>
      </c>
      <c r="D310" s="1"/>
      <c r="E310" s="1"/>
      <c r="F310" s="28"/>
      <c r="G310" s="1"/>
      <c r="H310" s="1"/>
      <c r="I310" s="29"/>
      <c r="J310" s="20" t="str">
        <f aca="false">IF(D310="","",IFERROR(INDEX(Settings!$D$36:$D$45,MATCH(D310,Settings!$A$36:$A$45,0)),0))</f>
        <v/>
      </c>
      <c r="K310" s="20" t="str">
        <f aca="false">IF(J310="","",IF(H310="",J310,J310*(1-IF(I310="",Settings!$B$6,I310))))</f>
        <v/>
      </c>
      <c r="L310" s="20" t="str">
        <f aca="false">IF(OR(J310="",H310=""),"",J310-K310)</f>
        <v/>
      </c>
      <c r="M310" s="1"/>
    </row>
    <row r="311" customFormat="false" ht="15" hidden="false" customHeight="false" outlineLevel="0" collapsed="false">
      <c r="A311" s="27"/>
      <c r="B311" s="1"/>
      <c r="C311" s="24" t="str">
        <f aca="false">IF(B311="","",IFERROR(INDEX(Patients!$B$2:$B$501,MATCH(B311,Patients!$A$2:$A$501,0))&amp;"",""))</f>
        <v/>
      </c>
      <c r="D311" s="1"/>
      <c r="E311" s="1"/>
      <c r="F311" s="28"/>
      <c r="G311" s="1"/>
      <c r="H311" s="1"/>
      <c r="I311" s="29"/>
      <c r="J311" s="20" t="str">
        <f aca="false">IF(D311="","",IFERROR(INDEX(Settings!$D$36:$D$45,MATCH(D311,Settings!$A$36:$A$45,0)),0))</f>
        <v/>
      </c>
      <c r="K311" s="20" t="str">
        <f aca="false">IF(J311="","",IF(H311="",J311,J311*(1-IF(I311="",Settings!$B$6,I311))))</f>
        <v/>
      </c>
      <c r="L311" s="20" t="str">
        <f aca="false">IF(OR(J311="",H311=""),"",J311-K311)</f>
        <v/>
      </c>
      <c r="M311" s="1"/>
    </row>
    <row r="312" customFormat="false" ht="15" hidden="false" customHeight="false" outlineLevel="0" collapsed="false">
      <c r="A312" s="27"/>
      <c r="B312" s="1"/>
      <c r="C312" s="24" t="str">
        <f aca="false">IF(B312="","",IFERROR(INDEX(Patients!$B$2:$B$501,MATCH(B312,Patients!$A$2:$A$501,0))&amp;"",""))</f>
        <v/>
      </c>
      <c r="D312" s="1"/>
      <c r="E312" s="1"/>
      <c r="F312" s="28"/>
      <c r="G312" s="1"/>
      <c r="H312" s="1"/>
      <c r="I312" s="29"/>
      <c r="J312" s="20" t="str">
        <f aca="false">IF(D312="","",IFERROR(INDEX(Settings!$D$36:$D$45,MATCH(D312,Settings!$A$36:$A$45,0)),0))</f>
        <v/>
      </c>
      <c r="K312" s="20" t="str">
        <f aca="false">IF(J312="","",IF(H312="",J312,J312*(1-IF(I312="",Settings!$B$6,I312))))</f>
        <v/>
      </c>
      <c r="L312" s="20" t="str">
        <f aca="false">IF(OR(J312="",H312=""),"",J312-K312)</f>
        <v/>
      </c>
      <c r="M312" s="1"/>
    </row>
    <row r="313" customFormat="false" ht="15" hidden="false" customHeight="false" outlineLevel="0" collapsed="false">
      <c r="A313" s="27"/>
      <c r="B313" s="1"/>
      <c r="C313" s="24" t="str">
        <f aca="false">IF(B313="","",IFERROR(INDEX(Patients!$B$2:$B$501,MATCH(B313,Patients!$A$2:$A$501,0))&amp;"",""))</f>
        <v/>
      </c>
      <c r="D313" s="1"/>
      <c r="E313" s="1"/>
      <c r="F313" s="28"/>
      <c r="G313" s="1"/>
      <c r="H313" s="1"/>
      <c r="I313" s="29"/>
      <c r="J313" s="20" t="str">
        <f aca="false">IF(D313="","",IFERROR(INDEX(Settings!$D$36:$D$45,MATCH(D313,Settings!$A$36:$A$45,0)),0))</f>
        <v/>
      </c>
      <c r="K313" s="20" t="str">
        <f aca="false">IF(J313="","",IF(H313="",J313,J313*(1-IF(I313="",Settings!$B$6,I313))))</f>
        <v/>
      </c>
      <c r="L313" s="20" t="str">
        <f aca="false">IF(OR(J313="",H313=""),"",J313-K313)</f>
        <v/>
      </c>
      <c r="M313" s="1"/>
    </row>
    <row r="314" customFormat="false" ht="15" hidden="false" customHeight="false" outlineLevel="0" collapsed="false">
      <c r="A314" s="27"/>
      <c r="B314" s="1"/>
      <c r="C314" s="24" t="str">
        <f aca="false">IF(B314="","",IFERROR(INDEX(Patients!$B$2:$B$501,MATCH(B314,Patients!$A$2:$A$501,0))&amp;"",""))</f>
        <v/>
      </c>
      <c r="D314" s="1"/>
      <c r="E314" s="1"/>
      <c r="F314" s="28"/>
      <c r="G314" s="1"/>
      <c r="H314" s="1"/>
      <c r="I314" s="29"/>
      <c r="J314" s="20" t="str">
        <f aca="false">IF(D314="","",IFERROR(INDEX(Settings!$D$36:$D$45,MATCH(D314,Settings!$A$36:$A$45,0)),0))</f>
        <v/>
      </c>
      <c r="K314" s="20" t="str">
        <f aca="false">IF(J314="","",IF(H314="",J314,J314*(1-IF(I314="",Settings!$B$6,I314))))</f>
        <v/>
      </c>
      <c r="L314" s="20" t="str">
        <f aca="false">IF(OR(J314="",H314=""),"",J314-K314)</f>
        <v/>
      </c>
      <c r="M314" s="1"/>
    </row>
    <row r="315" customFormat="false" ht="15" hidden="false" customHeight="false" outlineLevel="0" collapsed="false">
      <c r="A315" s="27"/>
      <c r="B315" s="1"/>
      <c r="C315" s="24" t="str">
        <f aca="false">IF(B315="","",IFERROR(INDEX(Patients!$B$2:$B$501,MATCH(B315,Patients!$A$2:$A$501,0))&amp;"",""))</f>
        <v/>
      </c>
      <c r="D315" s="1"/>
      <c r="E315" s="1"/>
      <c r="F315" s="28"/>
      <c r="G315" s="1"/>
      <c r="H315" s="1"/>
      <c r="I315" s="29"/>
      <c r="J315" s="20" t="str">
        <f aca="false">IF(D315="","",IFERROR(INDEX(Settings!$D$36:$D$45,MATCH(D315,Settings!$A$36:$A$45,0)),0))</f>
        <v/>
      </c>
      <c r="K315" s="20" t="str">
        <f aca="false">IF(J315="","",IF(H315="",J315,J315*(1-IF(I315="",Settings!$B$6,I315))))</f>
        <v/>
      </c>
      <c r="L315" s="20" t="str">
        <f aca="false">IF(OR(J315="",H315=""),"",J315-K315)</f>
        <v/>
      </c>
      <c r="M315" s="1"/>
    </row>
    <row r="316" customFormat="false" ht="15" hidden="false" customHeight="false" outlineLevel="0" collapsed="false">
      <c r="A316" s="27"/>
      <c r="B316" s="1"/>
      <c r="C316" s="24" t="str">
        <f aca="false">IF(B316="","",IFERROR(INDEX(Patients!$B$2:$B$501,MATCH(B316,Patients!$A$2:$A$501,0))&amp;"",""))</f>
        <v/>
      </c>
      <c r="D316" s="1"/>
      <c r="E316" s="1"/>
      <c r="F316" s="28"/>
      <c r="G316" s="1"/>
      <c r="H316" s="1"/>
      <c r="I316" s="29"/>
      <c r="J316" s="20" t="str">
        <f aca="false">IF(D316="","",IFERROR(INDEX(Settings!$D$36:$D$45,MATCH(D316,Settings!$A$36:$A$45,0)),0))</f>
        <v/>
      </c>
      <c r="K316" s="20" t="str">
        <f aca="false">IF(J316="","",IF(H316="",J316,J316*(1-IF(I316="",Settings!$B$6,I316))))</f>
        <v/>
      </c>
      <c r="L316" s="20" t="str">
        <f aca="false">IF(OR(J316="",H316=""),"",J316-K316)</f>
        <v/>
      </c>
      <c r="M316" s="1"/>
    </row>
    <row r="317" customFormat="false" ht="15" hidden="false" customHeight="false" outlineLevel="0" collapsed="false">
      <c r="A317" s="27"/>
      <c r="B317" s="1"/>
      <c r="C317" s="24" t="str">
        <f aca="false">IF(B317="","",IFERROR(INDEX(Patients!$B$2:$B$501,MATCH(B317,Patients!$A$2:$A$501,0))&amp;"",""))</f>
        <v/>
      </c>
      <c r="D317" s="1"/>
      <c r="E317" s="1"/>
      <c r="F317" s="28"/>
      <c r="G317" s="1"/>
      <c r="H317" s="1"/>
      <c r="I317" s="29"/>
      <c r="J317" s="20" t="str">
        <f aca="false">IF(D317="","",IFERROR(INDEX(Settings!$D$36:$D$45,MATCH(D317,Settings!$A$36:$A$45,0)),0))</f>
        <v/>
      </c>
      <c r="K317" s="20" t="str">
        <f aca="false">IF(J317="","",IF(H317="",J317,J317*(1-IF(I317="",Settings!$B$6,I317))))</f>
        <v/>
      </c>
      <c r="L317" s="20" t="str">
        <f aca="false">IF(OR(J317="",H317=""),"",J317-K317)</f>
        <v/>
      </c>
      <c r="M317" s="1"/>
    </row>
    <row r="318" customFormat="false" ht="15" hidden="false" customHeight="false" outlineLevel="0" collapsed="false">
      <c r="A318" s="27"/>
      <c r="B318" s="1"/>
      <c r="C318" s="24" t="str">
        <f aca="false">IF(B318="","",IFERROR(INDEX(Patients!$B$2:$B$501,MATCH(B318,Patients!$A$2:$A$501,0))&amp;"",""))</f>
        <v/>
      </c>
      <c r="D318" s="1"/>
      <c r="E318" s="1"/>
      <c r="F318" s="28"/>
      <c r="G318" s="1"/>
      <c r="H318" s="1"/>
      <c r="I318" s="29"/>
      <c r="J318" s="20" t="str">
        <f aca="false">IF(D318="","",IFERROR(INDEX(Settings!$D$36:$D$45,MATCH(D318,Settings!$A$36:$A$45,0)),0))</f>
        <v/>
      </c>
      <c r="K318" s="20" t="str">
        <f aca="false">IF(J318="","",IF(H318="",J318,J318*(1-IF(I318="",Settings!$B$6,I318))))</f>
        <v/>
      </c>
      <c r="L318" s="20" t="str">
        <f aca="false">IF(OR(J318="",H318=""),"",J318-K318)</f>
        <v/>
      </c>
      <c r="M318" s="1"/>
    </row>
    <row r="319" customFormat="false" ht="15" hidden="false" customHeight="false" outlineLevel="0" collapsed="false">
      <c r="A319" s="27"/>
      <c r="B319" s="1"/>
      <c r="C319" s="24" t="str">
        <f aca="false">IF(B319="","",IFERROR(INDEX(Patients!$B$2:$B$501,MATCH(B319,Patients!$A$2:$A$501,0))&amp;"",""))</f>
        <v/>
      </c>
      <c r="D319" s="1"/>
      <c r="E319" s="1"/>
      <c r="F319" s="28"/>
      <c r="G319" s="1"/>
      <c r="H319" s="1"/>
      <c r="I319" s="29"/>
      <c r="J319" s="20" t="str">
        <f aca="false">IF(D319="","",IFERROR(INDEX(Settings!$D$36:$D$45,MATCH(D319,Settings!$A$36:$A$45,0)),0))</f>
        <v/>
      </c>
      <c r="K319" s="20" t="str">
        <f aca="false">IF(J319="","",IF(H319="",J319,J319*(1-IF(I319="",Settings!$B$6,I319))))</f>
        <v/>
      </c>
      <c r="L319" s="20" t="str">
        <f aca="false">IF(OR(J319="",H319=""),"",J319-K319)</f>
        <v/>
      </c>
      <c r="M319" s="1"/>
    </row>
    <row r="320" customFormat="false" ht="15" hidden="false" customHeight="false" outlineLevel="0" collapsed="false">
      <c r="A320" s="27"/>
      <c r="B320" s="1"/>
      <c r="C320" s="24" t="str">
        <f aca="false">IF(B320="","",IFERROR(INDEX(Patients!$B$2:$B$501,MATCH(B320,Patients!$A$2:$A$501,0))&amp;"",""))</f>
        <v/>
      </c>
      <c r="D320" s="1"/>
      <c r="E320" s="1"/>
      <c r="F320" s="28"/>
      <c r="G320" s="1"/>
      <c r="H320" s="1"/>
      <c r="I320" s="29"/>
      <c r="J320" s="20" t="str">
        <f aca="false">IF(D320="","",IFERROR(INDEX(Settings!$D$36:$D$45,MATCH(D320,Settings!$A$36:$A$45,0)),0))</f>
        <v/>
      </c>
      <c r="K320" s="20" t="str">
        <f aca="false">IF(J320="","",IF(H320="",J320,J320*(1-IF(I320="",Settings!$B$6,I320))))</f>
        <v/>
      </c>
      <c r="L320" s="20" t="str">
        <f aca="false">IF(OR(J320="",H320=""),"",J320-K320)</f>
        <v/>
      </c>
      <c r="M320" s="1"/>
    </row>
    <row r="321" customFormat="false" ht="15" hidden="false" customHeight="false" outlineLevel="0" collapsed="false">
      <c r="A321" s="27"/>
      <c r="B321" s="1"/>
      <c r="C321" s="24" t="str">
        <f aca="false">IF(B321="","",IFERROR(INDEX(Patients!$B$2:$B$501,MATCH(B321,Patients!$A$2:$A$501,0))&amp;"",""))</f>
        <v/>
      </c>
      <c r="D321" s="1"/>
      <c r="E321" s="1"/>
      <c r="F321" s="28"/>
      <c r="G321" s="1"/>
      <c r="H321" s="1"/>
      <c r="I321" s="29"/>
      <c r="J321" s="20" t="str">
        <f aca="false">IF(D321="","",IFERROR(INDEX(Settings!$D$36:$D$45,MATCH(D321,Settings!$A$36:$A$45,0)),0))</f>
        <v/>
      </c>
      <c r="K321" s="20" t="str">
        <f aca="false">IF(J321="","",IF(H321="",J321,J321*(1-IF(I321="",Settings!$B$6,I321))))</f>
        <v/>
      </c>
      <c r="L321" s="20" t="str">
        <f aca="false">IF(OR(J321="",H321=""),"",J321-K321)</f>
        <v/>
      </c>
      <c r="M321" s="1"/>
    </row>
    <row r="322" customFormat="false" ht="15" hidden="false" customHeight="false" outlineLevel="0" collapsed="false">
      <c r="A322" s="27"/>
      <c r="B322" s="1"/>
      <c r="C322" s="24" t="str">
        <f aca="false">IF(B322="","",IFERROR(INDEX(Patients!$B$2:$B$501,MATCH(B322,Patients!$A$2:$A$501,0))&amp;"",""))</f>
        <v/>
      </c>
      <c r="D322" s="1"/>
      <c r="E322" s="1"/>
      <c r="F322" s="28"/>
      <c r="G322" s="1"/>
      <c r="H322" s="1"/>
      <c r="I322" s="29"/>
      <c r="J322" s="20" t="str">
        <f aca="false">IF(D322="","",IFERROR(INDEX(Settings!$D$36:$D$45,MATCH(D322,Settings!$A$36:$A$45,0)),0))</f>
        <v/>
      </c>
      <c r="K322" s="20" t="str">
        <f aca="false">IF(J322="","",IF(H322="",J322,J322*(1-IF(I322="",Settings!$B$6,I322))))</f>
        <v/>
      </c>
      <c r="L322" s="20" t="str">
        <f aca="false">IF(OR(J322="",H322=""),"",J322-K322)</f>
        <v/>
      </c>
      <c r="M322" s="1"/>
    </row>
    <row r="323" customFormat="false" ht="15" hidden="false" customHeight="false" outlineLevel="0" collapsed="false">
      <c r="A323" s="27"/>
      <c r="B323" s="1"/>
      <c r="C323" s="24" t="str">
        <f aca="false">IF(B323="","",IFERROR(INDEX(Patients!$B$2:$B$501,MATCH(B323,Patients!$A$2:$A$501,0))&amp;"",""))</f>
        <v/>
      </c>
      <c r="D323" s="1"/>
      <c r="E323" s="1"/>
      <c r="F323" s="28"/>
      <c r="G323" s="1"/>
      <c r="H323" s="1"/>
      <c r="I323" s="29"/>
      <c r="J323" s="20" t="str">
        <f aca="false">IF(D323="","",IFERROR(INDEX(Settings!$D$36:$D$45,MATCH(D323,Settings!$A$36:$A$45,0)),0))</f>
        <v/>
      </c>
      <c r="K323" s="20" t="str">
        <f aca="false">IF(J323="","",IF(H323="",J323,J323*(1-IF(I323="",Settings!$B$6,I323))))</f>
        <v/>
      </c>
      <c r="L323" s="20" t="str">
        <f aca="false">IF(OR(J323="",H323=""),"",J323-K323)</f>
        <v/>
      </c>
      <c r="M323" s="1"/>
    </row>
    <row r="324" customFormat="false" ht="15" hidden="false" customHeight="false" outlineLevel="0" collapsed="false">
      <c r="A324" s="27"/>
      <c r="B324" s="1"/>
      <c r="C324" s="24" t="str">
        <f aca="false">IF(B324="","",IFERROR(INDEX(Patients!$B$2:$B$501,MATCH(B324,Patients!$A$2:$A$501,0))&amp;"",""))</f>
        <v/>
      </c>
      <c r="D324" s="1"/>
      <c r="E324" s="1"/>
      <c r="F324" s="28"/>
      <c r="G324" s="1"/>
      <c r="H324" s="1"/>
      <c r="I324" s="29"/>
      <c r="J324" s="20" t="str">
        <f aca="false">IF(D324="","",IFERROR(INDEX(Settings!$D$36:$D$45,MATCH(D324,Settings!$A$36:$A$45,0)),0))</f>
        <v/>
      </c>
      <c r="K324" s="20" t="str">
        <f aca="false">IF(J324="","",IF(H324="",J324,J324*(1-IF(I324="",Settings!$B$6,I324))))</f>
        <v/>
      </c>
      <c r="L324" s="20" t="str">
        <f aca="false">IF(OR(J324="",H324=""),"",J324-K324)</f>
        <v/>
      </c>
      <c r="M324" s="1"/>
    </row>
    <row r="325" customFormat="false" ht="15" hidden="false" customHeight="false" outlineLevel="0" collapsed="false">
      <c r="A325" s="27"/>
      <c r="B325" s="1"/>
      <c r="C325" s="24" t="str">
        <f aca="false">IF(B325="","",IFERROR(INDEX(Patients!$B$2:$B$501,MATCH(B325,Patients!$A$2:$A$501,0))&amp;"",""))</f>
        <v/>
      </c>
      <c r="D325" s="1"/>
      <c r="E325" s="1"/>
      <c r="F325" s="28"/>
      <c r="G325" s="1"/>
      <c r="H325" s="1"/>
      <c r="I325" s="29"/>
      <c r="J325" s="20" t="str">
        <f aca="false">IF(D325="","",IFERROR(INDEX(Settings!$D$36:$D$45,MATCH(D325,Settings!$A$36:$A$45,0)),0))</f>
        <v/>
      </c>
      <c r="K325" s="20" t="str">
        <f aca="false">IF(J325="","",IF(H325="",J325,J325*(1-IF(I325="",Settings!$B$6,I325))))</f>
        <v/>
      </c>
      <c r="L325" s="20" t="str">
        <f aca="false">IF(OR(J325="",H325=""),"",J325-K325)</f>
        <v/>
      </c>
      <c r="M325" s="1"/>
    </row>
    <row r="326" customFormat="false" ht="15" hidden="false" customHeight="false" outlineLevel="0" collapsed="false">
      <c r="A326" s="27"/>
      <c r="B326" s="1"/>
      <c r="C326" s="24" t="str">
        <f aca="false">IF(B326="","",IFERROR(INDEX(Patients!$B$2:$B$501,MATCH(B326,Patients!$A$2:$A$501,0))&amp;"",""))</f>
        <v/>
      </c>
      <c r="D326" s="1"/>
      <c r="E326" s="1"/>
      <c r="F326" s="28"/>
      <c r="G326" s="1"/>
      <c r="H326" s="1"/>
      <c r="I326" s="29"/>
      <c r="J326" s="20" t="str">
        <f aca="false">IF(D326="","",IFERROR(INDEX(Settings!$D$36:$D$45,MATCH(D326,Settings!$A$36:$A$45,0)),0))</f>
        <v/>
      </c>
      <c r="K326" s="20" t="str">
        <f aca="false">IF(J326="","",IF(H326="",J326,J326*(1-IF(I326="",Settings!$B$6,I326))))</f>
        <v/>
      </c>
      <c r="L326" s="20" t="str">
        <f aca="false">IF(OR(J326="",H326=""),"",J326-K326)</f>
        <v/>
      </c>
      <c r="M326" s="1"/>
    </row>
    <row r="327" customFormat="false" ht="15" hidden="false" customHeight="false" outlineLevel="0" collapsed="false">
      <c r="A327" s="27"/>
      <c r="B327" s="1"/>
      <c r="C327" s="24" t="str">
        <f aca="false">IF(B327="","",IFERROR(INDEX(Patients!$B$2:$B$501,MATCH(B327,Patients!$A$2:$A$501,0))&amp;"",""))</f>
        <v/>
      </c>
      <c r="D327" s="1"/>
      <c r="E327" s="1"/>
      <c r="F327" s="28"/>
      <c r="G327" s="1"/>
      <c r="H327" s="1"/>
      <c r="I327" s="29"/>
      <c r="J327" s="20" t="str">
        <f aca="false">IF(D327="","",IFERROR(INDEX(Settings!$D$36:$D$45,MATCH(D327,Settings!$A$36:$A$45,0)),0))</f>
        <v/>
      </c>
      <c r="K327" s="20" t="str">
        <f aca="false">IF(J327="","",IF(H327="",J327,J327*(1-IF(I327="",Settings!$B$6,I327))))</f>
        <v/>
      </c>
      <c r="L327" s="20" t="str">
        <f aca="false">IF(OR(J327="",H327=""),"",J327-K327)</f>
        <v/>
      </c>
      <c r="M327" s="1"/>
    </row>
    <row r="328" customFormat="false" ht="15" hidden="false" customHeight="false" outlineLevel="0" collapsed="false">
      <c r="A328" s="27"/>
      <c r="B328" s="1"/>
      <c r="C328" s="24" t="str">
        <f aca="false">IF(B328="","",IFERROR(INDEX(Patients!$B$2:$B$501,MATCH(B328,Patients!$A$2:$A$501,0))&amp;"",""))</f>
        <v/>
      </c>
      <c r="D328" s="1"/>
      <c r="E328" s="1"/>
      <c r="F328" s="28"/>
      <c r="G328" s="1"/>
      <c r="H328" s="1"/>
      <c r="I328" s="29"/>
      <c r="J328" s="20" t="str">
        <f aca="false">IF(D328="","",IFERROR(INDEX(Settings!$D$36:$D$45,MATCH(D328,Settings!$A$36:$A$45,0)),0))</f>
        <v/>
      </c>
      <c r="K328" s="20" t="str">
        <f aca="false">IF(J328="","",IF(H328="",J328,J328*(1-IF(I328="",Settings!$B$6,I328))))</f>
        <v/>
      </c>
      <c r="L328" s="20" t="str">
        <f aca="false">IF(OR(J328="",H328=""),"",J328-K328)</f>
        <v/>
      </c>
      <c r="M328" s="1"/>
    </row>
    <row r="329" customFormat="false" ht="15" hidden="false" customHeight="false" outlineLevel="0" collapsed="false">
      <c r="A329" s="27"/>
      <c r="B329" s="1"/>
      <c r="C329" s="24" t="str">
        <f aca="false">IF(B329="","",IFERROR(INDEX(Patients!$B$2:$B$501,MATCH(B329,Patients!$A$2:$A$501,0))&amp;"",""))</f>
        <v/>
      </c>
      <c r="D329" s="1"/>
      <c r="E329" s="1"/>
      <c r="F329" s="28"/>
      <c r="G329" s="1"/>
      <c r="H329" s="1"/>
      <c r="I329" s="29"/>
      <c r="J329" s="20" t="str">
        <f aca="false">IF(D329="","",IFERROR(INDEX(Settings!$D$36:$D$45,MATCH(D329,Settings!$A$36:$A$45,0)),0))</f>
        <v/>
      </c>
      <c r="K329" s="20" t="str">
        <f aca="false">IF(J329="","",IF(H329="",J329,J329*(1-IF(I329="",Settings!$B$6,I329))))</f>
        <v/>
      </c>
      <c r="L329" s="20" t="str">
        <f aca="false">IF(OR(J329="",H329=""),"",J329-K329)</f>
        <v/>
      </c>
      <c r="M329" s="1"/>
    </row>
    <row r="330" customFormat="false" ht="15" hidden="false" customHeight="false" outlineLevel="0" collapsed="false">
      <c r="A330" s="27"/>
      <c r="B330" s="1"/>
      <c r="C330" s="24" t="str">
        <f aca="false">IF(B330="","",IFERROR(INDEX(Patients!$B$2:$B$501,MATCH(B330,Patients!$A$2:$A$501,0))&amp;"",""))</f>
        <v/>
      </c>
      <c r="D330" s="1"/>
      <c r="E330" s="1"/>
      <c r="F330" s="28"/>
      <c r="G330" s="1"/>
      <c r="H330" s="1"/>
      <c r="I330" s="29"/>
      <c r="J330" s="20" t="str">
        <f aca="false">IF(D330="","",IFERROR(INDEX(Settings!$D$36:$D$45,MATCH(D330,Settings!$A$36:$A$45,0)),0))</f>
        <v/>
      </c>
      <c r="K330" s="20" t="str">
        <f aca="false">IF(J330="","",IF(H330="",J330,J330*(1-IF(I330="",Settings!$B$6,I330))))</f>
        <v/>
      </c>
      <c r="L330" s="20" t="str">
        <f aca="false">IF(OR(J330="",H330=""),"",J330-K330)</f>
        <v/>
      </c>
      <c r="M330" s="1"/>
    </row>
    <row r="331" customFormat="false" ht="15" hidden="false" customHeight="false" outlineLevel="0" collapsed="false">
      <c r="A331" s="27"/>
      <c r="B331" s="1"/>
      <c r="C331" s="24" t="str">
        <f aca="false">IF(B331="","",IFERROR(INDEX(Patients!$B$2:$B$501,MATCH(B331,Patients!$A$2:$A$501,0))&amp;"",""))</f>
        <v/>
      </c>
      <c r="D331" s="1"/>
      <c r="E331" s="1"/>
      <c r="F331" s="28"/>
      <c r="G331" s="1"/>
      <c r="H331" s="1"/>
      <c r="I331" s="29"/>
      <c r="J331" s="20" t="str">
        <f aca="false">IF(D331="","",IFERROR(INDEX(Settings!$D$36:$D$45,MATCH(D331,Settings!$A$36:$A$45,0)),0))</f>
        <v/>
      </c>
      <c r="K331" s="20" t="str">
        <f aca="false">IF(J331="","",IF(H331="",J331,J331*(1-IF(I331="",Settings!$B$6,I331))))</f>
        <v/>
      </c>
      <c r="L331" s="20" t="str">
        <f aca="false">IF(OR(J331="",H331=""),"",J331-K331)</f>
        <v/>
      </c>
      <c r="M331" s="1"/>
    </row>
    <row r="332" customFormat="false" ht="15" hidden="false" customHeight="false" outlineLevel="0" collapsed="false">
      <c r="A332" s="27"/>
      <c r="B332" s="1"/>
      <c r="C332" s="24" t="str">
        <f aca="false">IF(B332="","",IFERROR(INDEX(Patients!$B$2:$B$501,MATCH(B332,Patients!$A$2:$A$501,0))&amp;"",""))</f>
        <v/>
      </c>
      <c r="D332" s="1"/>
      <c r="E332" s="1"/>
      <c r="F332" s="28"/>
      <c r="G332" s="1"/>
      <c r="H332" s="1"/>
      <c r="I332" s="29"/>
      <c r="J332" s="20" t="str">
        <f aca="false">IF(D332="","",IFERROR(INDEX(Settings!$D$36:$D$45,MATCH(D332,Settings!$A$36:$A$45,0)),0))</f>
        <v/>
      </c>
      <c r="K332" s="20" t="str">
        <f aca="false">IF(J332="","",IF(H332="",J332,J332*(1-IF(I332="",Settings!$B$6,I332))))</f>
        <v/>
      </c>
      <c r="L332" s="20" t="str">
        <f aca="false">IF(OR(J332="",H332=""),"",J332-K332)</f>
        <v/>
      </c>
      <c r="M332" s="1"/>
    </row>
    <row r="333" customFormat="false" ht="15" hidden="false" customHeight="false" outlineLevel="0" collapsed="false">
      <c r="A333" s="27"/>
      <c r="B333" s="1"/>
      <c r="C333" s="24" t="str">
        <f aca="false">IF(B333="","",IFERROR(INDEX(Patients!$B$2:$B$501,MATCH(B333,Patients!$A$2:$A$501,0))&amp;"",""))</f>
        <v/>
      </c>
      <c r="D333" s="1"/>
      <c r="E333" s="1"/>
      <c r="F333" s="28"/>
      <c r="G333" s="1"/>
      <c r="H333" s="1"/>
      <c r="I333" s="29"/>
      <c r="J333" s="20" t="str">
        <f aca="false">IF(D333="","",IFERROR(INDEX(Settings!$D$36:$D$45,MATCH(D333,Settings!$A$36:$A$45,0)),0))</f>
        <v/>
      </c>
      <c r="K333" s="20" t="str">
        <f aca="false">IF(J333="","",IF(H333="",J333,J333*(1-IF(I333="",Settings!$B$6,I333))))</f>
        <v/>
      </c>
      <c r="L333" s="20" t="str">
        <f aca="false">IF(OR(J333="",H333=""),"",J333-K333)</f>
        <v/>
      </c>
      <c r="M333" s="1"/>
    </row>
    <row r="334" customFormat="false" ht="15" hidden="false" customHeight="false" outlineLevel="0" collapsed="false">
      <c r="A334" s="27"/>
      <c r="B334" s="1"/>
      <c r="C334" s="24" t="str">
        <f aca="false">IF(B334="","",IFERROR(INDEX(Patients!$B$2:$B$501,MATCH(B334,Patients!$A$2:$A$501,0))&amp;"",""))</f>
        <v/>
      </c>
      <c r="D334" s="1"/>
      <c r="E334" s="1"/>
      <c r="F334" s="28"/>
      <c r="G334" s="1"/>
      <c r="H334" s="1"/>
      <c r="I334" s="29"/>
      <c r="J334" s="20" t="str">
        <f aca="false">IF(D334="","",IFERROR(INDEX(Settings!$D$36:$D$45,MATCH(D334,Settings!$A$36:$A$45,0)),0))</f>
        <v/>
      </c>
      <c r="K334" s="20" t="str">
        <f aca="false">IF(J334="","",IF(H334="",J334,J334*(1-IF(I334="",Settings!$B$6,I334))))</f>
        <v/>
      </c>
      <c r="L334" s="20" t="str">
        <f aca="false">IF(OR(J334="",H334=""),"",J334-K334)</f>
        <v/>
      </c>
      <c r="M334" s="1"/>
    </row>
    <row r="335" customFormat="false" ht="15" hidden="false" customHeight="false" outlineLevel="0" collapsed="false">
      <c r="A335" s="27"/>
      <c r="B335" s="1"/>
      <c r="C335" s="24" t="str">
        <f aca="false">IF(B335="","",IFERROR(INDEX(Patients!$B$2:$B$501,MATCH(B335,Patients!$A$2:$A$501,0))&amp;"",""))</f>
        <v/>
      </c>
      <c r="D335" s="1"/>
      <c r="E335" s="1"/>
      <c r="F335" s="28"/>
      <c r="G335" s="1"/>
      <c r="H335" s="1"/>
      <c r="I335" s="29"/>
      <c r="J335" s="20" t="str">
        <f aca="false">IF(D335="","",IFERROR(INDEX(Settings!$D$36:$D$45,MATCH(D335,Settings!$A$36:$A$45,0)),0))</f>
        <v/>
      </c>
      <c r="K335" s="20" t="str">
        <f aca="false">IF(J335="","",IF(H335="",J335,J335*(1-IF(I335="",Settings!$B$6,I335))))</f>
        <v/>
      </c>
      <c r="L335" s="20" t="str">
        <f aca="false">IF(OR(J335="",H335=""),"",J335-K335)</f>
        <v/>
      </c>
      <c r="M335" s="1"/>
    </row>
    <row r="336" customFormat="false" ht="15" hidden="false" customHeight="false" outlineLevel="0" collapsed="false">
      <c r="A336" s="27"/>
      <c r="B336" s="1"/>
      <c r="C336" s="24" t="str">
        <f aca="false">IF(B336="","",IFERROR(INDEX(Patients!$B$2:$B$501,MATCH(B336,Patients!$A$2:$A$501,0))&amp;"",""))</f>
        <v/>
      </c>
      <c r="D336" s="1"/>
      <c r="E336" s="1"/>
      <c r="F336" s="28"/>
      <c r="G336" s="1"/>
      <c r="H336" s="1"/>
      <c r="I336" s="29"/>
      <c r="J336" s="20" t="str">
        <f aca="false">IF(D336="","",IFERROR(INDEX(Settings!$D$36:$D$45,MATCH(D336,Settings!$A$36:$A$45,0)),0))</f>
        <v/>
      </c>
      <c r="K336" s="20" t="str">
        <f aca="false">IF(J336="","",IF(H336="",J336,J336*(1-IF(I336="",Settings!$B$6,I336))))</f>
        <v/>
      </c>
      <c r="L336" s="20" t="str">
        <f aca="false">IF(OR(J336="",H336=""),"",J336-K336)</f>
        <v/>
      </c>
      <c r="M336" s="1"/>
    </row>
    <row r="337" customFormat="false" ht="15" hidden="false" customHeight="false" outlineLevel="0" collapsed="false">
      <c r="A337" s="27"/>
      <c r="B337" s="1"/>
      <c r="C337" s="24" t="str">
        <f aca="false">IF(B337="","",IFERROR(INDEX(Patients!$B$2:$B$501,MATCH(B337,Patients!$A$2:$A$501,0))&amp;"",""))</f>
        <v/>
      </c>
      <c r="D337" s="1"/>
      <c r="E337" s="1"/>
      <c r="F337" s="28"/>
      <c r="G337" s="1"/>
      <c r="H337" s="1"/>
      <c r="I337" s="29"/>
      <c r="J337" s="20" t="str">
        <f aca="false">IF(D337="","",IFERROR(INDEX(Settings!$D$36:$D$45,MATCH(D337,Settings!$A$36:$A$45,0)),0))</f>
        <v/>
      </c>
      <c r="K337" s="20" t="str">
        <f aca="false">IF(J337="","",IF(H337="",J337,J337*(1-IF(I337="",Settings!$B$6,I337))))</f>
        <v/>
      </c>
      <c r="L337" s="20" t="str">
        <f aca="false">IF(OR(J337="",H337=""),"",J337-K337)</f>
        <v/>
      </c>
      <c r="M337" s="1"/>
    </row>
    <row r="338" customFormat="false" ht="15" hidden="false" customHeight="false" outlineLevel="0" collapsed="false">
      <c r="A338" s="27"/>
      <c r="B338" s="1"/>
      <c r="C338" s="24" t="str">
        <f aca="false">IF(B338="","",IFERROR(INDEX(Patients!$B$2:$B$501,MATCH(B338,Patients!$A$2:$A$501,0))&amp;"",""))</f>
        <v/>
      </c>
      <c r="D338" s="1"/>
      <c r="E338" s="1"/>
      <c r="F338" s="28"/>
      <c r="G338" s="1"/>
      <c r="H338" s="1"/>
      <c r="I338" s="29"/>
      <c r="J338" s="20" t="str">
        <f aca="false">IF(D338="","",IFERROR(INDEX(Settings!$D$36:$D$45,MATCH(D338,Settings!$A$36:$A$45,0)),0))</f>
        <v/>
      </c>
      <c r="K338" s="20" t="str">
        <f aca="false">IF(J338="","",IF(H338="",J338,J338*(1-IF(I338="",Settings!$B$6,I338))))</f>
        <v/>
      </c>
      <c r="L338" s="20" t="str">
        <f aca="false">IF(OR(J338="",H338=""),"",J338-K338)</f>
        <v/>
      </c>
      <c r="M338" s="1"/>
    </row>
    <row r="339" customFormat="false" ht="15" hidden="false" customHeight="false" outlineLevel="0" collapsed="false">
      <c r="A339" s="27"/>
      <c r="B339" s="1"/>
      <c r="C339" s="24" t="str">
        <f aca="false">IF(B339="","",IFERROR(INDEX(Patients!$B$2:$B$501,MATCH(B339,Patients!$A$2:$A$501,0))&amp;"",""))</f>
        <v/>
      </c>
      <c r="D339" s="1"/>
      <c r="E339" s="1"/>
      <c r="F339" s="28"/>
      <c r="G339" s="1"/>
      <c r="H339" s="1"/>
      <c r="I339" s="29"/>
      <c r="J339" s="20" t="str">
        <f aca="false">IF(D339="","",IFERROR(INDEX(Settings!$D$36:$D$45,MATCH(D339,Settings!$A$36:$A$45,0)),0))</f>
        <v/>
      </c>
      <c r="K339" s="20" t="str">
        <f aca="false">IF(J339="","",IF(H339="",J339,J339*(1-IF(I339="",Settings!$B$6,I339))))</f>
        <v/>
      </c>
      <c r="L339" s="20" t="str">
        <f aca="false">IF(OR(J339="",H339=""),"",J339-K339)</f>
        <v/>
      </c>
      <c r="M339" s="1"/>
    </row>
    <row r="340" customFormat="false" ht="15" hidden="false" customHeight="false" outlineLevel="0" collapsed="false">
      <c r="A340" s="27"/>
      <c r="B340" s="1"/>
      <c r="C340" s="24" t="str">
        <f aca="false">IF(B340="","",IFERROR(INDEX(Patients!$B$2:$B$501,MATCH(B340,Patients!$A$2:$A$501,0))&amp;"",""))</f>
        <v/>
      </c>
      <c r="D340" s="1"/>
      <c r="E340" s="1"/>
      <c r="F340" s="28"/>
      <c r="G340" s="1"/>
      <c r="H340" s="1"/>
      <c r="I340" s="29"/>
      <c r="J340" s="20" t="str">
        <f aca="false">IF(D340="","",IFERROR(INDEX(Settings!$D$36:$D$45,MATCH(D340,Settings!$A$36:$A$45,0)),0))</f>
        <v/>
      </c>
      <c r="K340" s="20" t="str">
        <f aca="false">IF(J340="","",IF(H340="",J340,J340*(1-IF(I340="",Settings!$B$6,I340))))</f>
        <v/>
      </c>
      <c r="L340" s="20" t="str">
        <f aca="false">IF(OR(J340="",H340=""),"",J340-K340)</f>
        <v/>
      </c>
      <c r="M340" s="1"/>
    </row>
    <row r="341" customFormat="false" ht="15" hidden="false" customHeight="false" outlineLevel="0" collapsed="false">
      <c r="A341" s="27"/>
      <c r="B341" s="1"/>
      <c r="C341" s="24" t="str">
        <f aca="false">IF(B341="","",IFERROR(INDEX(Patients!$B$2:$B$501,MATCH(B341,Patients!$A$2:$A$501,0))&amp;"",""))</f>
        <v/>
      </c>
      <c r="D341" s="1"/>
      <c r="E341" s="1"/>
      <c r="F341" s="28"/>
      <c r="G341" s="1"/>
      <c r="H341" s="1"/>
      <c r="I341" s="29"/>
      <c r="J341" s="20" t="str">
        <f aca="false">IF(D341="","",IFERROR(INDEX(Settings!$D$36:$D$45,MATCH(D341,Settings!$A$36:$A$45,0)),0))</f>
        <v/>
      </c>
      <c r="K341" s="20" t="str">
        <f aca="false">IF(J341="","",IF(H341="",J341,J341*(1-IF(I341="",Settings!$B$6,I341))))</f>
        <v/>
      </c>
      <c r="L341" s="20" t="str">
        <f aca="false">IF(OR(J341="",H341=""),"",J341-K341)</f>
        <v/>
      </c>
      <c r="M341" s="1"/>
    </row>
    <row r="342" customFormat="false" ht="15" hidden="false" customHeight="false" outlineLevel="0" collapsed="false">
      <c r="A342" s="27"/>
      <c r="B342" s="1"/>
      <c r="C342" s="24" t="str">
        <f aca="false">IF(B342="","",IFERROR(INDEX(Patients!$B$2:$B$501,MATCH(B342,Patients!$A$2:$A$501,0))&amp;"",""))</f>
        <v/>
      </c>
      <c r="D342" s="1"/>
      <c r="E342" s="1"/>
      <c r="F342" s="28"/>
      <c r="G342" s="1"/>
      <c r="H342" s="1"/>
      <c r="I342" s="29"/>
      <c r="J342" s="20" t="str">
        <f aca="false">IF(D342="","",IFERROR(INDEX(Settings!$D$36:$D$45,MATCH(D342,Settings!$A$36:$A$45,0)),0))</f>
        <v/>
      </c>
      <c r="K342" s="20" t="str">
        <f aca="false">IF(J342="","",IF(H342="",J342,J342*(1-IF(I342="",Settings!$B$6,I342))))</f>
        <v/>
      </c>
      <c r="L342" s="20" t="str">
        <f aca="false">IF(OR(J342="",H342=""),"",J342-K342)</f>
        <v/>
      </c>
      <c r="M342" s="1"/>
    </row>
    <row r="343" customFormat="false" ht="15" hidden="false" customHeight="false" outlineLevel="0" collapsed="false">
      <c r="A343" s="27"/>
      <c r="B343" s="1"/>
      <c r="C343" s="24" t="str">
        <f aca="false">IF(B343="","",IFERROR(INDEX(Patients!$B$2:$B$501,MATCH(B343,Patients!$A$2:$A$501,0))&amp;"",""))</f>
        <v/>
      </c>
      <c r="D343" s="1"/>
      <c r="E343" s="1"/>
      <c r="F343" s="28"/>
      <c r="G343" s="1"/>
      <c r="H343" s="1"/>
      <c r="I343" s="29"/>
      <c r="J343" s="20" t="str">
        <f aca="false">IF(D343="","",IFERROR(INDEX(Settings!$D$36:$D$45,MATCH(D343,Settings!$A$36:$A$45,0)),0))</f>
        <v/>
      </c>
      <c r="K343" s="20" t="str">
        <f aca="false">IF(J343="","",IF(H343="",J343,J343*(1-IF(I343="",Settings!$B$6,I343))))</f>
        <v/>
      </c>
      <c r="L343" s="20" t="str">
        <f aca="false">IF(OR(J343="",H343=""),"",J343-K343)</f>
        <v/>
      </c>
      <c r="M343" s="1"/>
    </row>
    <row r="344" customFormat="false" ht="15" hidden="false" customHeight="false" outlineLevel="0" collapsed="false">
      <c r="A344" s="27"/>
      <c r="B344" s="1"/>
      <c r="C344" s="24" t="str">
        <f aca="false">IF(B344="","",IFERROR(INDEX(Patients!$B$2:$B$501,MATCH(B344,Patients!$A$2:$A$501,0))&amp;"",""))</f>
        <v/>
      </c>
      <c r="D344" s="1"/>
      <c r="E344" s="1"/>
      <c r="F344" s="28"/>
      <c r="G344" s="1"/>
      <c r="H344" s="1"/>
      <c r="I344" s="29"/>
      <c r="J344" s="20" t="str">
        <f aca="false">IF(D344="","",IFERROR(INDEX(Settings!$D$36:$D$45,MATCH(D344,Settings!$A$36:$A$45,0)),0))</f>
        <v/>
      </c>
      <c r="K344" s="20" t="str">
        <f aca="false">IF(J344="","",IF(H344="",J344,J344*(1-IF(I344="",Settings!$B$6,I344))))</f>
        <v/>
      </c>
      <c r="L344" s="20" t="str">
        <f aca="false">IF(OR(J344="",H344=""),"",J344-K344)</f>
        <v/>
      </c>
      <c r="M344" s="1"/>
    </row>
    <row r="345" customFormat="false" ht="15" hidden="false" customHeight="false" outlineLevel="0" collapsed="false">
      <c r="A345" s="27"/>
      <c r="B345" s="1"/>
      <c r="C345" s="24" t="str">
        <f aca="false">IF(B345="","",IFERROR(INDEX(Patients!$B$2:$B$501,MATCH(B345,Patients!$A$2:$A$501,0))&amp;"",""))</f>
        <v/>
      </c>
      <c r="D345" s="1"/>
      <c r="E345" s="1"/>
      <c r="F345" s="28"/>
      <c r="G345" s="1"/>
      <c r="H345" s="1"/>
      <c r="I345" s="29"/>
      <c r="J345" s="20" t="str">
        <f aca="false">IF(D345="","",IFERROR(INDEX(Settings!$D$36:$D$45,MATCH(D345,Settings!$A$36:$A$45,0)),0))</f>
        <v/>
      </c>
      <c r="K345" s="20" t="str">
        <f aca="false">IF(J345="","",IF(H345="",J345,J345*(1-IF(I345="",Settings!$B$6,I345))))</f>
        <v/>
      </c>
      <c r="L345" s="20" t="str">
        <f aca="false">IF(OR(J345="",H345=""),"",J345-K345)</f>
        <v/>
      </c>
      <c r="M345" s="1"/>
    </row>
    <row r="346" customFormat="false" ht="15" hidden="false" customHeight="false" outlineLevel="0" collapsed="false">
      <c r="A346" s="27"/>
      <c r="B346" s="1"/>
      <c r="C346" s="24" t="str">
        <f aca="false">IF(B346="","",IFERROR(INDEX(Patients!$B$2:$B$501,MATCH(B346,Patients!$A$2:$A$501,0))&amp;"",""))</f>
        <v/>
      </c>
      <c r="D346" s="1"/>
      <c r="E346" s="1"/>
      <c r="F346" s="28"/>
      <c r="G346" s="1"/>
      <c r="H346" s="1"/>
      <c r="I346" s="29"/>
      <c r="J346" s="20" t="str">
        <f aca="false">IF(D346="","",IFERROR(INDEX(Settings!$D$36:$D$45,MATCH(D346,Settings!$A$36:$A$45,0)),0))</f>
        <v/>
      </c>
      <c r="K346" s="20" t="str">
        <f aca="false">IF(J346="","",IF(H346="",J346,J346*(1-IF(I346="",Settings!$B$6,I346))))</f>
        <v/>
      </c>
      <c r="L346" s="20" t="str">
        <f aca="false">IF(OR(J346="",H346=""),"",J346-K346)</f>
        <v/>
      </c>
      <c r="M346" s="1"/>
    </row>
    <row r="347" customFormat="false" ht="15" hidden="false" customHeight="false" outlineLevel="0" collapsed="false">
      <c r="A347" s="27"/>
      <c r="B347" s="1"/>
      <c r="C347" s="24" t="str">
        <f aca="false">IF(B347="","",IFERROR(INDEX(Patients!$B$2:$B$501,MATCH(B347,Patients!$A$2:$A$501,0))&amp;"",""))</f>
        <v/>
      </c>
      <c r="D347" s="1"/>
      <c r="E347" s="1"/>
      <c r="F347" s="28"/>
      <c r="G347" s="1"/>
      <c r="H347" s="1"/>
      <c r="I347" s="29"/>
      <c r="J347" s="20" t="str">
        <f aca="false">IF(D347="","",IFERROR(INDEX(Settings!$D$36:$D$45,MATCH(D347,Settings!$A$36:$A$45,0)),0))</f>
        <v/>
      </c>
      <c r="K347" s="20" t="str">
        <f aca="false">IF(J347="","",IF(H347="",J347,J347*(1-IF(I347="",Settings!$B$6,I347))))</f>
        <v/>
      </c>
      <c r="L347" s="20" t="str">
        <f aca="false">IF(OR(J347="",H347=""),"",J347-K347)</f>
        <v/>
      </c>
      <c r="M347" s="1"/>
    </row>
    <row r="348" customFormat="false" ht="15" hidden="false" customHeight="false" outlineLevel="0" collapsed="false">
      <c r="A348" s="27"/>
      <c r="B348" s="1"/>
      <c r="C348" s="24" t="str">
        <f aca="false">IF(B348="","",IFERROR(INDEX(Patients!$B$2:$B$501,MATCH(B348,Patients!$A$2:$A$501,0))&amp;"",""))</f>
        <v/>
      </c>
      <c r="D348" s="1"/>
      <c r="E348" s="1"/>
      <c r="F348" s="28"/>
      <c r="G348" s="1"/>
      <c r="H348" s="1"/>
      <c r="I348" s="29"/>
      <c r="J348" s="20" t="str">
        <f aca="false">IF(D348="","",IFERROR(INDEX(Settings!$D$36:$D$45,MATCH(D348,Settings!$A$36:$A$45,0)),0))</f>
        <v/>
      </c>
      <c r="K348" s="20" t="str">
        <f aca="false">IF(J348="","",IF(H348="",J348,J348*(1-IF(I348="",Settings!$B$6,I348))))</f>
        <v/>
      </c>
      <c r="L348" s="20" t="str">
        <f aca="false">IF(OR(J348="",H348=""),"",J348-K348)</f>
        <v/>
      </c>
      <c r="M348" s="1"/>
    </row>
    <row r="349" customFormat="false" ht="15" hidden="false" customHeight="false" outlineLevel="0" collapsed="false">
      <c r="A349" s="27"/>
      <c r="B349" s="1"/>
      <c r="C349" s="24" t="str">
        <f aca="false">IF(B349="","",IFERROR(INDEX(Patients!$B$2:$B$501,MATCH(B349,Patients!$A$2:$A$501,0))&amp;"",""))</f>
        <v/>
      </c>
      <c r="D349" s="1"/>
      <c r="E349" s="1"/>
      <c r="F349" s="28"/>
      <c r="G349" s="1"/>
      <c r="H349" s="1"/>
      <c r="I349" s="29"/>
      <c r="J349" s="20" t="str">
        <f aca="false">IF(D349="","",IFERROR(INDEX(Settings!$D$36:$D$45,MATCH(D349,Settings!$A$36:$A$45,0)),0))</f>
        <v/>
      </c>
      <c r="K349" s="20" t="str">
        <f aca="false">IF(J349="","",IF(H349="",J349,J349*(1-IF(I349="",Settings!$B$6,I349))))</f>
        <v/>
      </c>
      <c r="L349" s="20" t="str">
        <f aca="false">IF(OR(J349="",H349=""),"",J349-K349)</f>
        <v/>
      </c>
      <c r="M349" s="1"/>
    </row>
    <row r="350" customFormat="false" ht="15" hidden="false" customHeight="false" outlineLevel="0" collapsed="false">
      <c r="A350" s="27"/>
      <c r="B350" s="1"/>
      <c r="C350" s="24" t="str">
        <f aca="false">IF(B350="","",IFERROR(INDEX(Patients!$B$2:$B$501,MATCH(B350,Patients!$A$2:$A$501,0))&amp;"",""))</f>
        <v/>
      </c>
      <c r="D350" s="1"/>
      <c r="E350" s="1"/>
      <c r="F350" s="28"/>
      <c r="G350" s="1"/>
      <c r="H350" s="1"/>
      <c r="I350" s="29"/>
      <c r="J350" s="20" t="str">
        <f aca="false">IF(D350="","",IFERROR(INDEX(Settings!$D$36:$D$45,MATCH(D350,Settings!$A$36:$A$45,0)),0))</f>
        <v/>
      </c>
      <c r="K350" s="20" t="str">
        <f aca="false">IF(J350="","",IF(H350="",J350,J350*(1-IF(I350="",Settings!$B$6,I350))))</f>
        <v/>
      </c>
      <c r="L350" s="20" t="str">
        <f aca="false">IF(OR(J350="",H350=""),"",J350-K350)</f>
        <v/>
      </c>
      <c r="M350" s="1"/>
    </row>
    <row r="351" customFormat="false" ht="15" hidden="false" customHeight="false" outlineLevel="0" collapsed="false">
      <c r="A351" s="27"/>
      <c r="B351" s="1"/>
      <c r="C351" s="24" t="str">
        <f aca="false">IF(B351="","",IFERROR(INDEX(Patients!$B$2:$B$501,MATCH(B351,Patients!$A$2:$A$501,0))&amp;"",""))</f>
        <v/>
      </c>
      <c r="D351" s="1"/>
      <c r="E351" s="1"/>
      <c r="F351" s="28"/>
      <c r="G351" s="1"/>
      <c r="H351" s="1"/>
      <c r="I351" s="29"/>
      <c r="J351" s="20" t="str">
        <f aca="false">IF(D351="","",IFERROR(INDEX(Settings!$D$36:$D$45,MATCH(D351,Settings!$A$36:$A$45,0)),0))</f>
        <v/>
      </c>
      <c r="K351" s="20" t="str">
        <f aca="false">IF(J351="","",IF(H351="",J351,J351*(1-IF(I351="",Settings!$B$6,I351))))</f>
        <v/>
      </c>
      <c r="L351" s="20" t="str">
        <f aca="false">IF(OR(J351="",H351=""),"",J351-K351)</f>
        <v/>
      </c>
      <c r="M351" s="1"/>
    </row>
    <row r="352" customFormat="false" ht="15" hidden="false" customHeight="false" outlineLevel="0" collapsed="false">
      <c r="A352" s="27"/>
      <c r="B352" s="1"/>
      <c r="C352" s="24" t="str">
        <f aca="false">IF(B352="","",IFERROR(INDEX(Patients!$B$2:$B$501,MATCH(B352,Patients!$A$2:$A$501,0))&amp;"",""))</f>
        <v/>
      </c>
      <c r="D352" s="1"/>
      <c r="E352" s="1"/>
      <c r="F352" s="28"/>
      <c r="G352" s="1"/>
      <c r="H352" s="1"/>
      <c r="I352" s="29"/>
      <c r="J352" s="20" t="str">
        <f aca="false">IF(D352="","",IFERROR(INDEX(Settings!$D$36:$D$45,MATCH(D352,Settings!$A$36:$A$45,0)),0))</f>
        <v/>
      </c>
      <c r="K352" s="20" t="str">
        <f aca="false">IF(J352="","",IF(H352="",J352,J352*(1-IF(I352="",Settings!$B$6,I352))))</f>
        <v/>
      </c>
      <c r="L352" s="20" t="str">
        <f aca="false">IF(OR(J352="",H352=""),"",J352-K352)</f>
        <v/>
      </c>
      <c r="M352" s="1"/>
    </row>
    <row r="353" customFormat="false" ht="15" hidden="false" customHeight="false" outlineLevel="0" collapsed="false">
      <c r="A353" s="27"/>
      <c r="B353" s="1"/>
      <c r="C353" s="24" t="str">
        <f aca="false">IF(B353="","",IFERROR(INDEX(Patients!$B$2:$B$501,MATCH(B353,Patients!$A$2:$A$501,0))&amp;"",""))</f>
        <v/>
      </c>
      <c r="D353" s="1"/>
      <c r="E353" s="1"/>
      <c r="F353" s="28"/>
      <c r="G353" s="1"/>
      <c r="H353" s="1"/>
      <c r="I353" s="29"/>
      <c r="J353" s="20" t="str">
        <f aca="false">IF(D353="","",IFERROR(INDEX(Settings!$D$36:$D$45,MATCH(D353,Settings!$A$36:$A$45,0)),0))</f>
        <v/>
      </c>
      <c r="K353" s="20" t="str">
        <f aca="false">IF(J353="","",IF(H353="",J353,J353*(1-IF(I353="",Settings!$B$6,I353))))</f>
        <v/>
      </c>
      <c r="L353" s="20" t="str">
        <f aca="false">IF(OR(J353="",H353=""),"",J353-K353)</f>
        <v/>
      </c>
      <c r="M353" s="1"/>
    </row>
    <row r="354" customFormat="false" ht="15" hidden="false" customHeight="false" outlineLevel="0" collapsed="false">
      <c r="A354" s="27"/>
      <c r="B354" s="1"/>
      <c r="C354" s="24" t="str">
        <f aca="false">IF(B354="","",IFERROR(INDEX(Patients!$B$2:$B$501,MATCH(B354,Patients!$A$2:$A$501,0))&amp;"",""))</f>
        <v/>
      </c>
      <c r="D354" s="1"/>
      <c r="E354" s="1"/>
      <c r="F354" s="28"/>
      <c r="G354" s="1"/>
      <c r="H354" s="1"/>
      <c r="I354" s="29"/>
      <c r="J354" s="20" t="str">
        <f aca="false">IF(D354="","",IFERROR(INDEX(Settings!$D$36:$D$45,MATCH(D354,Settings!$A$36:$A$45,0)),0))</f>
        <v/>
      </c>
      <c r="K354" s="20" t="str">
        <f aca="false">IF(J354="","",IF(H354="",J354,J354*(1-IF(I354="",Settings!$B$6,I354))))</f>
        <v/>
      </c>
      <c r="L354" s="20" t="str">
        <f aca="false">IF(OR(J354="",H354=""),"",J354-K354)</f>
        <v/>
      </c>
      <c r="M354" s="1"/>
    </row>
    <row r="355" customFormat="false" ht="15" hidden="false" customHeight="false" outlineLevel="0" collapsed="false">
      <c r="A355" s="27"/>
      <c r="B355" s="1"/>
      <c r="C355" s="24" t="str">
        <f aca="false">IF(B355="","",IFERROR(INDEX(Patients!$B$2:$B$501,MATCH(B355,Patients!$A$2:$A$501,0))&amp;"",""))</f>
        <v/>
      </c>
      <c r="D355" s="1"/>
      <c r="E355" s="1"/>
      <c r="F355" s="28"/>
      <c r="G355" s="1"/>
      <c r="H355" s="1"/>
      <c r="I355" s="29"/>
      <c r="J355" s="20" t="str">
        <f aca="false">IF(D355="","",IFERROR(INDEX(Settings!$D$36:$D$45,MATCH(D355,Settings!$A$36:$A$45,0)),0))</f>
        <v/>
      </c>
      <c r="K355" s="20" t="str">
        <f aca="false">IF(J355="","",IF(H355="",J355,J355*(1-IF(I355="",Settings!$B$6,I355))))</f>
        <v/>
      </c>
      <c r="L355" s="20" t="str">
        <f aca="false">IF(OR(J355="",H355=""),"",J355-K355)</f>
        <v/>
      </c>
      <c r="M355" s="1"/>
    </row>
    <row r="356" customFormat="false" ht="15" hidden="false" customHeight="false" outlineLevel="0" collapsed="false">
      <c r="A356" s="27"/>
      <c r="B356" s="1"/>
      <c r="C356" s="24" t="str">
        <f aca="false">IF(B356="","",IFERROR(INDEX(Patients!$B$2:$B$501,MATCH(B356,Patients!$A$2:$A$501,0))&amp;"",""))</f>
        <v/>
      </c>
      <c r="D356" s="1"/>
      <c r="E356" s="1"/>
      <c r="F356" s="28"/>
      <c r="G356" s="1"/>
      <c r="H356" s="1"/>
      <c r="I356" s="29"/>
      <c r="J356" s="20" t="str">
        <f aca="false">IF(D356="","",IFERROR(INDEX(Settings!$D$36:$D$45,MATCH(D356,Settings!$A$36:$A$45,0)),0))</f>
        <v/>
      </c>
      <c r="K356" s="20" t="str">
        <f aca="false">IF(J356="","",IF(H356="",J356,J356*(1-IF(I356="",Settings!$B$6,I356))))</f>
        <v/>
      </c>
      <c r="L356" s="20" t="str">
        <f aca="false">IF(OR(J356="",H356=""),"",J356-K356)</f>
        <v/>
      </c>
      <c r="M356" s="1"/>
    </row>
    <row r="357" customFormat="false" ht="15" hidden="false" customHeight="false" outlineLevel="0" collapsed="false">
      <c r="A357" s="27"/>
      <c r="B357" s="1"/>
      <c r="C357" s="24" t="str">
        <f aca="false">IF(B357="","",IFERROR(INDEX(Patients!$B$2:$B$501,MATCH(B357,Patients!$A$2:$A$501,0))&amp;"",""))</f>
        <v/>
      </c>
      <c r="D357" s="1"/>
      <c r="E357" s="1"/>
      <c r="F357" s="28"/>
      <c r="G357" s="1"/>
      <c r="H357" s="1"/>
      <c r="I357" s="29"/>
      <c r="J357" s="20" t="str">
        <f aca="false">IF(D357="","",IFERROR(INDEX(Settings!$D$36:$D$45,MATCH(D357,Settings!$A$36:$A$45,0)),0))</f>
        <v/>
      </c>
      <c r="K357" s="20" t="str">
        <f aca="false">IF(J357="","",IF(H357="",J357,J357*(1-IF(I357="",Settings!$B$6,I357))))</f>
        <v/>
      </c>
      <c r="L357" s="20" t="str">
        <f aca="false">IF(OR(J357="",H357=""),"",J357-K357)</f>
        <v/>
      </c>
      <c r="M357" s="1"/>
    </row>
    <row r="358" customFormat="false" ht="15" hidden="false" customHeight="false" outlineLevel="0" collapsed="false">
      <c r="A358" s="27"/>
      <c r="B358" s="1"/>
      <c r="C358" s="24" t="str">
        <f aca="false">IF(B358="","",IFERROR(INDEX(Patients!$B$2:$B$501,MATCH(B358,Patients!$A$2:$A$501,0))&amp;"",""))</f>
        <v/>
      </c>
      <c r="D358" s="1"/>
      <c r="E358" s="1"/>
      <c r="F358" s="28"/>
      <c r="G358" s="1"/>
      <c r="H358" s="1"/>
      <c r="I358" s="29"/>
      <c r="J358" s="20" t="str">
        <f aca="false">IF(D358="","",IFERROR(INDEX(Settings!$D$36:$D$45,MATCH(D358,Settings!$A$36:$A$45,0)),0))</f>
        <v/>
      </c>
      <c r="K358" s="20" t="str">
        <f aca="false">IF(J358="","",IF(H358="",J358,J358*(1-IF(I358="",Settings!$B$6,I358))))</f>
        <v/>
      </c>
      <c r="L358" s="20" t="str">
        <f aca="false">IF(OR(J358="",H358=""),"",J358-K358)</f>
        <v/>
      </c>
      <c r="M358" s="1"/>
    </row>
    <row r="359" customFormat="false" ht="15" hidden="false" customHeight="false" outlineLevel="0" collapsed="false">
      <c r="A359" s="27"/>
      <c r="B359" s="1"/>
      <c r="C359" s="24" t="str">
        <f aca="false">IF(B359="","",IFERROR(INDEX(Patients!$B$2:$B$501,MATCH(B359,Patients!$A$2:$A$501,0))&amp;"",""))</f>
        <v/>
      </c>
      <c r="D359" s="1"/>
      <c r="E359" s="1"/>
      <c r="F359" s="28"/>
      <c r="G359" s="1"/>
      <c r="H359" s="1"/>
      <c r="I359" s="29"/>
      <c r="J359" s="20" t="str">
        <f aca="false">IF(D359="","",IFERROR(INDEX(Settings!$D$36:$D$45,MATCH(D359,Settings!$A$36:$A$45,0)),0))</f>
        <v/>
      </c>
      <c r="K359" s="20" t="str">
        <f aca="false">IF(J359="","",IF(H359="",J359,J359*(1-IF(I359="",Settings!$B$6,I359))))</f>
        <v/>
      </c>
      <c r="L359" s="20" t="str">
        <f aca="false">IF(OR(J359="",H359=""),"",J359-K359)</f>
        <v/>
      </c>
      <c r="M359" s="1"/>
    </row>
    <row r="360" customFormat="false" ht="15" hidden="false" customHeight="false" outlineLevel="0" collapsed="false">
      <c r="A360" s="27"/>
      <c r="B360" s="1"/>
      <c r="C360" s="24" t="str">
        <f aca="false">IF(B360="","",IFERROR(INDEX(Patients!$B$2:$B$501,MATCH(B360,Patients!$A$2:$A$501,0))&amp;"",""))</f>
        <v/>
      </c>
      <c r="D360" s="1"/>
      <c r="E360" s="1"/>
      <c r="F360" s="28"/>
      <c r="G360" s="1"/>
      <c r="H360" s="1"/>
      <c r="I360" s="29"/>
      <c r="J360" s="20" t="str">
        <f aca="false">IF(D360="","",IFERROR(INDEX(Settings!$D$36:$D$45,MATCH(D360,Settings!$A$36:$A$45,0)),0))</f>
        <v/>
      </c>
      <c r="K360" s="20" t="str">
        <f aca="false">IF(J360="","",IF(H360="",J360,J360*(1-IF(I360="",Settings!$B$6,I360))))</f>
        <v/>
      </c>
      <c r="L360" s="20" t="str">
        <f aca="false">IF(OR(J360="",H360=""),"",J360-K360)</f>
        <v/>
      </c>
      <c r="M360" s="1"/>
    </row>
    <row r="361" customFormat="false" ht="15" hidden="false" customHeight="false" outlineLevel="0" collapsed="false">
      <c r="A361" s="27"/>
      <c r="B361" s="1"/>
      <c r="C361" s="24" t="str">
        <f aca="false">IF(B361="","",IFERROR(INDEX(Patients!$B$2:$B$501,MATCH(B361,Patients!$A$2:$A$501,0))&amp;"",""))</f>
        <v/>
      </c>
      <c r="D361" s="1"/>
      <c r="E361" s="1"/>
      <c r="F361" s="28"/>
      <c r="G361" s="1"/>
      <c r="H361" s="1"/>
      <c r="I361" s="29"/>
      <c r="J361" s="20" t="str">
        <f aca="false">IF(D361="","",IFERROR(INDEX(Settings!$D$36:$D$45,MATCH(D361,Settings!$A$36:$A$45,0)),0))</f>
        <v/>
      </c>
      <c r="K361" s="20" t="str">
        <f aca="false">IF(J361="","",IF(H361="",J361,J361*(1-IF(I361="",Settings!$B$6,I361))))</f>
        <v/>
      </c>
      <c r="L361" s="20" t="str">
        <f aca="false">IF(OR(J361="",H361=""),"",J361-K361)</f>
        <v/>
      </c>
      <c r="M361" s="1"/>
    </row>
    <row r="362" customFormat="false" ht="15" hidden="false" customHeight="false" outlineLevel="0" collapsed="false">
      <c r="A362" s="27"/>
      <c r="B362" s="1"/>
      <c r="C362" s="24" t="str">
        <f aca="false">IF(B362="","",IFERROR(INDEX(Patients!$B$2:$B$501,MATCH(B362,Patients!$A$2:$A$501,0))&amp;"",""))</f>
        <v/>
      </c>
      <c r="D362" s="1"/>
      <c r="E362" s="1"/>
      <c r="F362" s="28"/>
      <c r="G362" s="1"/>
      <c r="H362" s="1"/>
      <c r="I362" s="29"/>
      <c r="J362" s="20" t="str">
        <f aca="false">IF(D362="","",IFERROR(INDEX(Settings!$D$36:$D$45,MATCH(D362,Settings!$A$36:$A$45,0)),0))</f>
        <v/>
      </c>
      <c r="K362" s="20" t="str">
        <f aca="false">IF(J362="","",IF(H362="",J362,J362*(1-IF(I362="",Settings!$B$6,I362))))</f>
        <v/>
      </c>
      <c r="L362" s="20" t="str">
        <f aca="false">IF(OR(J362="",H362=""),"",J362-K362)</f>
        <v/>
      </c>
      <c r="M362" s="1"/>
    </row>
    <row r="363" customFormat="false" ht="15" hidden="false" customHeight="false" outlineLevel="0" collapsed="false">
      <c r="A363" s="27"/>
      <c r="B363" s="1"/>
      <c r="C363" s="24" t="str">
        <f aca="false">IF(B363="","",IFERROR(INDEX(Patients!$B$2:$B$501,MATCH(B363,Patients!$A$2:$A$501,0))&amp;"",""))</f>
        <v/>
      </c>
      <c r="D363" s="1"/>
      <c r="E363" s="1"/>
      <c r="F363" s="28"/>
      <c r="G363" s="1"/>
      <c r="H363" s="1"/>
      <c r="I363" s="29"/>
      <c r="J363" s="20" t="str">
        <f aca="false">IF(D363="","",IFERROR(INDEX(Settings!$D$36:$D$45,MATCH(D363,Settings!$A$36:$A$45,0)),0))</f>
        <v/>
      </c>
      <c r="K363" s="20" t="str">
        <f aca="false">IF(J363="","",IF(H363="",J363,J363*(1-IF(I363="",Settings!$B$6,I363))))</f>
        <v/>
      </c>
      <c r="L363" s="20" t="str">
        <f aca="false">IF(OR(J363="",H363=""),"",J363-K363)</f>
        <v/>
      </c>
      <c r="M363" s="1"/>
    </row>
    <row r="364" customFormat="false" ht="15" hidden="false" customHeight="false" outlineLevel="0" collapsed="false">
      <c r="A364" s="27"/>
      <c r="B364" s="1"/>
      <c r="C364" s="24" t="str">
        <f aca="false">IF(B364="","",IFERROR(INDEX(Patients!$B$2:$B$501,MATCH(B364,Patients!$A$2:$A$501,0))&amp;"",""))</f>
        <v/>
      </c>
      <c r="D364" s="1"/>
      <c r="E364" s="1"/>
      <c r="F364" s="28"/>
      <c r="G364" s="1"/>
      <c r="H364" s="1"/>
      <c r="I364" s="29"/>
      <c r="J364" s="20" t="str">
        <f aca="false">IF(D364="","",IFERROR(INDEX(Settings!$D$36:$D$45,MATCH(D364,Settings!$A$36:$A$45,0)),0))</f>
        <v/>
      </c>
      <c r="K364" s="20" t="str">
        <f aca="false">IF(J364="","",IF(H364="",J364,J364*(1-IF(I364="",Settings!$B$6,I364))))</f>
        <v/>
      </c>
      <c r="L364" s="20" t="str">
        <f aca="false">IF(OR(J364="",H364=""),"",J364-K364)</f>
        <v/>
      </c>
      <c r="M364" s="1"/>
    </row>
    <row r="365" customFormat="false" ht="15" hidden="false" customHeight="false" outlineLevel="0" collapsed="false">
      <c r="A365" s="27"/>
      <c r="B365" s="1"/>
      <c r="C365" s="24" t="str">
        <f aca="false">IF(B365="","",IFERROR(INDEX(Patients!$B$2:$B$501,MATCH(B365,Patients!$A$2:$A$501,0))&amp;"",""))</f>
        <v/>
      </c>
      <c r="D365" s="1"/>
      <c r="E365" s="1"/>
      <c r="F365" s="28"/>
      <c r="G365" s="1"/>
      <c r="H365" s="1"/>
      <c r="I365" s="29"/>
      <c r="J365" s="20" t="str">
        <f aca="false">IF(D365="","",IFERROR(INDEX(Settings!$D$36:$D$45,MATCH(D365,Settings!$A$36:$A$45,0)),0))</f>
        <v/>
      </c>
      <c r="K365" s="20" t="str">
        <f aca="false">IF(J365="","",IF(H365="",J365,J365*(1-IF(I365="",Settings!$B$6,I365))))</f>
        <v/>
      </c>
      <c r="L365" s="20" t="str">
        <f aca="false">IF(OR(J365="",H365=""),"",J365-K365)</f>
        <v/>
      </c>
      <c r="M365" s="1"/>
    </row>
    <row r="366" customFormat="false" ht="15" hidden="false" customHeight="false" outlineLevel="0" collapsed="false">
      <c r="A366" s="27"/>
      <c r="B366" s="1"/>
      <c r="C366" s="24" t="str">
        <f aca="false">IF(B366="","",IFERROR(INDEX(Patients!$B$2:$B$501,MATCH(B366,Patients!$A$2:$A$501,0))&amp;"",""))</f>
        <v/>
      </c>
      <c r="D366" s="1"/>
      <c r="E366" s="1"/>
      <c r="F366" s="28"/>
      <c r="G366" s="1"/>
      <c r="H366" s="1"/>
      <c r="I366" s="29"/>
      <c r="J366" s="20" t="str">
        <f aca="false">IF(D366="","",IFERROR(INDEX(Settings!$D$36:$D$45,MATCH(D366,Settings!$A$36:$A$45,0)),0))</f>
        <v/>
      </c>
      <c r="K366" s="20" t="str">
        <f aca="false">IF(J366="","",IF(H366="",J366,J366*(1-IF(I366="",Settings!$B$6,I366))))</f>
        <v/>
      </c>
      <c r="L366" s="20" t="str">
        <f aca="false">IF(OR(J366="",H366=""),"",J366-K366)</f>
        <v/>
      </c>
      <c r="M366" s="1"/>
    </row>
    <row r="367" customFormat="false" ht="15" hidden="false" customHeight="false" outlineLevel="0" collapsed="false">
      <c r="A367" s="27"/>
      <c r="B367" s="1"/>
      <c r="C367" s="24" t="str">
        <f aca="false">IF(B367="","",IFERROR(INDEX(Patients!$B$2:$B$501,MATCH(B367,Patients!$A$2:$A$501,0))&amp;"",""))</f>
        <v/>
      </c>
      <c r="D367" s="1"/>
      <c r="E367" s="1"/>
      <c r="F367" s="28"/>
      <c r="G367" s="1"/>
      <c r="H367" s="1"/>
      <c r="I367" s="29"/>
      <c r="J367" s="20" t="str">
        <f aca="false">IF(D367="","",IFERROR(INDEX(Settings!$D$36:$D$45,MATCH(D367,Settings!$A$36:$A$45,0)),0))</f>
        <v/>
      </c>
      <c r="K367" s="20" t="str">
        <f aca="false">IF(J367="","",IF(H367="",J367,J367*(1-IF(I367="",Settings!$B$6,I367))))</f>
        <v/>
      </c>
      <c r="L367" s="20" t="str">
        <f aca="false">IF(OR(J367="",H367=""),"",J367-K367)</f>
        <v/>
      </c>
      <c r="M367" s="1"/>
    </row>
    <row r="368" customFormat="false" ht="15" hidden="false" customHeight="false" outlineLevel="0" collapsed="false">
      <c r="A368" s="27"/>
      <c r="B368" s="1"/>
      <c r="C368" s="24" t="str">
        <f aca="false">IF(B368="","",IFERROR(INDEX(Patients!$B$2:$B$501,MATCH(B368,Patients!$A$2:$A$501,0))&amp;"",""))</f>
        <v/>
      </c>
      <c r="D368" s="1"/>
      <c r="E368" s="1"/>
      <c r="F368" s="28"/>
      <c r="G368" s="1"/>
      <c r="H368" s="1"/>
      <c r="I368" s="29"/>
      <c r="J368" s="20" t="str">
        <f aca="false">IF(D368="","",IFERROR(INDEX(Settings!$D$36:$D$45,MATCH(D368,Settings!$A$36:$A$45,0)),0))</f>
        <v/>
      </c>
      <c r="K368" s="20" t="str">
        <f aca="false">IF(J368="","",IF(H368="",J368,J368*(1-IF(I368="",Settings!$B$6,I368))))</f>
        <v/>
      </c>
      <c r="L368" s="20" t="str">
        <f aca="false">IF(OR(J368="",H368=""),"",J368-K368)</f>
        <v/>
      </c>
      <c r="M368" s="1"/>
    </row>
    <row r="369" customFormat="false" ht="15" hidden="false" customHeight="false" outlineLevel="0" collapsed="false">
      <c r="A369" s="27"/>
      <c r="B369" s="1"/>
      <c r="C369" s="24" t="str">
        <f aca="false">IF(B369="","",IFERROR(INDEX(Patients!$B$2:$B$501,MATCH(B369,Patients!$A$2:$A$501,0))&amp;"",""))</f>
        <v/>
      </c>
      <c r="D369" s="1"/>
      <c r="E369" s="1"/>
      <c r="F369" s="28"/>
      <c r="G369" s="1"/>
      <c r="H369" s="1"/>
      <c r="I369" s="29"/>
      <c r="J369" s="20" t="str">
        <f aca="false">IF(D369="","",IFERROR(INDEX(Settings!$D$36:$D$45,MATCH(D369,Settings!$A$36:$A$45,0)),0))</f>
        <v/>
      </c>
      <c r="K369" s="20" t="str">
        <f aca="false">IF(J369="","",IF(H369="",J369,J369*(1-IF(I369="",Settings!$B$6,I369))))</f>
        <v/>
      </c>
      <c r="L369" s="20" t="str">
        <f aca="false">IF(OR(J369="",H369=""),"",J369-K369)</f>
        <v/>
      </c>
      <c r="M369" s="1"/>
    </row>
    <row r="370" customFormat="false" ht="15" hidden="false" customHeight="false" outlineLevel="0" collapsed="false">
      <c r="A370" s="27"/>
      <c r="B370" s="1"/>
      <c r="C370" s="24" t="str">
        <f aca="false">IF(B370="","",IFERROR(INDEX(Patients!$B$2:$B$501,MATCH(B370,Patients!$A$2:$A$501,0))&amp;"",""))</f>
        <v/>
      </c>
      <c r="D370" s="1"/>
      <c r="E370" s="1"/>
      <c r="F370" s="28"/>
      <c r="G370" s="1"/>
      <c r="H370" s="1"/>
      <c r="I370" s="29"/>
      <c r="J370" s="20" t="str">
        <f aca="false">IF(D370="","",IFERROR(INDEX(Settings!$D$36:$D$45,MATCH(D370,Settings!$A$36:$A$45,0)),0))</f>
        <v/>
      </c>
      <c r="K370" s="20" t="str">
        <f aca="false">IF(J370="","",IF(H370="",J370,J370*(1-IF(I370="",Settings!$B$6,I370))))</f>
        <v/>
      </c>
      <c r="L370" s="20" t="str">
        <f aca="false">IF(OR(J370="",H370=""),"",J370-K370)</f>
        <v/>
      </c>
      <c r="M370" s="1"/>
    </row>
    <row r="371" customFormat="false" ht="15" hidden="false" customHeight="false" outlineLevel="0" collapsed="false">
      <c r="A371" s="27"/>
      <c r="B371" s="1"/>
      <c r="C371" s="24" t="str">
        <f aca="false">IF(B371="","",IFERROR(INDEX(Patients!$B$2:$B$501,MATCH(B371,Patients!$A$2:$A$501,0))&amp;"",""))</f>
        <v/>
      </c>
      <c r="D371" s="1"/>
      <c r="E371" s="1"/>
      <c r="F371" s="28"/>
      <c r="G371" s="1"/>
      <c r="H371" s="1"/>
      <c r="I371" s="29"/>
      <c r="J371" s="20" t="str">
        <f aca="false">IF(D371="","",IFERROR(INDEX(Settings!$D$36:$D$45,MATCH(D371,Settings!$A$36:$A$45,0)),0))</f>
        <v/>
      </c>
      <c r="K371" s="20" t="str">
        <f aca="false">IF(J371="","",IF(H371="",J371,J371*(1-IF(I371="",Settings!$B$6,I371))))</f>
        <v/>
      </c>
      <c r="L371" s="20" t="str">
        <f aca="false">IF(OR(J371="",H371=""),"",J371-K371)</f>
        <v/>
      </c>
      <c r="M371" s="1"/>
    </row>
    <row r="372" customFormat="false" ht="15" hidden="false" customHeight="false" outlineLevel="0" collapsed="false">
      <c r="A372" s="27"/>
      <c r="B372" s="1"/>
      <c r="C372" s="24" t="str">
        <f aca="false">IF(B372="","",IFERROR(INDEX(Patients!$B$2:$B$501,MATCH(B372,Patients!$A$2:$A$501,0))&amp;"",""))</f>
        <v/>
      </c>
      <c r="D372" s="1"/>
      <c r="E372" s="1"/>
      <c r="F372" s="28"/>
      <c r="G372" s="1"/>
      <c r="H372" s="1"/>
      <c r="I372" s="29"/>
      <c r="J372" s="20" t="str">
        <f aca="false">IF(D372="","",IFERROR(INDEX(Settings!$D$36:$D$45,MATCH(D372,Settings!$A$36:$A$45,0)),0))</f>
        <v/>
      </c>
      <c r="K372" s="20" t="str">
        <f aca="false">IF(J372="","",IF(H372="",J372,J372*(1-IF(I372="",Settings!$B$6,I372))))</f>
        <v/>
      </c>
      <c r="L372" s="20" t="str">
        <f aca="false">IF(OR(J372="",H372=""),"",J372-K372)</f>
        <v/>
      </c>
      <c r="M372" s="1"/>
    </row>
    <row r="373" customFormat="false" ht="15" hidden="false" customHeight="false" outlineLevel="0" collapsed="false">
      <c r="A373" s="27"/>
      <c r="B373" s="1"/>
      <c r="C373" s="24" t="str">
        <f aca="false">IF(B373="","",IFERROR(INDEX(Patients!$B$2:$B$501,MATCH(B373,Patients!$A$2:$A$501,0))&amp;"",""))</f>
        <v/>
      </c>
      <c r="D373" s="1"/>
      <c r="E373" s="1"/>
      <c r="F373" s="28"/>
      <c r="G373" s="1"/>
      <c r="H373" s="1"/>
      <c r="I373" s="29"/>
      <c r="J373" s="20" t="str">
        <f aca="false">IF(D373="","",IFERROR(INDEX(Settings!$D$36:$D$45,MATCH(D373,Settings!$A$36:$A$45,0)),0))</f>
        <v/>
      </c>
      <c r="K373" s="20" t="str">
        <f aca="false">IF(J373="","",IF(H373="",J373,J373*(1-IF(I373="",Settings!$B$6,I373))))</f>
        <v/>
      </c>
      <c r="L373" s="20" t="str">
        <f aca="false">IF(OR(J373="",H373=""),"",J373-K373)</f>
        <v/>
      </c>
      <c r="M373" s="1"/>
    </row>
    <row r="374" customFormat="false" ht="15" hidden="false" customHeight="false" outlineLevel="0" collapsed="false">
      <c r="A374" s="27"/>
      <c r="B374" s="1"/>
      <c r="C374" s="24" t="str">
        <f aca="false">IF(B374="","",IFERROR(INDEX(Patients!$B$2:$B$501,MATCH(B374,Patients!$A$2:$A$501,0))&amp;"",""))</f>
        <v/>
      </c>
      <c r="D374" s="1"/>
      <c r="E374" s="1"/>
      <c r="F374" s="28"/>
      <c r="G374" s="1"/>
      <c r="H374" s="1"/>
      <c r="I374" s="29"/>
      <c r="J374" s="20" t="str">
        <f aca="false">IF(D374="","",IFERROR(INDEX(Settings!$D$36:$D$45,MATCH(D374,Settings!$A$36:$A$45,0)),0))</f>
        <v/>
      </c>
      <c r="K374" s="20" t="str">
        <f aca="false">IF(J374="","",IF(H374="",J374,J374*(1-IF(I374="",Settings!$B$6,I374))))</f>
        <v/>
      </c>
      <c r="L374" s="20" t="str">
        <f aca="false">IF(OR(J374="",H374=""),"",J374-K374)</f>
        <v/>
      </c>
      <c r="M374" s="1"/>
    </row>
    <row r="375" customFormat="false" ht="15" hidden="false" customHeight="false" outlineLevel="0" collapsed="false">
      <c r="A375" s="27"/>
      <c r="B375" s="1"/>
      <c r="C375" s="24" t="str">
        <f aca="false">IF(B375="","",IFERROR(INDEX(Patients!$B$2:$B$501,MATCH(B375,Patients!$A$2:$A$501,0))&amp;"",""))</f>
        <v/>
      </c>
      <c r="D375" s="1"/>
      <c r="E375" s="1"/>
      <c r="F375" s="28"/>
      <c r="G375" s="1"/>
      <c r="H375" s="1"/>
      <c r="I375" s="29"/>
      <c r="J375" s="20" t="str">
        <f aca="false">IF(D375="","",IFERROR(INDEX(Settings!$D$36:$D$45,MATCH(D375,Settings!$A$36:$A$45,0)),0))</f>
        <v/>
      </c>
      <c r="K375" s="20" t="str">
        <f aca="false">IF(J375="","",IF(H375="",J375,J375*(1-IF(I375="",Settings!$B$6,I375))))</f>
        <v/>
      </c>
      <c r="L375" s="20" t="str">
        <f aca="false">IF(OR(J375="",H375=""),"",J375-K375)</f>
        <v/>
      </c>
      <c r="M375" s="1"/>
    </row>
    <row r="376" customFormat="false" ht="15" hidden="false" customHeight="false" outlineLevel="0" collapsed="false">
      <c r="A376" s="27"/>
      <c r="B376" s="1"/>
      <c r="C376" s="24" t="str">
        <f aca="false">IF(B376="","",IFERROR(INDEX(Patients!$B$2:$B$501,MATCH(B376,Patients!$A$2:$A$501,0))&amp;"",""))</f>
        <v/>
      </c>
      <c r="D376" s="1"/>
      <c r="E376" s="1"/>
      <c r="F376" s="28"/>
      <c r="G376" s="1"/>
      <c r="H376" s="1"/>
      <c r="I376" s="29"/>
      <c r="J376" s="20" t="str">
        <f aca="false">IF(D376="","",IFERROR(INDEX(Settings!$D$36:$D$45,MATCH(D376,Settings!$A$36:$A$45,0)),0))</f>
        <v/>
      </c>
      <c r="K376" s="20" t="str">
        <f aca="false">IF(J376="","",IF(H376="",J376,J376*(1-IF(I376="",Settings!$B$6,I376))))</f>
        <v/>
      </c>
      <c r="L376" s="20" t="str">
        <f aca="false">IF(OR(J376="",H376=""),"",J376-K376)</f>
        <v/>
      </c>
      <c r="M376" s="1"/>
    </row>
    <row r="377" customFormat="false" ht="15" hidden="false" customHeight="false" outlineLevel="0" collapsed="false">
      <c r="A377" s="27"/>
      <c r="B377" s="1"/>
      <c r="C377" s="24" t="str">
        <f aca="false">IF(B377="","",IFERROR(INDEX(Patients!$B$2:$B$501,MATCH(B377,Patients!$A$2:$A$501,0))&amp;"",""))</f>
        <v/>
      </c>
      <c r="D377" s="1"/>
      <c r="E377" s="1"/>
      <c r="F377" s="28"/>
      <c r="G377" s="1"/>
      <c r="H377" s="1"/>
      <c r="I377" s="29"/>
      <c r="J377" s="20" t="str">
        <f aca="false">IF(D377="","",IFERROR(INDEX(Settings!$D$36:$D$45,MATCH(D377,Settings!$A$36:$A$45,0)),0))</f>
        <v/>
      </c>
      <c r="K377" s="20" t="str">
        <f aca="false">IF(J377="","",IF(H377="",J377,J377*(1-IF(I377="",Settings!$B$6,I377))))</f>
        <v/>
      </c>
      <c r="L377" s="20" t="str">
        <f aca="false">IF(OR(J377="",H377=""),"",J377-K377)</f>
        <v/>
      </c>
      <c r="M377" s="1"/>
    </row>
    <row r="378" customFormat="false" ht="15" hidden="false" customHeight="false" outlineLevel="0" collapsed="false">
      <c r="A378" s="27"/>
      <c r="B378" s="1"/>
      <c r="C378" s="24" t="str">
        <f aca="false">IF(B378="","",IFERROR(INDEX(Patients!$B$2:$B$501,MATCH(B378,Patients!$A$2:$A$501,0))&amp;"",""))</f>
        <v/>
      </c>
      <c r="D378" s="1"/>
      <c r="E378" s="1"/>
      <c r="F378" s="28"/>
      <c r="G378" s="1"/>
      <c r="H378" s="1"/>
      <c r="I378" s="29"/>
      <c r="J378" s="20" t="str">
        <f aca="false">IF(D378="","",IFERROR(INDEX(Settings!$D$36:$D$45,MATCH(D378,Settings!$A$36:$A$45,0)),0))</f>
        <v/>
      </c>
      <c r="K378" s="20" t="str">
        <f aca="false">IF(J378="","",IF(H378="",J378,J378*(1-IF(I378="",Settings!$B$6,I378))))</f>
        <v/>
      </c>
      <c r="L378" s="20" t="str">
        <f aca="false">IF(OR(J378="",H378=""),"",J378-K378)</f>
        <v/>
      </c>
      <c r="M378" s="1"/>
    </row>
    <row r="379" customFormat="false" ht="15" hidden="false" customHeight="false" outlineLevel="0" collapsed="false">
      <c r="A379" s="27"/>
      <c r="B379" s="1"/>
      <c r="C379" s="24" t="str">
        <f aca="false">IF(B379="","",IFERROR(INDEX(Patients!$B$2:$B$501,MATCH(B379,Patients!$A$2:$A$501,0))&amp;"",""))</f>
        <v/>
      </c>
      <c r="D379" s="1"/>
      <c r="E379" s="1"/>
      <c r="F379" s="28"/>
      <c r="G379" s="1"/>
      <c r="H379" s="1"/>
      <c r="I379" s="29"/>
      <c r="J379" s="20" t="str">
        <f aca="false">IF(D379="","",IFERROR(INDEX(Settings!$D$36:$D$45,MATCH(D379,Settings!$A$36:$A$45,0)),0))</f>
        <v/>
      </c>
      <c r="K379" s="20" t="str">
        <f aca="false">IF(J379="","",IF(H379="",J379,J379*(1-IF(I379="",Settings!$B$6,I379))))</f>
        <v/>
      </c>
      <c r="L379" s="20" t="str">
        <f aca="false">IF(OR(J379="",H379=""),"",J379-K379)</f>
        <v/>
      </c>
      <c r="M379" s="1"/>
    </row>
    <row r="380" customFormat="false" ht="15" hidden="false" customHeight="false" outlineLevel="0" collapsed="false">
      <c r="A380" s="27"/>
      <c r="B380" s="1"/>
      <c r="C380" s="24" t="str">
        <f aca="false">IF(B380="","",IFERROR(INDEX(Patients!$B$2:$B$501,MATCH(B380,Patients!$A$2:$A$501,0))&amp;"",""))</f>
        <v/>
      </c>
      <c r="D380" s="1"/>
      <c r="E380" s="1"/>
      <c r="F380" s="28"/>
      <c r="G380" s="1"/>
      <c r="H380" s="1"/>
      <c r="I380" s="29"/>
      <c r="J380" s="20" t="str">
        <f aca="false">IF(D380="","",IFERROR(INDEX(Settings!$D$36:$D$45,MATCH(D380,Settings!$A$36:$A$45,0)),0))</f>
        <v/>
      </c>
      <c r="K380" s="20" t="str">
        <f aca="false">IF(J380="","",IF(H380="",J380,J380*(1-IF(I380="",Settings!$B$6,I380))))</f>
        <v/>
      </c>
      <c r="L380" s="20" t="str">
        <f aca="false">IF(OR(J380="",H380=""),"",J380-K380)</f>
        <v/>
      </c>
      <c r="M380" s="1"/>
    </row>
    <row r="381" customFormat="false" ht="15" hidden="false" customHeight="false" outlineLevel="0" collapsed="false">
      <c r="A381" s="27"/>
      <c r="B381" s="1"/>
      <c r="C381" s="24" t="str">
        <f aca="false">IF(B381="","",IFERROR(INDEX(Patients!$B$2:$B$501,MATCH(B381,Patients!$A$2:$A$501,0))&amp;"",""))</f>
        <v/>
      </c>
      <c r="D381" s="1"/>
      <c r="E381" s="1"/>
      <c r="F381" s="28"/>
      <c r="G381" s="1"/>
      <c r="H381" s="1"/>
      <c r="I381" s="29"/>
      <c r="J381" s="20" t="str">
        <f aca="false">IF(D381="","",IFERROR(INDEX(Settings!$D$36:$D$45,MATCH(D381,Settings!$A$36:$A$45,0)),0))</f>
        <v/>
      </c>
      <c r="K381" s="20" t="str">
        <f aca="false">IF(J381="","",IF(H381="",J381,J381*(1-IF(I381="",Settings!$B$6,I381))))</f>
        <v/>
      </c>
      <c r="L381" s="20" t="str">
        <f aca="false">IF(OR(J381="",H381=""),"",J381-K381)</f>
        <v/>
      </c>
      <c r="M381" s="1"/>
    </row>
    <row r="382" customFormat="false" ht="15" hidden="false" customHeight="false" outlineLevel="0" collapsed="false">
      <c r="A382" s="27"/>
      <c r="B382" s="1"/>
      <c r="C382" s="24" t="str">
        <f aca="false">IF(B382="","",IFERROR(INDEX(Patients!$B$2:$B$501,MATCH(B382,Patients!$A$2:$A$501,0))&amp;"",""))</f>
        <v/>
      </c>
      <c r="D382" s="1"/>
      <c r="E382" s="1"/>
      <c r="F382" s="28"/>
      <c r="G382" s="1"/>
      <c r="H382" s="1"/>
      <c r="I382" s="29"/>
      <c r="J382" s="20" t="str">
        <f aca="false">IF(D382="","",IFERROR(INDEX(Settings!$D$36:$D$45,MATCH(D382,Settings!$A$36:$A$45,0)),0))</f>
        <v/>
      </c>
      <c r="K382" s="20" t="str">
        <f aca="false">IF(J382="","",IF(H382="",J382,J382*(1-IF(I382="",Settings!$B$6,I382))))</f>
        <v/>
      </c>
      <c r="L382" s="20" t="str">
        <f aca="false">IF(OR(J382="",H382=""),"",J382-K382)</f>
        <v/>
      </c>
      <c r="M382" s="1"/>
    </row>
    <row r="383" customFormat="false" ht="15" hidden="false" customHeight="false" outlineLevel="0" collapsed="false">
      <c r="A383" s="27"/>
      <c r="B383" s="1"/>
      <c r="C383" s="24" t="str">
        <f aca="false">IF(B383="","",IFERROR(INDEX(Patients!$B$2:$B$501,MATCH(B383,Patients!$A$2:$A$501,0))&amp;"",""))</f>
        <v/>
      </c>
      <c r="D383" s="1"/>
      <c r="E383" s="1"/>
      <c r="F383" s="28"/>
      <c r="G383" s="1"/>
      <c r="H383" s="1"/>
      <c r="I383" s="29"/>
      <c r="J383" s="20" t="str">
        <f aca="false">IF(D383="","",IFERROR(INDEX(Settings!$D$36:$D$45,MATCH(D383,Settings!$A$36:$A$45,0)),0))</f>
        <v/>
      </c>
      <c r="K383" s="20" t="str">
        <f aca="false">IF(J383="","",IF(H383="",J383,J383*(1-IF(I383="",Settings!$B$6,I383))))</f>
        <v/>
      </c>
      <c r="L383" s="20" t="str">
        <f aca="false">IF(OR(J383="",H383=""),"",J383-K383)</f>
        <v/>
      </c>
      <c r="M383" s="1"/>
    </row>
    <row r="384" customFormat="false" ht="15" hidden="false" customHeight="false" outlineLevel="0" collapsed="false">
      <c r="A384" s="27"/>
      <c r="B384" s="1"/>
      <c r="C384" s="24" t="str">
        <f aca="false">IF(B384="","",IFERROR(INDEX(Patients!$B$2:$B$501,MATCH(B384,Patients!$A$2:$A$501,0))&amp;"",""))</f>
        <v/>
      </c>
      <c r="D384" s="1"/>
      <c r="E384" s="1"/>
      <c r="F384" s="28"/>
      <c r="G384" s="1"/>
      <c r="H384" s="1"/>
      <c r="I384" s="29"/>
      <c r="J384" s="20" t="str">
        <f aca="false">IF(D384="","",IFERROR(INDEX(Settings!$D$36:$D$45,MATCH(D384,Settings!$A$36:$A$45,0)),0))</f>
        <v/>
      </c>
      <c r="K384" s="20" t="str">
        <f aca="false">IF(J384="","",IF(H384="",J384,J384*(1-IF(I384="",Settings!$B$6,I384))))</f>
        <v/>
      </c>
      <c r="L384" s="20" t="str">
        <f aca="false">IF(OR(J384="",H384=""),"",J384-K384)</f>
        <v/>
      </c>
      <c r="M384" s="1"/>
    </row>
    <row r="385" customFormat="false" ht="15" hidden="false" customHeight="false" outlineLevel="0" collapsed="false">
      <c r="A385" s="27"/>
      <c r="B385" s="1"/>
      <c r="C385" s="24" t="str">
        <f aca="false">IF(B385="","",IFERROR(INDEX(Patients!$B$2:$B$501,MATCH(B385,Patients!$A$2:$A$501,0))&amp;"",""))</f>
        <v/>
      </c>
      <c r="D385" s="1"/>
      <c r="E385" s="1"/>
      <c r="F385" s="28"/>
      <c r="G385" s="1"/>
      <c r="H385" s="1"/>
      <c r="I385" s="29"/>
      <c r="J385" s="20" t="str">
        <f aca="false">IF(D385="","",IFERROR(INDEX(Settings!$D$36:$D$45,MATCH(D385,Settings!$A$36:$A$45,0)),0))</f>
        <v/>
      </c>
      <c r="K385" s="20" t="str">
        <f aca="false">IF(J385="","",IF(H385="",J385,J385*(1-IF(I385="",Settings!$B$6,I385))))</f>
        <v/>
      </c>
      <c r="L385" s="20" t="str">
        <f aca="false">IF(OR(J385="",H385=""),"",J385-K385)</f>
        <v/>
      </c>
      <c r="M385" s="1"/>
    </row>
    <row r="386" customFormat="false" ht="15" hidden="false" customHeight="false" outlineLevel="0" collapsed="false">
      <c r="A386" s="27"/>
      <c r="B386" s="1"/>
      <c r="C386" s="24" t="str">
        <f aca="false">IF(B386="","",IFERROR(INDEX(Patients!$B$2:$B$501,MATCH(B386,Patients!$A$2:$A$501,0))&amp;"",""))</f>
        <v/>
      </c>
      <c r="D386" s="1"/>
      <c r="E386" s="1"/>
      <c r="F386" s="28"/>
      <c r="G386" s="1"/>
      <c r="H386" s="1"/>
      <c r="I386" s="29"/>
      <c r="J386" s="20" t="str">
        <f aca="false">IF(D386="","",IFERROR(INDEX(Settings!$D$36:$D$45,MATCH(D386,Settings!$A$36:$A$45,0)),0))</f>
        <v/>
      </c>
      <c r="K386" s="20" t="str">
        <f aca="false">IF(J386="","",IF(H386="",J386,J386*(1-IF(I386="",Settings!$B$6,I386))))</f>
        <v/>
      </c>
      <c r="L386" s="20" t="str">
        <f aca="false">IF(OR(J386="",H386=""),"",J386-K386)</f>
        <v/>
      </c>
      <c r="M386" s="1"/>
    </row>
    <row r="387" customFormat="false" ht="15" hidden="false" customHeight="false" outlineLevel="0" collapsed="false">
      <c r="A387" s="27"/>
      <c r="B387" s="1"/>
      <c r="C387" s="24" t="str">
        <f aca="false">IF(B387="","",IFERROR(INDEX(Patients!$B$2:$B$501,MATCH(B387,Patients!$A$2:$A$501,0))&amp;"",""))</f>
        <v/>
      </c>
      <c r="D387" s="1"/>
      <c r="E387" s="1"/>
      <c r="F387" s="28"/>
      <c r="G387" s="1"/>
      <c r="H387" s="1"/>
      <c r="I387" s="29"/>
      <c r="J387" s="20" t="str">
        <f aca="false">IF(D387="","",IFERROR(INDEX(Settings!$D$36:$D$45,MATCH(D387,Settings!$A$36:$A$45,0)),0))</f>
        <v/>
      </c>
      <c r="K387" s="20" t="str">
        <f aca="false">IF(J387="","",IF(H387="",J387,J387*(1-IF(I387="",Settings!$B$6,I387))))</f>
        <v/>
      </c>
      <c r="L387" s="20" t="str">
        <f aca="false">IF(OR(J387="",H387=""),"",J387-K387)</f>
        <v/>
      </c>
      <c r="M387" s="1"/>
    </row>
    <row r="388" customFormat="false" ht="15" hidden="false" customHeight="false" outlineLevel="0" collapsed="false">
      <c r="A388" s="27"/>
      <c r="B388" s="1"/>
      <c r="C388" s="24" t="str">
        <f aca="false">IF(B388="","",IFERROR(INDEX(Patients!$B$2:$B$501,MATCH(B388,Patients!$A$2:$A$501,0))&amp;"",""))</f>
        <v/>
      </c>
      <c r="D388" s="1"/>
      <c r="E388" s="1"/>
      <c r="F388" s="28"/>
      <c r="G388" s="1"/>
      <c r="H388" s="1"/>
      <c r="I388" s="29"/>
      <c r="J388" s="20" t="str">
        <f aca="false">IF(D388="","",IFERROR(INDEX(Settings!$D$36:$D$45,MATCH(D388,Settings!$A$36:$A$45,0)),0))</f>
        <v/>
      </c>
      <c r="K388" s="20" t="str">
        <f aca="false">IF(J388="","",IF(H388="",J388,J388*(1-IF(I388="",Settings!$B$6,I388))))</f>
        <v/>
      </c>
      <c r="L388" s="20" t="str">
        <f aca="false">IF(OR(J388="",H388=""),"",J388-K388)</f>
        <v/>
      </c>
      <c r="M388" s="1"/>
    </row>
    <row r="389" customFormat="false" ht="15" hidden="false" customHeight="false" outlineLevel="0" collapsed="false">
      <c r="A389" s="27"/>
      <c r="B389" s="1"/>
      <c r="C389" s="24" t="str">
        <f aca="false">IF(B389="","",IFERROR(INDEX(Patients!$B$2:$B$501,MATCH(B389,Patients!$A$2:$A$501,0))&amp;"",""))</f>
        <v/>
      </c>
      <c r="D389" s="1"/>
      <c r="E389" s="1"/>
      <c r="F389" s="28"/>
      <c r="G389" s="1"/>
      <c r="H389" s="1"/>
      <c r="I389" s="29"/>
      <c r="J389" s="20" t="str">
        <f aca="false">IF(D389="","",IFERROR(INDEX(Settings!$D$36:$D$45,MATCH(D389,Settings!$A$36:$A$45,0)),0))</f>
        <v/>
      </c>
      <c r="K389" s="20" t="str">
        <f aca="false">IF(J389="","",IF(H389="",J389,J389*(1-IF(I389="",Settings!$B$6,I389))))</f>
        <v/>
      </c>
      <c r="L389" s="20" t="str">
        <f aca="false">IF(OR(J389="",H389=""),"",J389-K389)</f>
        <v/>
      </c>
      <c r="M389" s="1"/>
    </row>
    <row r="390" customFormat="false" ht="15" hidden="false" customHeight="false" outlineLevel="0" collapsed="false">
      <c r="A390" s="27"/>
      <c r="B390" s="1"/>
      <c r="C390" s="24" t="str">
        <f aca="false">IF(B390="","",IFERROR(INDEX(Patients!$B$2:$B$501,MATCH(B390,Patients!$A$2:$A$501,0))&amp;"",""))</f>
        <v/>
      </c>
      <c r="D390" s="1"/>
      <c r="E390" s="1"/>
      <c r="F390" s="28"/>
      <c r="G390" s="1"/>
      <c r="H390" s="1"/>
      <c r="I390" s="29"/>
      <c r="J390" s="20" t="str">
        <f aca="false">IF(D390="","",IFERROR(INDEX(Settings!$D$36:$D$45,MATCH(D390,Settings!$A$36:$A$45,0)),0))</f>
        <v/>
      </c>
      <c r="K390" s="20" t="str">
        <f aca="false">IF(J390="","",IF(H390="",J390,J390*(1-IF(I390="",Settings!$B$6,I390))))</f>
        <v/>
      </c>
      <c r="L390" s="20" t="str">
        <f aca="false">IF(OR(J390="",H390=""),"",J390-K390)</f>
        <v/>
      </c>
      <c r="M390" s="1"/>
    </row>
    <row r="391" customFormat="false" ht="15" hidden="false" customHeight="false" outlineLevel="0" collapsed="false">
      <c r="A391" s="27"/>
      <c r="B391" s="1"/>
      <c r="C391" s="24" t="str">
        <f aca="false">IF(B391="","",IFERROR(INDEX(Patients!$B$2:$B$501,MATCH(B391,Patients!$A$2:$A$501,0))&amp;"",""))</f>
        <v/>
      </c>
      <c r="D391" s="1"/>
      <c r="E391" s="1"/>
      <c r="F391" s="28"/>
      <c r="G391" s="1"/>
      <c r="H391" s="1"/>
      <c r="I391" s="29"/>
      <c r="J391" s="20" t="str">
        <f aca="false">IF(D391="","",IFERROR(INDEX(Settings!$D$36:$D$45,MATCH(D391,Settings!$A$36:$A$45,0)),0))</f>
        <v/>
      </c>
      <c r="K391" s="20" t="str">
        <f aca="false">IF(J391="","",IF(H391="",J391,J391*(1-IF(I391="",Settings!$B$6,I391))))</f>
        <v/>
      </c>
      <c r="L391" s="20" t="str">
        <f aca="false">IF(OR(J391="",H391=""),"",J391-K391)</f>
        <v/>
      </c>
      <c r="M391" s="1"/>
    </row>
    <row r="392" customFormat="false" ht="15" hidden="false" customHeight="false" outlineLevel="0" collapsed="false">
      <c r="A392" s="27"/>
      <c r="B392" s="1"/>
      <c r="C392" s="24" t="str">
        <f aca="false">IF(B392="","",IFERROR(INDEX(Patients!$B$2:$B$501,MATCH(B392,Patients!$A$2:$A$501,0))&amp;"",""))</f>
        <v/>
      </c>
      <c r="D392" s="1"/>
      <c r="E392" s="1"/>
      <c r="F392" s="28"/>
      <c r="G392" s="1"/>
      <c r="H392" s="1"/>
      <c r="I392" s="29"/>
      <c r="J392" s="20" t="str">
        <f aca="false">IF(D392="","",IFERROR(INDEX(Settings!$D$36:$D$45,MATCH(D392,Settings!$A$36:$A$45,0)),0))</f>
        <v/>
      </c>
      <c r="K392" s="20" t="str">
        <f aca="false">IF(J392="","",IF(H392="",J392,J392*(1-IF(I392="",Settings!$B$6,I392))))</f>
        <v/>
      </c>
      <c r="L392" s="20" t="str">
        <f aca="false">IF(OR(J392="",H392=""),"",J392-K392)</f>
        <v/>
      </c>
      <c r="M392" s="1"/>
    </row>
    <row r="393" customFormat="false" ht="15" hidden="false" customHeight="false" outlineLevel="0" collapsed="false">
      <c r="A393" s="27"/>
      <c r="B393" s="1"/>
      <c r="C393" s="24" t="str">
        <f aca="false">IF(B393="","",IFERROR(INDEX(Patients!$B$2:$B$501,MATCH(B393,Patients!$A$2:$A$501,0))&amp;"",""))</f>
        <v/>
      </c>
      <c r="D393" s="1"/>
      <c r="E393" s="1"/>
      <c r="F393" s="28"/>
      <c r="G393" s="1"/>
      <c r="H393" s="1"/>
      <c r="I393" s="29"/>
      <c r="J393" s="20" t="str">
        <f aca="false">IF(D393="","",IFERROR(INDEX(Settings!$D$36:$D$45,MATCH(D393,Settings!$A$36:$A$45,0)),0))</f>
        <v/>
      </c>
      <c r="K393" s="20" t="str">
        <f aca="false">IF(J393="","",IF(H393="",J393,J393*(1-IF(I393="",Settings!$B$6,I393))))</f>
        <v/>
      </c>
      <c r="L393" s="20" t="str">
        <f aca="false">IF(OR(J393="",H393=""),"",J393-K393)</f>
        <v/>
      </c>
      <c r="M393" s="1"/>
    </row>
    <row r="394" customFormat="false" ht="15" hidden="false" customHeight="false" outlineLevel="0" collapsed="false">
      <c r="A394" s="27"/>
      <c r="B394" s="1"/>
      <c r="C394" s="24" t="str">
        <f aca="false">IF(B394="","",IFERROR(INDEX(Patients!$B$2:$B$501,MATCH(B394,Patients!$A$2:$A$501,0))&amp;"",""))</f>
        <v/>
      </c>
      <c r="D394" s="1"/>
      <c r="E394" s="1"/>
      <c r="F394" s="28"/>
      <c r="G394" s="1"/>
      <c r="H394" s="1"/>
      <c r="I394" s="29"/>
      <c r="J394" s="20" t="str">
        <f aca="false">IF(D394="","",IFERROR(INDEX(Settings!$D$36:$D$45,MATCH(D394,Settings!$A$36:$A$45,0)),0))</f>
        <v/>
      </c>
      <c r="K394" s="20" t="str">
        <f aca="false">IF(J394="","",IF(H394="",J394,J394*(1-IF(I394="",Settings!$B$6,I394))))</f>
        <v/>
      </c>
      <c r="L394" s="20" t="str">
        <f aca="false">IF(OR(J394="",H394=""),"",J394-K394)</f>
        <v/>
      </c>
      <c r="M394" s="1"/>
    </row>
    <row r="395" customFormat="false" ht="15" hidden="false" customHeight="false" outlineLevel="0" collapsed="false">
      <c r="A395" s="27"/>
      <c r="B395" s="1"/>
      <c r="C395" s="24" t="str">
        <f aca="false">IF(B395="","",IFERROR(INDEX(Patients!$B$2:$B$501,MATCH(B395,Patients!$A$2:$A$501,0))&amp;"",""))</f>
        <v/>
      </c>
      <c r="D395" s="1"/>
      <c r="E395" s="1"/>
      <c r="F395" s="28"/>
      <c r="G395" s="1"/>
      <c r="H395" s="1"/>
      <c r="I395" s="29"/>
      <c r="J395" s="20" t="str">
        <f aca="false">IF(D395="","",IFERROR(INDEX(Settings!$D$36:$D$45,MATCH(D395,Settings!$A$36:$A$45,0)),0))</f>
        <v/>
      </c>
      <c r="K395" s="20" t="str">
        <f aca="false">IF(J395="","",IF(H395="",J395,J395*(1-IF(I395="",Settings!$B$6,I395))))</f>
        <v/>
      </c>
      <c r="L395" s="20" t="str">
        <f aca="false">IF(OR(J395="",H395=""),"",J395-K395)</f>
        <v/>
      </c>
      <c r="M395" s="1"/>
    </row>
    <row r="396" customFormat="false" ht="15" hidden="false" customHeight="false" outlineLevel="0" collapsed="false">
      <c r="A396" s="27"/>
      <c r="B396" s="1"/>
      <c r="C396" s="24" t="str">
        <f aca="false">IF(B396="","",IFERROR(INDEX(Patients!$B$2:$B$501,MATCH(B396,Patients!$A$2:$A$501,0))&amp;"",""))</f>
        <v/>
      </c>
      <c r="D396" s="1"/>
      <c r="E396" s="1"/>
      <c r="F396" s="28"/>
      <c r="G396" s="1"/>
      <c r="H396" s="1"/>
      <c r="I396" s="29"/>
      <c r="J396" s="20" t="str">
        <f aca="false">IF(D396="","",IFERROR(INDEX(Settings!$D$36:$D$45,MATCH(D396,Settings!$A$36:$A$45,0)),0))</f>
        <v/>
      </c>
      <c r="K396" s="20" t="str">
        <f aca="false">IF(J396="","",IF(H396="",J396,J396*(1-IF(I396="",Settings!$B$6,I396))))</f>
        <v/>
      </c>
      <c r="L396" s="20" t="str">
        <f aca="false">IF(OR(J396="",H396=""),"",J396-K396)</f>
        <v/>
      </c>
      <c r="M396" s="1"/>
    </row>
    <row r="397" customFormat="false" ht="15" hidden="false" customHeight="false" outlineLevel="0" collapsed="false">
      <c r="A397" s="27"/>
      <c r="B397" s="1"/>
      <c r="C397" s="24" t="str">
        <f aca="false">IF(B397="","",IFERROR(INDEX(Patients!$B$2:$B$501,MATCH(B397,Patients!$A$2:$A$501,0))&amp;"",""))</f>
        <v/>
      </c>
      <c r="D397" s="1"/>
      <c r="E397" s="1"/>
      <c r="F397" s="28"/>
      <c r="G397" s="1"/>
      <c r="H397" s="1"/>
      <c r="I397" s="29"/>
      <c r="J397" s="20" t="str">
        <f aca="false">IF(D397="","",IFERROR(INDEX(Settings!$D$36:$D$45,MATCH(D397,Settings!$A$36:$A$45,0)),0))</f>
        <v/>
      </c>
      <c r="K397" s="20" t="str">
        <f aca="false">IF(J397="","",IF(H397="",J397,J397*(1-IF(I397="",Settings!$B$6,I397))))</f>
        <v/>
      </c>
      <c r="L397" s="20" t="str">
        <f aca="false">IF(OR(J397="",H397=""),"",J397-K397)</f>
        <v/>
      </c>
      <c r="M397" s="1"/>
    </row>
    <row r="398" customFormat="false" ht="15" hidden="false" customHeight="false" outlineLevel="0" collapsed="false">
      <c r="A398" s="27"/>
      <c r="B398" s="1"/>
      <c r="C398" s="24" t="str">
        <f aca="false">IF(B398="","",IFERROR(INDEX(Patients!$B$2:$B$501,MATCH(B398,Patients!$A$2:$A$501,0))&amp;"",""))</f>
        <v/>
      </c>
      <c r="D398" s="1"/>
      <c r="E398" s="1"/>
      <c r="F398" s="28"/>
      <c r="G398" s="1"/>
      <c r="H398" s="1"/>
      <c r="I398" s="29"/>
      <c r="J398" s="20" t="str">
        <f aca="false">IF(D398="","",IFERROR(INDEX(Settings!$D$36:$D$45,MATCH(D398,Settings!$A$36:$A$45,0)),0))</f>
        <v/>
      </c>
      <c r="K398" s="20" t="str">
        <f aca="false">IF(J398="","",IF(H398="",J398,J398*(1-IF(I398="",Settings!$B$6,I398))))</f>
        <v/>
      </c>
      <c r="L398" s="20" t="str">
        <f aca="false">IF(OR(J398="",H398=""),"",J398-K398)</f>
        <v/>
      </c>
      <c r="M398" s="1"/>
    </row>
    <row r="399" customFormat="false" ht="15" hidden="false" customHeight="false" outlineLevel="0" collapsed="false">
      <c r="A399" s="27"/>
      <c r="B399" s="1"/>
      <c r="C399" s="24" t="str">
        <f aca="false">IF(B399="","",IFERROR(INDEX(Patients!$B$2:$B$501,MATCH(B399,Patients!$A$2:$A$501,0))&amp;"",""))</f>
        <v/>
      </c>
      <c r="D399" s="1"/>
      <c r="E399" s="1"/>
      <c r="F399" s="28"/>
      <c r="G399" s="1"/>
      <c r="H399" s="1"/>
      <c r="I399" s="29"/>
      <c r="J399" s="20" t="str">
        <f aca="false">IF(D399="","",IFERROR(INDEX(Settings!$D$36:$D$45,MATCH(D399,Settings!$A$36:$A$45,0)),0))</f>
        <v/>
      </c>
      <c r="K399" s="20" t="str">
        <f aca="false">IF(J399="","",IF(H399="",J399,J399*(1-IF(I399="",Settings!$B$6,I399))))</f>
        <v/>
      </c>
      <c r="L399" s="20" t="str">
        <f aca="false">IF(OR(J399="",H399=""),"",J399-K399)</f>
        <v/>
      </c>
      <c r="M399" s="1"/>
    </row>
    <row r="400" customFormat="false" ht="15" hidden="false" customHeight="false" outlineLevel="0" collapsed="false">
      <c r="A400" s="27"/>
      <c r="B400" s="1"/>
      <c r="C400" s="24" t="str">
        <f aca="false">IF(B400="","",IFERROR(INDEX(Patients!$B$2:$B$501,MATCH(B400,Patients!$A$2:$A$501,0))&amp;"",""))</f>
        <v/>
      </c>
      <c r="D400" s="1"/>
      <c r="E400" s="1"/>
      <c r="F400" s="28"/>
      <c r="G400" s="1"/>
      <c r="H400" s="1"/>
      <c r="I400" s="29"/>
      <c r="J400" s="20" t="str">
        <f aca="false">IF(D400="","",IFERROR(INDEX(Settings!$D$36:$D$45,MATCH(D400,Settings!$A$36:$A$45,0)),0))</f>
        <v/>
      </c>
      <c r="K400" s="20" t="str">
        <f aca="false">IF(J400="","",IF(H400="",J400,J400*(1-IF(I400="",Settings!$B$6,I400))))</f>
        <v/>
      </c>
      <c r="L400" s="20" t="str">
        <f aca="false">IF(OR(J400="",H400=""),"",J400-K400)</f>
        <v/>
      </c>
      <c r="M400" s="1"/>
    </row>
    <row r="401" customFormat="false" ht="15" hidden="false" customHeight="false" outlineLevel="0" collapsed="false">
      <c r="A401" s="27"/>
      <c r="B401" s="1"/>
      <c r="C401" s="24" t="str">
        <f aca="false">IF(B401="","",IFERROR(INDEX(Patients!$B$2:$B$501,MATCH(B401,Patients!$A$2:$A$501,0))&amp;"",""))</f>
        <v/>
      </c>
      <c r="D401" s="1"/>
      <c r="E401" s="1"/>
      <c r="F401" s="28"/>
      <c r="G401" s="1"/>
      <c r="H401" s="1"/>
      <c r="I401" s="29"/>
      <c r="J401" s="20" t="str">
        <f aca="false">IF(D401="","",IFERROR(INDEX(Settings!$D$36:$D$45,MATCH(D401,Settings!$A$36:$A$45,0)),0))</f>
        <v/>
      </c>
      <c r="K401" s="20" t="str">
        <f aca="false">IF(J401="","",IF(H401="",J401,J401*(1-IF(I401="",Settings!$B$6,I401))))</f>
        <v/>
      </c>
      <c r="L401" s="20" t="str">
        <f aca="false">IF(OR(J401="",H401=""),"",J401-K401)</f>
        <v/>
      </c>
      <c r="M401" s="1"/>
    </row>
    <row r="402" customFormat="false" ht="15" hidden="false" customHeight="false" outlineLevel="0" collapsed="false">
      <c r="A402" s="27"/>
      <c r="B402" s="1"/>
      <c r="C402" s="24" t="str">
        <f aca="false">IF(B402="","",IFERROR(INDEX(Patients!$B$2:$B$501,MATCH(B402,Patients!$A$2:$A$501,0))&amp;"",""))</f>
        <v/>
      </c>
      <c r="D402" s="1"/>
      <c r="E402" s="1"/>
      <c r="F402" s="28"/>
      <c r="G402" s="1"/>
      <c r="H402" s="1"/>
      <c r="I402" s="29"/>
      <c r="J402" s="20" t="str">
        <f aca="false">IF(D402="","",IFERROR(INDEX(Settings!$D$36:$D$45,MATCH(D402,Settings!$A$36:$A$45,0)),0))</f>
        <v/>
      </c>
      <c r="K402" s="20" t="str">
        <f aca="false">IF(J402="","",IF(H402="",J402,J402*(1-IF(I402="",Settings!$B$6,I402))))</f>
        <v/>
      </c>
      <c r="L402" s="20" t="str">
        <f aca="false">IF(OR(J402="",H402=""),"",J402-K402)</f>
        <v/>
      </c>
      <c r="M402" s="1"/>
    </row>
    <row r="403" customFormat="false" ht="15" hidden="false" customHeight="false" outlineLevel="0" collapsed="false">
      <c r="A403" s="27"/>
      <c r="B403" s="1"/>
      <c r="C403" s="24" t="str">
        <f aca="false">IF(B403="","",IFERROR(INDEX(Patients!$B$2:$B$501,MATCH(B403,Patients!$A$2:$A$501,0))&amp;"",""))</f>
        <v/>
      </c>
      <c r="D403" s="1"/>
      <c r="E403" s="1"/>
      <c r="F403" s="28"/>
      <c r="G403" s="1"/>
      <c r="H403" s="1"/>
      <c r="I403" s="29"/>
      <c r="J403" s="20" t="str">
        <f aca="false">IF(D403="","",IFERROR(INDEX(Settings!$D$36:$D$45,MATCH(D403,Settings!$A$36:$A$45,0)),0))</f>
        <v/>
      </c>
      <c r="K403" s="20" t="str">
        <f aca="false">IF(J403="","",IF(H403="",J403,J403*(1-IF(I403="",Settings!$B$6,I403))))</f>
        <v/>
      </c>
      <c r="L403" s="20" t="str">
        <f aca="false">IF(OR(J403="",H403=""),"",J403-K403)</f>
        <v/>
      </c>
      <c r="M403" s="1"/>
    </row>
    <row r="404" customFormat="false" ht="15" hidden="false" customHeight="false" outlineLevel="0" collapsed="false">
      <c r="A404" s="27"/>
      <c r="B404" s="1"/>
      <c r="C404" s="24" t="str">
        <f aca="false">IF(B404="","",IFERROR(INDEX(Patients!$B$2:$B$501,MATCH(B404,Patients!$A$2:$A$501,0))&amp;"",""))</f>
        <v/>
      </c>
      <c r="D404" s="1"/>
      <c r="E404" s="1"/>
      <c r="F404" s="28"/>
      <c r="G404" s="1"/>
      <c r="H404" s="1"/>
      <c r="I404" s="29"/>
      <c r="J404" s="20" t="str">
        <f aca="false">IF(D404="","",IFERROR(INDEX(Settings!$D$36:$D$45,MATCH(D404,Settings!$A$36:$A$45,0)),0))</f>
        <v/>
      </c>
      <c r="K404" s="20" t="str">
        <f aca="false">IF(J404="","",IF(H404="",J404,J404*(1-IF(I404="",Settings!$B$6,I404))))</f>
        <v/>
      </c>
      <c r="L404" s="20" t="str">
        <f aca="false">IF(OR(J404="",H404=""),"",J404-K404)</f>
        <v/>
      </c>
      <c r="M404" s="1"/>
    </row>
    <row r="405" customFormat="false" ht="15" hidden="false" customHeight="false" outlineLevel="0" collapsed="false">
      <c r="A405" s="27"/>
      <c r="B405" s="1"/>
      <c r="C405" s="24" t="str">
        <f aca="false">IF(B405="","",IFERROR(INDEX(Patients!$B$2:$B$501,MATCH(B405,Patients!$A$2:$A$501,0))&amp;"",""))</f>
        <v/>
      </c>
      <c r="D405" s="1"/>
      <c r="E405" s="1"/>
      <c r="F405" s="28"/>
      <c r="G405" s="1"/>
      <c r="H405" s="1"/>
      <c r="I405" s="29"/>
      <c r="J405" s="20" t="str">
        <f aca="false">IF(D405="","",IFERROR(INDEX(Settings!$D$36:$D$45,MATCH(D405,Settings!$A$36:$A$45,0)),0))</f>
        <v/>
      </c>
      <c r="K405" s="20" t="str">
        <f aca="false">IF(J405="","",IF(H405="",J405,J405*(1-IF(I405="",Settings!$B$6,I405))))</f>
        <v/>
      </c>
      <c r="L405" s="20" t="str">
        <f aca="false">IF(OR(J405="",H405=""),"",J405-K405)</f>
        <v/>
      </c>
      <c r="M405" s="1"/>
    </row>
    <row r="406" customFormat="false" ht="15" hidden="false" customHeight="false" outlineLevel="0" collapsed="false">
      <c r="A406" s="27"/>
      <c r="B406" s="1"/>
      <c r="C406" s="24" t="str">
        <f aca="false">IF(B406="","",IFERROR(INDEX(Patients!$B$2:$B$501,MATCH(B406,Patients!$A$2:$A$501,0))&amp;"",""))</f>
        <v/>
      </c>
      <c r="D406" s="1"/>
      <c r="E406" s="1"/>
      <c r="F406" s="28"/>
      <c r="G406" s="1"/>
      <c r="H406" s="1"/>
      <c r="I406" s="29"/>
      <c r="J406" s="20" t="str">
        <f aca="false">IF(D406="","",IFERROR(INDEX(Settings!$D$36:$D$45,MATCH(D406,Settings!$A$36:$A$45,0)),0))</f>
        <v/>
      </c>
      <c r="K406" s="20" t="str">
        <f aca="false">IF(J406="","",IF(H406="",J406,J406*(1-IF(I406="",Settings!$B$6,I406))))</f>
        <v/>
      </c>
      <c r="L406" s="20" t="str">
        <f aca="false">IF(OR(J406="",H406=""),"",J406-K406)</f>
        <v/>
      </c>
      <c r="M406" s="1"/>
    </row>
    <row r="407" customFormat="false" ht="15" hidden="false" customHeight="false" outlineLevel="0" collapsed="false">
      <c r="A407" s="27"/>
      <c r="B407" s="1"/>
      <c r="C407" s="24" t="str">
        <f aca="false">IF(B407="","",IFERROR(INDEX(Patients!$B$2:$B$501,MATCH(B407,Patients!$A$2:$A$501,0))&amp;"",""))</f>
        <v/>
      </c>
      <c r="D407" s="1"/>
      <c r="E407" s="1"/>
      <c r="F407" s="28"/>
      <c r="G407" s="1"/>
      <c r="H407" s="1"/>
      <c r="I407" s="29"/>
      <c r="J407" s="20" t="str">
        <f aca="false">IF(D407="","",IFERROR(INDEX(Settings!$D$36:$D$45,MATCH(D407,Settings!$A$36:$A$45,0)),0))</f>
        <v/>
      </c>
      <c r="K407" s="20" t="str">
        <f aca="false">IF(J407="","",IF(H407="",J407,J407*(1-IF(I407="",Settings!$B$6,I407))))</f>
        <v/>
      </c>
      <c r="L407" s="20" t="str">
        <f aca="false">IF(OR(J407="",H407=""),"",J407-K407)</f>
        <v/>
      </c>
      <c r="M407" s="1"/>
    </row>
    <row r="408" customFormat="false" ht="15" hidden="false" customHeight="false" outlineLevel="0" collapsed="false">
      <c r="A408" s="27"/>
      <c r="B408" s="1"/>
      <c r="C408" s="24" t="str">
        <f aca="false">IF(B408="","",IFERROR(INDEX(Patients!$B$2:$B$501,MATCH(B408,Patients!$A$2:$A$501,0))&amp;"",""))</f>
        <v/>
      </c>
      <c r="D408" s="1"/>
      <c r="E408" s="1"/>
      <c r="F408" s="28"/>
      <c r="G408" s="1"/>
      <c r="H408" s="1"/>
      <c r="I408" s="29"/>
      <c r="J408" s="20" t="str">
        <f aca="false">IF(D408="","",IFERROR(INDEX(Settings!$D$36:$D$45,MATCH(D408,Settings!$A$36:$A$45,0)),0))</f>
        <v/>
      </c>
      <c r="K408" s="20" t="str">
        <f aca="false">IF(J408="","",IF(H408="",J408,J408*(1-IF(I408="",Settings!$B$6,I408))))</f>
        <v/>
      </c>
      <c r="L408" s="20" t="str">
        <f aca="false">IF(OR(J408="",H408=""),"",J408-K408)</f>
        <v/>
      </c>
      <c r="M408" s="1"/>
    </row>
    <row r="409" customFormat="false" ht="15" hidden="false" customHeight="false" outlineLevel="0" collapsed="false">
      <c r="A409" s="27"/>
      <c r="B409" s="1"/>
      <c r="C409" s="24" t="str">
        <f aca="false">IF(B409="","",IFERROR(INDEX(Patients!$B$2:$B$501,MATCH(B409,Patients!$A$2:$A$501,0))&amp;"",""))</f>
        <v/>
      </c>
      <c r="D409" s="1"/>
      <c r="E409" s="1"/>
      <c r="F409" s="28"/>
      <c r="G409" s="1"/>
      <c r="H409" s="1"/>
      <c r="I409" s="29"/>
      <c r="J409" s="20" t="str">
        <f aca="false">IF(D409="","",IFERROR(INDEX(Settings!$D$36:$D$45,MATCH(D409,Settings!$A$36:$A$45,0)),0))</f>
        <v/>
      </c>
      <c r="K409" s="20" t="str">
        <f aca="false">IF(J409="","",IF(H409="",J409,J409*(1-IF(I409="",Settings!$B$6,I409))))</f>
        <v/>
      </c>
      <c r="L409" s="20" t="str">
        <f aca="false">IF(OR(J409="",H409=""),"",J409-K409)</f>
        <v/>
      </c>
      <c r="M409" s="1"/>
    </row>
    <row r="410" customFormat="false" ht="15" hidden="false" customHeight="false" outlineLevel="0" collapsed="false">
      <c r="A410" s="27"/>
      <c r="B410" s="1"/>
      <c r="C410" s="24" t="str">
        <f aca="false">IF(B410="","",IFERROR(INDEX(Patients!$B$2:$B$501,MATCH(B410,Patients!$A$2:$A$501,0))&amp;"",""))</f>
        <v/>
      </c>
      <c r="D410" s="1"/>
      <c r="E410" s="1"/>
      <c r="F410" s="28"/>
      <c r="G410" s="1"/>
      <c r="H410" s="1"/>
      <c r="I410" s="29"/>
      <c r="J410" s="20" t="str">
        <f aca="false">IF(D410="","",IFERROR(INDEX(Settings!$D$36:$D$45,MATCH(D410,Settings!$A$36:$A$45,0)),0))</f>
        <v/>
      </c>
      <c r="K410" s="20" t="str">
        <f aca="false">IF(J410="","",IF(H410="",J410,J410*(1-IF(I410="",Settings!$B$6,I410))))</f>
        <v/>
      </c>
      <c r="L410" s="20" t="str">
        <f aca="false">IF(OR(J410="",H410=""),"",J410-K410)</f>
        <v/>
      </c>
      <c r="M410" s="1"/>
    </row>
    <row r="411" customFormat="false" ht="15" hidden="false" customHeight="false" outlineLevel="0" collapsed="false">
      <c r="A411" s="27"/>
      <c r="B411" s="1"/>
      <c r="C411" s="24" t="str">
        <f aca="false">IF(B411="","",IFERROR(INDEX(Patients!$B$2:$B$501,MATCH(B411,Patients!$A$2:$A$501,0))&amp;"",""))</f>
        <v/>
      </c>
      <c r="D411" s="1"/>
      <c r="E411" s="1"/>
      <c r="F411" s="28"/>
      <c r="G411" s="1"/>
      <c r="H411" s="1"/>
      <c r="I411" s="29"/>
      <c r="J411" s="20" t="str">
        <f aca="false">IF(D411="","",IFERROR(INDEX(Settings!$D$36:$D$45,MATCH(D411,Settings!$A$36:$A$45,0)),0))</f>
        <v/>
      </c>
      <c r="K411" s="20" t="str">
        <f aca="false">IF(J411="","",IF(H411="",J411,J411*(1-IF(I411="",Settings!$B$6,I411))))</f>
        <v/>
      </c>
      <c r="L411" s="20" t="str">
        <f aca="false">IF(OR(J411="",H411=""),"",J411-K411)</f>
        <v/>
      </c>
      <c r="M411" s="1"/>
    </row>
    <row r="412" customFormat="false" ht="15" hidden="false" customHeight="false" outlineLevel="0" collapsed="false">
      <c r="A412" s="27"/>
      <c r="B412" s="1"/>
      <c r="C412" s="24" t="str">
        <f aca="false">IF(B412="","",IFERROR(INDEX(Patients!$B$2:$B$501,MATCH(B412,Patients!$A$2:$A$501,0))&amp;"",""))</f>
        <v/>
      </c>
      <c r="D412" s="1"/>
      <c r="E412" s="1"/>
      <c r="F412" s="28"/>
      <c r="G412" s="1"/>
      <c r="H412" s="1"/>
      <c r="I412" s="29"/>
      <c r="J412" s="20" t="str">
        <f aca="false">IF(D412="","",IFERROR(INDEX(Settings!$D$36:$D$45,MATCH(D412,Settings!$A$36:$A$45,0)),0))</f>
        <v/>
      </c>
      <c r="K412" s="20" t="str">
        <f aca="false">IF(J412="","",IF(H412="",J412,J412*(1-IF(I412="",Settings!$B$6,I412))))</f>
        <v/>
      </c>
      <c r="L412" s="20" t="str">
        <f aca="false">IF(OR(J412="",H412=""),"",J412-K412)</f>
        <v/>
      </c>
      <c r="M412" s="1"/>
    </row>
    <row r="413" customFormat="false" ht="15" hidden="false" customHeight="false" outlineLevel="0" collapsed="false">
      <c r="A413" s="27"/>
      <c r="B413" s="1"/>
      <c r="C413" s="24" t="str">
        <f aca="false">IF(B413="","",IFERROR(INDEX(Patients!$B$2:$B$501,MATCH(B413,Patients!$A$2:$A$501,0))&amp;"",""))</f>
        <v/>
      </c>
      <c r="D413" s="1"/>
      <c r="E413" s="1"/>
      <c r="F413" s="28"/>
      <c r="G413" s="1"/>
      <c r="H413" s="1"/>
      <c r="I413" s="29"/>
      <c r="J413" s="20" t="str">
        <f aca="false">IF(D413="","",IFERROR(INDEX(Settings!$D$36:$D$45,MATCH(D413,Settings!$A$36:$A$45,0)),0))</f>
        <v/>
      </c>
      <c r="K413" s="20" t="str">
        <f aca="false">IF(J413="","",IF(H413="",J413,J413*(1-IF(I413="",Settings!$B$6,I413))))</f>
        <v/>
      </c>
      <c r="L413" s="20" t="str">
        <f aca="false">IF(OR(J413="",H413=""),"",J413-K413)</f>
        <v/>
      </c>
      <c r="M413" s="1"/>
    </row>
    <row r="414" customFormat="false" ht="15" hidden="false" customHeight="false" outlineLevel="0" collapsed="false">
      <c r="A414" s="27"/>
      <c r="B414" s="1"/>
      <c r="C414" s="24" t="str">
        <f aca="false">IF(B414="","",IFERROR(INDEX(Patients!$B$2:$B$501,MATCH(B414,Patients!$A$2:$A$501,0))&amp;"",""))</f>
        <v/>
      </c>
      <c r="D414" s="1"/>
      <c r="E414" s="1"/>
      <c r="F414" s="28"/>
      <c r="G414" s="1"/>
      <c r="H414" s="1"/>
      <c r="I414" s="29"/>
      <c r="J414" s="20" t="str">
        <f aca="false">IF(D414="","",IFERROR(INDEX(Settings!$D$36:$D$45,MATCH(D414,Settings!$A$36:$A$45,0)),0))</f>
        <v/>
      </c>
      <c r="K414" s="20" t="str">
        <f aca="false">IF(J414="","",IF(H414="",J414,J414*(1-IF(I414="",Settings!$B$6,I414))))</f>
        <v/>
      </c>
      <c r="L414" s="20" t="str">
        <f aca="false">IF(OR(J414="",H414=""),"",J414-K414)</f>
        <v/>
      </c>
      <c r="M414" s="1"/>
    </row>
    <row r="415" customFormat="false" ht="15" hidden="false" customHeight="false" outlineLevel="0" collapsed="false">
      <c r="A415" s="27"/>
      <c r="B415" s="1"/>
      <c r="C415" s="24" t="str">
        <f aca="false">IF(B415="","",IFERROR(INDEX(Patients!$B$2:$B$501,MATCH(B415,Patients!$A$2:$A$501,0))&amp;"",""))</f>
        <v/>
      </c>
      <c r="D415" s="1"/>
      <c r="E415" s="1"/>
      <c r="F415" s="28"/>
      <c r="G415" s="1"/>
      <c r="H415" s="1"/>
      <c r="I415" s="29"/>
      <c r="J415" s="20" t="str">
        <f aca="false">IF(D415="","",IFERROR(INDEX(Settings!$D$36:$D$45,MATCH(D415,Settings!$A$36:$A$45,0)),0))</f>
        <v/>
      </c>
      <c r="K415" s="20" t="str">
        <f aca="false">IF(J415="","",IF(H415="",J415,J415*(1-IF(I415="",Settings!$B$6,I415))))</f>
        <v/>
      </c>
      <c r="L415" s="20" t="str">
        <f aca="false">IF(OR(J415="",H415=""),"",J415-K415)</f>
        <v/>
      </c>
      <c r="M415" s="1"/>
    </row>
    <row r="416" customFormat="false" ht="15" hidden="false" customHeight="false" outlineLevel="0" collapsed="false">
      <c r="A416" s="27"/>
      <c r="B416" s="1"/>
      <c r="C416" s="24" t="str">
        <f aca="false">IF(B416="","",IFERROR(INDEX(Patients!$B$2:$B$501,MATCH(B416,Patients!$A$2:$A$501,0))&amp;"",""))</f>
        <v/>
      </c>
      <c r="D416" s="1"/>
      <c r="E416" s="1"/>
      <c r="F416" s="28"/>
      <c r="G416" s="1"/>
      <c r="H416" s="1"/>
      <c r="I416" s="29"/>
      <c r="J416" s="20" t="str">
        <f aca="false">IF(D416="","",IFERROR(INDEX(Settings!$D$36:$D$45,MATCH(D416,Settings!$A$36:$A$45,0)),0))</f>
        <v/>
      </c>
      <c r="K416" s="20" t="str">
        <f aca="false">IF(J416="","",IF(H416="",J416,J416*(1-IF(I416="",Settings!$B$6,I416))))</f>
        <v/>
      </c>
      <c r="L416" s="20" t="str">
        <f aca="false">IF(OR(J416="",H416=""),"",J416-K416)</f>
        <v/>
      </c>
      <c r="M416" s="1"/>
    </row>
    <row r="417" customFormat="false" ht="15" hidden="false" customHeight="false" outlineLevel="0" collapsed="false">
      <c r="A417" s="27"/>
      <c r="B417" s="1"/>
      <c r="C417" s="24" t="str">
        <f aca="false">IF(B417="","",IFERROR(INDEX(Patients!$B$2:$B$501,MATCH(B417,Patients!$A$2:$A$501,0))&amp;"",""))</f>
        <v/>
      </c>
      <c r="D417" s="1"/>
      <c r="E417" s="1"/>
      <c r="F417" s="28"/>
      <c r="G417" s="1"/>
      <c r="H417" s="1"/>
      <c r="I417" s="29"/>
      <c r="J417" s="20" t="str">
        <f aca="false">IF(D417="","",IFERROR(INDEX(Settings!$D$36:$D$45,MATCH(D417,Settings!$A$36:$A$45,0)),0))</f>
        <v/>
      </c>
      <c r="K417" s="20" t="str">
        <f aca="false">IF(J417="","",IF(H417="",J417,J417*(1-IF(I417="",Settings!$B$6,I417))))</f>
        <v/>
      </c>
      <c r="L417" s="20" t="str">
        <f aca="false">IF(OR(J417="",H417=""),"",J417-K417)</f>
        <v/>
      </c>
      <c r="M417" s="1"/>
    </row>
    <row r="418" customFormat="false" ht="15" hidden="false" customHeight="false" outlineLevel="0" collapsed="false">
      <c r="A418" s="27"/>
      <c r="B418" s="1"/>
      <c r="C418" s="24" t="str">
        <f aca="false">IF(B418="","",IFERROR(INDEX(Patients!$B$2:$B$501,MATCH(B418,Patients!$A$2:$A$501,0))&amp;"",""))</f>
        <v/>
      </c>
      <c r="D418" s="1"/>
      <c r="E418" s="1"/>
      <c r="F418" s="28"/>
      <c r="G418" s="1"/>
      <c r="H418" s="1"/>
      <c r="I418" s="29"/>
      <c r="J418" s="20" t="str">
        <f aca="false">IF(D418="","",IFERROR(INDEX(Settings!$D$36:$D$45,MATCH(D418,Settings!$A$36:$A$45,0)),0))</f>
        <v/>
      </c>
      <c r="K418" s="20" t="str">
        <f aca="false">IF(J418="","",IF(H418="",J418,J418*(1-IF(I418="",Settings!$B$6,I418))))</f>
        <v/>
      </c>
      <c r="L418" s="20" t="str">
        <f aca="false">IF(OR(J418="",H418=""),"",J418-K418)</f>
        <v/>
      </c>
      <c r="M418" s="1"/>
    </row>
    <row r="419" customFormat="false" ht="15" hidden="false" customHeight="false" outlineLevel="0" collapsed="false">
      <c r="A419" s="27"/>
      <c r="B419" s="1"/>
      <c r="C419" s="24" t="str">
        <f aca="false">IF(B419="","",IFERROR(INDEX(Patients!$B$2:$B$501,MATCH(B419,Patients!$A$2:$A$501,0))&amp;"",""))</f>
        <v/>
      </c>
      <c r="D419" s="1"/>
      <c r="E419" s="1"/>
      <c r="F419" s="28"/>
      <c r="G419" s="1"/>
      <c r="H419" s="1"/>
      <c r="I419" s="29"/>
      <c r="J419" s="20" t="str">
        <f aca="false">IF(D419="","",IFERROR(INDEX(Settings!$D$36:$D$45,MATCH(D419,Settings!$A$36:$A$45,0)),0))</f>
        <v/>
      </c>
      <c r="K419" s="20" t="str">
        <f aca="false">IF(J419="","",IF(H419="",J419,J419*(1-IF(I419="",Settings!$B$6,I419))))</f>
        <v/>
      </c>
      <c r="L419" s="20" t="str">
        <f aca="false">IF(OR(J419="",H419=""),"",J419-K419)</f>
        <v/>
      </c>
      <c r="M419" s="1"/>
    </row>
    <row r="420" customFormat="false" ht="15" hidden="false" customHeight="false" outlineLevel="0" collapsed="false">
      <c r="A420" s="27"/>
      <c r="B420" s="1"/>
      <c r="C420" s="24" t="str">
        <f aca="false">IF(B420="","",IFERROR(INDEX(Patients!$B$2:$B$501,MATCH(B420,Patients!$A$2:$A$501,0))&amp;"",""))</f>
        <v/>
      </c>
      <c r="D420" s="1"/>
      <c r="E420" s="1"/>
      <c r="F420" s="28"/>
      <c r="G420" s="1"/>
      <c r="H420" s="1"/>
      <c r="I420" s="29"/>
      <c r="J420" s="20" t="str">
        <f aca="false">IF(D420="","",IFERROR(INDEX(Settings!$D$36:$D$45,MATCH(D420,Settings!$A$36:$A$45,0)),0))</f>
        <v/>
      </c>
      <c r="K420" s="20" t="str">
        <f aca="false">IF(J420="","",IF(H420="",J420,J420*(1-IF(I420="",Settings!$B$6,I420))))</f>
        <v/>
      </c>
      <c r="L420" s="20" t="str">
        <f aca="false">IF(OR(J420="",H420=""),"",J420-K420)</f>
        <v/>
      </c>
      <c r="M420" s="1"/>
    </row>
    <row r="421" customFormat="false" ht="15" hidden="false" customHeight="false" outlineLevel="0" collapsed="false">
      <c r="A421" s="27"/>
      <c r="B421" s="1"/>
      <c r="C421" s="24" t="str">
        <f aca="false">IF(B421="","",IFERROR(INDEX(Patients!$B$2:$B$501,MATCH(B421,Patients!$A$2:$A$501,0))&amp;"",""))</f>
        <v/>
      </c>
      <c r="D421" s="1"/>
      <c r="E421" s="1"/>
      <c r="F421" s="28"/>
      <c r="G421" s="1"/>
      <c r="H421" s="1"/>
      <c r="I421" s="29"/>
      <c r="J421" s="20" t="str">
        <f aca="false">IF(D421="","",IFERROR(INDEX(Settings!$D$36:$D$45,MATCH(D421,Settings!$A$36:$A$45,0)),0))</f>
        <v/>
      </c>
      <c r="K421" s="20" t="str">
        <f aca="false">IF(J421="","",IF(H421="",J421,J421*(1-IF(I421="",Settings!$B$6,I421))))</f>
        <v/>
      </c>
      <c r="L421" s="20" t="str">
        <f aca="false">IF(OR(J421="",H421=""),"",J421-K421)</f>
        <v/>
      </c>
      <c r="M421" s="1"/>
    </row>
    <row r="422" customFormat="false" ht="15" hidden="false" customHeight="false" outlineLevel="0" collapsed="false">
      <c r="A422" s="27"/>
      <c r="B422" s="1"/>
      <c r="C422" s="24" t="str">
        <f aca="false">IF(B422="","",IFERROR(INDEX(Patients!$B$2:$B$501,MATCH(B422,Patients!$A$2:$A$501,0))&amp;"",""))</f>
        <v/>
      </c>
      <c r="D422" s="1"/>
      <c r="E422" s="1"/>
      <c r="F422" s="28"/>
      <c r="G422" s="1"/>
      <c r="H422" s="1"/>
      <c r="I422" s="29"/>
      <c r="J422" s="20" t="str">
        <f aca="false">IF(D422="","",IFERROR(INDEX(Settings!$D$36:$D$45,MATCH(D422,Settings!$A$36:$A$45,0)),0))</f>
        <v/>
      </c>
      <c r="K422" s="20" t="str">
        <f aca="false">IF(J422="","",IF(H422="",J422,J422*(1-IF(I422="",Settings!$B$6,I422))))</f>
        <v/>
      </c>
      <c r="L422" s="20" t="str">
        <f aca="false">IF(OR(J422="",H422=""),"",J422-K422)</f>
        <v/>
      </c>
      <c r="M422" s="1"/>
    </row>
    <row r="423" customFormat="false" ht="15" hidden="false" customHeight="false" outlineLevel="0" collapsed="false">
      <c r="A423" s="27"/>
      <c r="B423" s="1"/>
      <c r="C423" s="24" t="str">
        <f aca="false">IF(B423="","",IFERROR(INDEX(Patients!$B$2:$B$501,MATCH(B423,Patients!$A$2:$A$501,0))&amp;"",""))</f>
        <v/>
      </c>
      <c r="D423" s="1"/>
      <c r="E423" s="1"/>
      <c r="F423" s="28"/>
      <c r="G423" s="1"/>
      <c r="H423" s="1"/>
      <c r="I423" s="29"/>
      <c r="J423" s="20" t="str">
        <f aca="false">IF(D423="","",IFERROR(INDEX(Settings!$D$36:$D$45,MATCH(D423,Settings!$A$36:$A$45,0)),0))</f>
        <v/>
      </c>
      <c r="K423" s="20" t="str">
        <f aca="false">IF(J423="","",IF(H423="",J423,J423*(1-IF(I423="",Settings!$B$6,I423))))</f>
        <v/>
      </c>
      <c r="L423" s="20" t="str">
        <f aca="false">IF(OR(J423="",H423=""),"",J423-K423)</f>
        <v/>
      </c>
      <c r="M423" s="1"/>
    </row>
    <row r="424" customFormat="false" ht="15" hidden="false" customHeight="false" outlineLevel="0" collapsed="false">
      <c r="A424" s="27"/>
      <c r="B424" s="1"/>
      <c r="C424" s="24" t="str">
        <f aca="false">IF(B424="","",IFERROR(INDEX(Patients!$B$2:$B$501,MATCH(B424,Patients!$A$2:$A$501,0))&amp;"",""))</f>
        <v/>
      </c>
      <c r="D424" s="1"/>
      <c r="E424" s="1"/>
      <c r="F424" s="28"/>
      <c r="G424" s="1"/>
      <c r="H424" s="1"/>
      <c r="I424" s="29"/>
      <c r="J424" s="20" t="str">
        <f aca="false">IF(D424="","",IFERROR(INDEX(Settings!$D$36:$D$45,MATCH(D424,Settings!$A$36:$A$45,0)),0))</f>
        <v/>
      </c>
      <c r="K424" s="20" t="str">
        <f aca="false">IF(J424="","",IF(H424="",J424,J424*(1-IF(I424="",Settings!$B$6,I424))))</f>
        <v/>
      </c>
      <c r="L424" s="20" t="str">
        <f aca="false">IF(OR(J424="",H424=""),"",J424-K424)</f>
        <v/>
      </c>
      <c r="M424" s="1"/>
    </row>
    <row r="425" customFormat="false" ht="15" hidden="false" customHeight="false" outlineLevel="0" collapsed="false">
      <c r="A425" s="27"/>
      <c r="B425" s="1"/>
      <c r="C425" s="24" t="str">
        <f aca="false">IF(B425="","",IFERROR(INDEX(Patients!$B$2:$B$501,MATCH(B425,Patients!$A$2:$A$501,0))&amp;"",""))</f>
        <v/>
      </c>
      <c r="D425" s="1"/>
      <c r="E425" s="1"/>
      <c r="F425" s="28"/>
      <c r="G425" s="1"/>
      <c r="H425" s="1"/>
      <c r="I425" s="29"/>
      <c r="J425" s="20" t="str">
        <f aca="false">IF(D425="","",IFERROR(INDEX(Settings!$D$36:$D$45,MATCH(D425,Settings!$A$36:$A$45,0)),0))</f>
        <v/>
      </c>
      <c r="K425" s="20" t="str">
        <f aca="false">IF(J425="","",IF(H425="",J425,J425*(1-IF(I425="",Settings!$B$6,I425))))</f>
        <v/>
      </c>
      <c r="L425" s="20" t="str">
        <f aca="false">IF(OR(J425="",H425=""),"",J425-K425)</f>
        <v/>
      </c>
      <c r="M425" s="1"/>
    </row>
    <row r="426" customFormat="false" ht="15" hidden="false" customHeight="false" outlineLevel="0" collapsed="false">
      <c r="A426" s="27"/>
      <c r="B426" s="1"/>
      <c r="C426" s="24" t="str">
        <f aca="false">IF(B426="","",IFERROR(INDEX(Patients!$B$2:$B$501,MATCH(B426,Patients!$A$2:$A$501,0))&amp;"",""))</f>
        <v/>
      </c>
      <c r="D426" s="1"/>
      <c r="E426" s="1"/>
      <c r="F426" s="28"/>
      <c r="G426" s="1"/>
      <c r="H426" s="1"/>
      <c r="I426" s="29"/>
      <c r="J426" s="20" t="str">
        <f aca="false">IF(D426="","",IFERROR(INDEX(Settings!$D$36:$D$45,MATCH(D426,Settings!$A$36:$A$45,0)),0))</f>
        <v/>
      </c>
      <c r="K426" s="20" t="str">
        <f aca="false">IF(J426="","",IF(H426="",J426,J426*(1-IF(I426="",Settings!$B$6,I426))))</f>
        <v/>
      </c>
      <c r="L426" s="20" t="str">
        <f aca="false">IF(OR(J426="",H426=""),"",J426-K426)</f>
        <v/>
      </c>
      <c r="M426" s="1"/>
    </row>
    <row r="427" customFormat="false" ht="15" hidden="false" customHeight="false" outlineLevel="0" collapsed="false">
      <c r="A427" s="27"/>
      <c r="B427" s="1"/>
      <c r="C427" s="24" t="str">
        <f aca="false">IF(B427="","",IFERROR(INDEX(Patients!$B$2:$B$501,MATCH(B427,Patients!$A$2:$A$501,0))&amp;"",""))</f>
        <v/>
      </c>
      <c r="D427" s="1"/>
      <c r="E427" s="1"/>
      <c r="F427" s="28"/>
      <c r="G427" s="1"/>
      <c r="H427" s="1"/>
      <c r="I427" s="29"/>
      <c r="J427" s="20" t="str">
        <f aca="false">IF(D427="","",IFERROR(INDEX(Settings!$D$36:$D$45,MATCH(D427,Settings!$A$36:$A$45,0)),0))</f>
        <v/>
      </c>
      <c r="K427" s="20" t="str">
        <f aca="false">IF(J427="","",IF(H427="",J427,J427*(1-IF(I427="",Settings!$B$6,I427))))</f>
        <v/>
      </c>
      <c r="L427" s="20" t="str">
        <f aca="false">IF(OR(J427="",H427=""),"",J427-K427)</f>
        <v/>
      </c>
      <c r="M427" s="1"/>
    </row>
    <row r="428" customFormat="false" ht="15" hidden="false" customHeight="false" outlineLevel="0" collapsed="false">
      <c r="A428" s="27"/>
      <c r="B428" s="1"/>
      <c r="C428" s="24" t="str">
        <f aca="false">IF(B428="","",IFERROR(INDEX(Patients!$B$2:$B$501,MATCH(B428,Patients!$A$2:$A$501,0))&amp;"",""))</f>
        <v/>
      </c>
      <c r="D428" s="1"/>
      <c r="E428" s="1"/>
      <c r="F428" s="28"/>
      <c r="G428" s="1"/>
      <c r="H428" s="1"/>
      <c r="I428" s="29"/>
      <c r="J428" s="20" t="str">
        <f aca="false">IF(D428="","",IFERROR(INDEX(Settings!$D$36:$D$45,MATCH(D428,Settings!$A$36:$A$45,0)),0))</f>
        <v/>
      </c>
      <c r="K428" s="20" t="str">
        <f aca="false">IF(J428="","",IF(H428="",J428,J428*(1-IF(I428="",Settings!$B$6,I428))))</f>
        <v/>
      </c>
      <c r="L428" s="20" t="str">
        <f aca="false">IF(OR(J428="",H428=""),"",J428-K428)</f>
        <v/>
      </c>
      <c r="M428" s="1"/>
    </row>
    <row r="429" customFormat="false" ht="15" hidden="false" customHeight="false" outlineLevel="0" collapsed="false">
      <c r="A429" s="27"/>
      <c r="B429" s="1"/>
      <c r="C429" s="24" t="str">
        <f aca="false">IF(B429="","",IFERROR(INDEX(Patients!$B$2:$B$501,MATCH(B429,Patients!$A$2:$A$501,0))&amp;"",""))</f>
        <v/>
      </c>
      <c r="D429" s="1"/>
      <c r="E429" s="1"/>
      <c r="F429" s="28"/>
      <c r="G429" s="1"/>
      <c r="H429" s="1"/>
      <c r="I429" s="29"/>
      <c r="J429" s="20" t="str">
        <f aca="false">IF(D429="","",IFERROR(INDEX(Settings!$D$36:$D$45,MATCH(D429,Settings!$A$36:$A$45,0)),0))</f>
        <v/>
      </c>
      <c r="K429" s="20" t="str">
        <f aca="false">IF(J429="","",IF(H429="",J429,J429*(1-IF(I429="",Settings!$B$6,I429))))</f>
        <v/>
      </c>
      <c r="L429" s="20" t="str">
        <f aca="false">IF(OR(J429="",H429=""),"",J429-K429)</f>
        <v/>
      </c>
      <c r="M429" s="1"/>
    </row>
    <row r="430" customFormat="false" ht="15" hidden="false" customHeight="false" outlineLevel="0" collapsed="false">
      <c r="A430" s="27"/>
      <c r="B430" s="1"/>
      <c r="C430" s="24" t="str">
        <f aca="false">IF(B430="","",IFERROR(INDEX(Patients!$B$2:$B$501,MATCH(B430,Patients!$A$2:$A$501,0))&amp;"",""))</f>
        <v/>
      </c>
      <c r="D430" s="1"/>
      <c r="E430" s="1"/>
      <c r="F430" s="28"/>
      <c r="G430" s="1"/>
      <c r="H430" s="1"/>
      <c r="I430" s="29"/>
      <c r="J430" s="20" t="str">
        <f aca="false">IF(D430="","",IFERROR(INDEX(Settings!$D$36:$D$45,MATCH(D430,Settings!$A$36:$A$45,0)),0))</f>
        <v/>
      </c>
      <c r="K430" s="20" t="str">
        <f aca="false">IF(J430="","",IF(H430="",J430,J430*(1-IF(I430="",Settings!$B$6,I430))))</f>
        <v/>
      </c>
      <c r="L430" s="20" t="str">
        <f aca="false">IF(OR(J430="",H430=""),"",J430-K430)</f>
        <v/>
      </c>
      <c r="M430" s="1"/>
    </row>
    <row r="431" customFormat="false" ht="15" hidden="false" customHeight="false" outlineLevel="0" collapsed="false">
      <c r="A431" s="27"/>
      <c r="B431" s="1"/>
      <c r="C431" s="24" t="str">
        <f aca="false">IF(B431="","",IFERROR(INDEX(Patients!$B$2:$B$501,MATCH(B431,Patients!$A$2:$A$501,0))&amp;"",""))</f>
        <v/>
      </c>
      <c r="D431" s="1"/>
      <c r="E431" s="1"/>
      <c r="F431" s="28"/>
      <c r="G431" s="1"/>
      <c r="H431" s="1"/>
      <c r="I431" s="29"/>
      <c r="J431" s="20" t="str">
        <f aca="false">IF(D431="","",IFERROR(INDEX(Settings!$D$36:$D$45,MATCH(D431,Settings!$A$36:$A$45,0)),0))</f>
        <v/>
      </c>
      <c r="K431" s="20" t="str">
        <f aca="false">IF(J431="","",IF(H431="",J431,J431*(1-IF(I431="",Settings!$B$6,I431))))</f>
        <v/>
      </c>
      <c r="L431" s="20" t="str">
        <f aca="false">IF(OR(J431="",H431=""),"",J431-K431)</f>
        <v/>
      </c>
      <c r="M431" s="1"/>
    </row>
    <row r="432" customFormat="false" ht="15" hidden="false" customHeight="false" outlineLevel="0" collapsed="false">
      <c r="A432" s="27"/>
      <c r="B432" s="1"/>
      <c r="C432" s="24" t="str">
        <f aca="false">IF(B432="","",IFERROR(INDEX(Patients!$B$2:$B$501,MATCH(B432,Patients!$A$2:$A$501,0))&amp;"",""))</f>
        <v/>
      </c>
      <c r="D432" s="1"/>
      <c r="E432" s="1"/>
      <c r="F432" s="28"/>
      <c r="G432" s="1"/>
      <c r="H432" s="1"/>
      <c r="I432" s="29"/>
      <c r="J432" s="20" t="str">
        <f aca="false">IF(D432="","",IFERROR(INDEX(Settings!$D$36:$D$45,MATCH(D432,Settings!$A$36:$A$45,0)),0))</f>
        <v/>
      </c>
      <c r="K432" s="20" t="str">
        <f aca="false">IF(J432="","",IF(H432="",J432,J432*(1-IF(I432="",Settings!$B$6,I432))))</f>
        <v/>
      </c>
      <c r="L432" s="20" t="str">
        <f aca="false">IF(OR(J432="",H432=""),"",J432-K432)</f>
        <v/>
      </c>
      <c r="M432" s="1"/>
    </row>
    <row r="433" customFormat="false" ht="15" hidden="false" customHeight="false" outlineLevel="0" collapsed="false">
      <c r="A433" s="27"/>
      <c r="B433" s="1"/>
      <c r="C433" s="24" t="str">
        <f aca="false">IF(B433="","",IFERROR(INDEX(Patients!$B$2:$B$501,MATCH(B433,Patients!$A$2:$A$501,0))&amp;"",""))</f>
        <v/>
      </c>
      <c r="D433" s="1"/>
      <c r="E433" s="1"/>
      <c r="F433" s="28"/>
      <c r="G433" s="1"/>
      <c r="H433" s="1"/>
      <c r="I433" s="29"/>
      <c r="J433" s="20" t="str">
        <f aca="false">IF(D433="","",IFERROR(INDEX(Settings!$D$36:$D$45,MATCH(D433,Settings!$A$36:$A$45,0)),0))</f>
        <v/>
      </c>
      <c r="K433" s="20" t="str">
        <f aca="false">IF(J433="","",IF(H433="",J433,J433*(1-IF(I433="",Settings!$B$6,I433))))</f>
        <v/>
      </c>
      <c r="L433" s="20" t="str">
        <f aca="false">IF(OR(J433="",H433=""),"",J433-K433)</f>
        <v/>
      </c>
      <c r="M433" s="1"/>
    </row>
    <row r="434" customFormat="false" ht="15" hidden="false" customHeight="false" outlineLevel="0" collapsed="false">
      <c r="A434" s="27"/>
      <c r="B434" s="1"/>
      <c r="C434" s="24" t="str">
        <f aca="false">IF(B434="","",IFERROR(INDEX(Patients!$B$2:$B$501,MATCH(B434,Patients!$A$2:$A$501,0))&amp;"",""))</f>
        <v/>
      </c>
      <c r="D434" s="1"/>
      <c r="E434" s="1"/>
      <c r="F434" s="28"/>
      <c r="G434" s="1"/>
      <c r="H434" s="1"/>
      <c r="I434" s="29"/>
      <c r="J434" s="20" t="str">
        <f aca="false">IF(D434="","",IFERROR(INDEX(Settings!$D$36:$D$45,MATCH(D434,Settings!$A$36:$A$45,0)),0))</f>
        <v/>
      </c>
      <c r="K434" s="20" t="str">
        <f aca="false">IF(J434="","",IF(H434="",J434,J434*(1-IF(I434="",Settings!$B$6,I434))))</f>
        <v/>
      </c>
      <c r="L434" s="20" t="str">
        <f aca="false">IF(OR(J434="",H434=""),"",J434-K434)</f>
        <v/>
      </c>
      <c r="M434" s="1"/>
    </row>
    <row r="435" customFormat="false" ht="15" hidden="false" customHeight="false" outlineLevel="0" collapsed="false">
      <c r="A435" s="27"/>
      <c r="B435" s="1"/>
      <c r="C435" s="24" t="str">
        <f aca="false">IF(B435="","",IFERROR(INDEX(Patients!$B$2:$B$501,MATCH(B435,Patients!$A$2:$A$501,0))&amp;"",""))</f>
        <v/>
      </c>
      <c r="D435" s="1"/>
      <c r="E435" s="1"/>
      <c r="F435" s="28"/>
      <c r="G435" s="1"/>
      <c r="H435" s="1"/>
      <c r="I435" s="29"/>
      <c r="J435" s="20" t="str">
        <f aca="false">IF(D435="","",IFERROR(INDEX(Settings!$D$36:$D$45,MATCH(D435,Settings!$A$36:$A$45,0)),0))</f>
        <v/>
      </c>
      <c r="K435" s="20" t="str">
        <f aca="false">IF(J435="","",IF(H435="",J435,J435*(1-IF(I435="",Settings!$B$6,I435))))</f>
        <v/>
      </c>
      <c r="L435" s="20" t="str">
        <f aca="false">IF(OR(J435="",H435=""),"",J435-K435)</f>
        <v/>
      </c>
      <c r="M435" s="1"/>
    </row>
    <row r="436" customFormat="false" ht="15" hidden="false" customHeight="false" outlineLevel="0" collapsed="false">
      <c r="A436" s="27"/>
      <c r="B436" s="1"/>
      <c r="C436" s="24" t="str">
        <f aca="false">IF(B436="","",IFERROR(INDEX(Patients!$B$2:$B$501,MATCH(B436,Patients!$A$2:$A$501,0))&amp;"",""))</f>
        <v/>
      </c>
      <c r="D436" s="1"/>
      <c r="E436" s="1"/>
      <c r="F436" s="28"/>
      <c r="G436" s="1"/>
      <c r="H436" s="1"/>
      <c r="I436" s="29"/>
      <c r="J436" s="20" t="str">
        <f aca="false">IF(D436="","",IFERROR(INDEX(Settings!$D$36:$D$45,MATCH(D436,Settings!$A$36:$A$45,0)),0))</f>
        <v/>
      </c>
      <c r="K436" s="20" t="str">
        <f aca="false">IF(J436="","",IF(H436="",J436,J436*(1-IF(I436="",Settings!$B$6,I436))))</f>
        <v/>
      </c>
      <c r="L436" s="20" t="str">
        <f aca="false">IF(OR(J436="",H436=""),"",J436-K436)</f>
        <v/>
      </c>
      <c r="M436" s="1"/>
    </row>
    <row r="437" customFormat="false" ht="15" hidden="false" customHeight="false" outlineLevel="0" collapsed="false">
      <c r="A437" s="27"/>
      <c r="B437" s="1"/>
      <c r="C437" s="24" t="str">
        <f aca="false">IF(B437="","",IFERROR(INDEX(Patients!$B$2:$B$501,MATCH(B437,Patients!$A$2:$A$501,0))&amp;"",""))</f>
        <v/>
      </c>
      <c r="D437" s="1"/>
      <c r="E437" s="1"/>
      <c r="F437" s="28"/>
      <c r="G437" s="1"/>
      <c r="H437" s="1"/>
      <c r="I437" s="29"/>
      <c r="J437" s="20" t="str">
        <f aca="false">IF(D437="","",IFERROR(INDEX(Settings!$D$36:$D$45,MATCH(D437,Settings!$A$36:$A$45,0)),0))</f>
        <v/>
      </c>
      <c r="K437" s="20" t="str">
        <f aca="false">IF(J437="","",IF(H437="",J437,J437*(1-IF(I437="",Settings!$B$6,I437))))</f>
        <v/>
      </c>
      <c r="L437" s="20" t="str">
        <f aca="false">IF(OR(J437="",H437=""),"",J437-K437)</f>
        <v/>
      </c>
      <c r="M437" s="1"/>
    </row>
    <row r="438" customFormat="false" ht="15" hidden="false" customHeight="false" outlineLevel="0" collapsed="false">
      <c r="A438" s="27"/>
      <c r="B438" s="1"/>
      <c r="C438" s="24" t="str">
        <f aca="false">IF(B438="","",IFERROR(INDEX(Patients!$B$2:$B$501,MATCH(B438,Patients!$A$2:$A$501,0))&amp;"",""))</f>
        <v/>
      </c>
      <c r="D438" s="1"/>
      <c r="E438" s="1"/>
      <c r="F438" s="28"/>
      <c r="G438" s="1"/>
      <c r="H438" s="1"/>
      <c r="I438" s="29"/>
      <c r="J438" s="20" t="str">
        <f aca="false">IF(D438="","",IFERROR(INDEX(Settings!$D$36:$D$45,MATCH(D438,Settings!$A$36:$A$45,0)),0))</f>
        <v/>
      </c>
      <c r="K438" s="20" t="str">
        <f aca="false">IF(J438="","",IF(H438="",J438,J438*(1-IF(I438="",Settings!$B$6,I438))))</f>
        <v/>
      </c>
      <c r="L438" s="20" t="str">
        <f aca="false">IF(OR(J438="",H438=""),"",J438-K438)</f>
        <v/>
      </c>
      <c r="M438" s="1"/>
    </row>
    <row r="439" customFormat="false" ht="15" hidden="false" customHeight="false" outlineLevel="0" collapsed="false">
      <c r="A439" s="27"/>
      <c r="B439" s="1"/>
      <c r="C439" s="24" t="str">
        <f aca="false">IF(B439="","",IFERROR(INDEX(Patients!$B$2:$B$501,MATCH(B439,Patients!$A$2:$A$501,0))&amp;"",""))</f>
        <v/>
      </c>
      <c r="D439" s="1"/>
      <c r="E439" s="1"/>
      <c r="F439" s="28"/>
      <c r="G439" s="1"/>
      <c r="H439" s="1"/>
      <c r="I439" s="29"/>
      <c r="J439" s="20" t="str">
        <f aca="false">IF(D439="","",IFERROR(INDEX(Settings!$D$36:$D$45,MATCH(D439,Settings!$A$36:$A$45,0)),0))</f>
        <v/>
      </c>
      <c r="K439" s="20" t="str">
        <f aca="false">IF(J439="","",IF(H439="",J439,J439*(1-IF(I439="",Settings!$B$6,I439))))</f>
        <v/>
      </c>
      <c r="L439" s="20" t="str">
        <f aca="false">IF(OR(J439="",H439=""),"",J439-K439)</f>
        <v/>
      </c>
      <c r="M439" s="1"/>
    </row>
    <row r="440" customFormat="false" ht="15" hidden="false" customHeight="false" outlineLevel="0" collapsed="false">
      <c r="A440" s="27"/>
      <c r="B440" s="1"/>
      <c r="C440" s="24" t="str">
        <f aca="false">IF(B440="","",IFERROR(INDEX(Patients!$B$2:$B$501,MATCH(B440,Patients!$A$2:$A$501,0))&amp;"",""))</f>
        <v/>
      </c>
      <c r="D440" s="1"/>
      <c r="E440" s="1"/>
      <c r="F440" s="28"/>
      <c r="G440" s="1"/>
      <c r="H440" s="1"/>
      <c r="I440" s="29"/>
      <c r="J440" s="20" t="str">
        <f aca="false">IF(D440="","",IFERROR(INDEX(Settings!$D$36:$D$45,MATCH(D440,Settings!$A$36:$A$45,0)),0))</f>
        <v/>
      </c>
      <c r="K440" s="20" t="str">
        <f aca="false">IF(J440="","",IF(H440="",J440,J440*(1-IF(I440="",Settings!$B$6,I440))))</f>
        <v/>
      </c>
      <c r="L440" s="20" t="str">
        <f aca="false">IF(OR(J440="",H440=""),"",J440-K440)</f>
        <v/>
      </c>
      <c r="M440" s="1"/>
    </row>
    <row r="441" customFormat="false" ht="15" hidden="false" customHeight="false" outlineLevel="0" collapsed="false">
      <c r="A441" s="27"/>
      <c r="B441" s="1"/>
      <c r="C441" s="24" t="str">
        <f aca="false">IF(B441="","",IFERROR(INDEX(Patients!$B$2:$B$501,MATCH(B441,Patients!$A$2:$A$501,0))&amp;"",""))</f>
        <v/>
      </c>
      <c r="D441" s="1"/>
      <c r="E441" s="1"/>
      <c r="F441" s="28"/>
      <c r="G441" s="1"/>
      <c r="H441" s="1"/>
      <c r="I441" s="29"/>
      <c r="J441" s="20" t="str">
        <f aca="false">IF(D441="","",IFERROR(INDEX(Settings!$D$36:$D$45,MATCH(D441,Settings!$A$36:$A$45,0)),0))</f>
        <v/>
      </c>
      <c r="K441" s="20" t="str">
        <f aca="false">IF(J441="","",IF(H441="",J441,J441*(1-IF(I441="",Settings!$B$6,I441))))</f>
        <v/>
      </c>
      <c r="L441" s="20" t="str">
        <f aca="false">IF(OR(J441="",H441=""),"",J441-K441)</f>
        <v/>
      </c>
      <c r="M441" s="1"/>
    </row>
    <row r="442" customFormat="false" ht="15" hidden="false" customHeight="false" outlineLevel="0" collapsed="false">
      <c r="A442" s="27"/>
      <c r="B442" s="1"/>
      <c r="C442" s="24" t="str">
        <f aca="false">IF(B442="","",IFERROR(INDEX(Patients!$B$2:$B$501,MATCH(B442,Patients!$A$2:$A$501,0))&amp;"",""))</f>
        <v/>
      </c>
      <c r="D442" s="1"/>
      <c r="E442" s="1"/>
      <c r="F442" s="28"/>
      <c r="G442" s="1"/>
      <c r="H442" s="1"/>
      <c r="I442" s="29"/>
      <c r="J442" s="20" t="str">
        <f aca="false">IF(D442="","",IFERROR(INDEX(Settings!$D$36:$D$45,MATCH(D442,Settings!$A$36:$A$45,0)),0))</f>
        <v/>
      </c>
      <c r="K442" s="20" t="str">
        <f aca="false">IF(J442="","",IF(H442="",J442,J442*(1-IF(I442="",Settings!$B$6,I442))))</f>
        <v/>
      </c>
      <c r="L442" s="20" t="str">
        <f aca="false">IF(OR(J442="",H442=""),"",J442-K442)</f>
        <v/>
      </c>
      <c r="M442" s="1"/>
    </row>
    <row r="443" customFormat="false" ht="15" hidden="false" customHeight="false" outlineLevel="0" collapsed="false">
      <c r="A443" s="27"/>
      <c r="B443" s="1"/>
      <c r="C443" s="24" t="str">
        <f aca="false">IF(B443="","",IFERROR(INDEX(Patients!$B$2:$B$501,MATCH(B443,Patients!$A$2:$A$501,0))&amp;"",""))</f>
        <v/>
      </c>
      <c r="D443" s="1"/>
      <c r="E443" s="1"/>
      <c r="F443" s="28"/>
      <c r="G443" s="1"/>
      <c r="H443" s="1"/>
      <c r="I443" s="29"/>
      <c r="J443" s="20" t="str">
        <f aca="false">IF(D443="","",IFERROR(INDEX(Settings!$D$36:$D$45,MATCH(D443,Settings!$A$36:$A$45,0)),0))</f>
        <v/>
      </c>
      <c r="K443" s="20" t="str">
        <f aca="false">IF(J443="","",IF(H443="",J443,J443*(1-IF(I443="",Settings!$B$6,I443))))</f>
        <v/>
      </c>
      <c r="L443" s="20" t="str">
        <f aca="false">IF(OR(J443="",H443=""),"",J443-K443)</f>
        <v/>
      </c>
      <c r="M443" s="1"/>
    </row>
    <row r="444" customFormat="false" ht="15" hidden="false" customHeight="false" outlineLevel="0" collapsed="false">
      <c r="A444" s="27"/>
      <c r="B444" s="1"/>
      <c r="C444" s="24" t="str">
        <f aca="false">IF(B444="","",IFERROR(INDEX(Patients!$B$2:$B$501,MATCH(B444,Patients!$A$2:$A$501,0))&amp;"",""))</f>
        <v/>
      </c>
      <c r="D444" s="1"/>
      <c r="E444" s="1"/>
      <c r="F444" s="28"/>
      <c r="G444" s="1"/>
      <c r="H444" s="1"/>
      <c r="I444" s="29"/>
      <c r="J444" s="20" t="str">
        <f aca="false">IF(D444="","",IFERROR(INDEX(Settings!$D$36:$D$45,MATCH(D444,Settings!$A$36:$A$45,0)),0))</f>
        <v/>
      </c>
      <c r="K444" s="20" t="str">
        <f aca="false">IF(J444="","",IF(H444="",J444,J444*(1-IF(I444="",Settings!$B$6,I444))))</f>
        <v/>
      </c>
      <c r="L444" s="20" t="str">
        <f aca="false">IF(OR(J444="",H444=""),"",J444-K444)</f>
        <v/>
      </c>
      <c r="M444" s="1"/>
    </row>
    <row r="445" customFormat="false" ht="15" hidden="false" customHeight="false" outlineLevel="0" collapsed="false">
      <c r="A445" s="27"/>
      <c r="B445" s="1"/>
      <c r="C445" s="24" t="str">
        <f aca="false">IF(B445="","",IFERROR(INDEX(Patients!$B$2:$B$501,MATCH(B445,Patients!$A$2:$A$501,0))&amp;"",""))</f>
        <v/>
      </c>
      <c r="D445" s="1"/>
      <c r="E445" s="1"/>
      <c r="F445" s="28"/>
      <c r="G445" s="1"/>
      <c r="H445" s="1"/>
      <c r="I445" s="29"/>
      <c r="J445" s="20" t="str">
        <f aca="false">IF(D445="","",IFERROR(INDEX(Settings!$D$36:$D$45,MATCH(D445,Settings!$A$36:$A$45,0)),0))</f>
        <v/>
      </c>
      <c r="K445" s="20" t="str">
        <f aca="false">IF(J445="","",IF(H445="",J445,J445*(1-IF(I445="",Settings!$B$6,I445))))</f>
        <v/>
      </c>
      <c r="L445" s="20" t="str">
        <f aca="false">IF(OR(J445="",H445=""),"",J445-K445)</f>
        <v/>
      </c>
      <c r="M445" s="1"/>
    </row>
    <row r="446" customFormat="false" ht="15" hidden="false" customHeight="false" outlineLevel="0" collapsed="false">
      <c r="A446" s="27"/>
      <c r="B446" s="1"/>
      <c r="C446" s="24" t="str">
        <f aca="false">IF(B446="","",IFERROR(INDEX(Patients!$B$2:$B$501,MATCH(B446,Patients!$A$2:$A$501,0))&amp;"",""))</f>
        <v/>
      </c>
      <c r="D446" s="1"/>
      <c r="E446" s="1"/>
      <c r="F446" s="28"/>
      <c r="G446" s="1"/>
      <c r="H446" s="1"/>
      <c r="I446" s="29"/>
      <c r="J446" s="20" t="str">
        <f aca="false">IF(D446="","",IFERROR(INDEX(Settings!$D$36:$D$45,MATCH(D446,Settings!$A$36:$A$45,0)),0))</f>
        <v/>
      </c>
      <c r="K446" s="20" t="str">
        <f aca="false">IF(J446="","",IF(H446="",J446,J446*(1-IF(I446="",Settings!$B$6,I446))))</f>
        <v/>
      </c>
      <c r="L446" s="20" t="str">
        <f aca="false">IF(OR(J446="",H446=""),"",J446-K446)</f>
        <v/>
      </c>
      <c r="M446" s="1"/>
    </row>
    <row r="447" customFormat="false" ht="15" hidden="false" customHeight="false" outlineLevel="0" collapsed="false">
      <c r="A447" s="27"/>
      <c r="B447" s="1"/>
      <c r="C447" s="24" t="str">
        <f aca="false">IF(B447="","",IFERROR(INDEX(Patients!$B$2:$B$501,MATCH(B447,Patients!$A$2:$A$501,0))&amp;"",""))</f>
        <v/>
      </c>
      <c r="D447" s="1"/>
      <c r="E447" s="1"/>
      <c r="F447" s="28"/>
      <c r="G447" s="1"/>
      <c r="H447" s="1"/>
      <c r="I447" s="29"/>
      <c r="J447" s="20" t="str">
        <f aca="false">IF(D447="","",IFERROR(INDEX(Settings!$D$36:$D$45,MATCH(D447,Settings!$A$36:$A$45,0)),0))</f>
        <v/>
      </c>
      <c r="K447" s="20" t="str">
        <f aca="false">IF(J447="","",IF(H447="",J447,J447*(1-IF(I447="",Settings!$B$6,I447))))</f>
        <v/>
      </c>
      <c r="L447" s="20" t="str">
        <f aca="false">IF(OR(J447="",H447=""),"",J447-K447)</f>
        <v/>
      </c>
      <c r="M447" s="1"/>
    </row>
    <row r="448" customFormat="false" ht="15" hidden="false" customHeight="false" outlineLevel="0" collapsed="false">
      <c r="A448" s="27"/>
      <c r="B448" s="1"/>
      <c r="C448" s="24" t="str">
        <f aca="false">IF(B448="","",IFERROR(INDEX(Patients!$B$2:$B$501,MATCH(B448,Patients!$A$2:$A$501,0))&amp;"",""))</f>
        <v/>
      </c>
      <c r="D448" s="1"/>
      <c r="E448" s="1"/>
      <c r="F448" s="28"/>
      <c r="G448" s="1"/>
      <c r="H448" s="1"/>
      <c r="I448" s="29"/>
      <c r="J448" s="20" t="str">
        <f aca="false">IF(D448="","",IFERROR(INDEX(Settings!$D$36:$D$45,MATCH(D448,Settings!$A$36:$A$45,0)),0))</f>
        <v/>
      </c>
      <c r="K448" s="20" t="str">
        <f aca="false">IF(J448="","",IF(H448="",J448,J448*(1-IF(I448="",Settings!$B$6,I448))))</f>
        <v/>
      </c>
      <c r="L448" s="20" t="str">
        <f aca="false">IF(OR(J448="",H448=""),"",J448-K448)</f>
        <v/>
      </c>
      <c r="M448" s="1"/>
    </row>
    <row r="449" customFormat="false" ht="15" hidden="false" customHeight="false" outlineLevel="0" collapsed="false">
      <c r="A449" s="27"/>
      <c r="B449" s="1"/>
      <c r="C449" s="24" t="str">
        <f aca="false">IF(B449="","",IFERROR(INDEX(Patients!$B$2:$B$501,MATCH(B449,Patients!$A$2:$A$501,0))&amp;"",""))</f>
        <v/>
      </c>
      <c r="D449" s="1"/>
      <c r="E449" s="1"/>
      <c r="F449" s="28"/>
      <c r="G449" s="1"/>
      <c r="H449" s="1"/>
      <c r="I449" s="29"/>
      <c r="J449" s="20" t="str">
        <f aca="false">IF(D449="","",IFERROR(INDEX(Settings!$D$36:$D$45,MATCH(D449,Settings!$A$36:$A$45,0)),0))</f>
        <v/>
      </c>
      <c r="K449" s="20" t="str">
        <f aca="false">IF(J449="","",IF(H449="",J449,J449*(1-IF(I449="",Settings!$B$6,I449))))</f>
        <v/>
      </c>
      <c r="L449" s="20" t="str">
        <f aca="false">IF(OR(J449="",H449=""),"",J449-K449)</f>
        <v/>
      </c>
      <c r="M449" s="1"/>
    </row>
    <row r="450" customFormat="false" ht="15" hidden="false" customHeight="false" outlineLevel="0" collapsed="false">
      <c r="A450" s="27"/>
      <c r="B450" s="1"/>
      <c r="C450" s="24" t="str">
        <f aca="false">IF(B450="","",IFERROR(INDEX(Patients!$B$2:$B$501,MATCH(B450,Patients!$A$2:$A$501,0))&amp;"",""))</f>
        <v/>
      </c>
      <c r="D450" s="1"/>
      <c r="E450" s="1"/>
      <c r="F450" s="28"/>
      <c r="G450" s="1"/>
      <c r="H450" s="1"/>
      <c r="I450" s="29"/>
      <c r="J450" s="20" t="str">
        <f aca="false">IF(D450="","",IFERROR(INDEX(Settings!$D$36:$D$45,MATCH(D450,Settings!$A$36:$A$45,0)),0))</f>
        <v/>
      </c>
      <c r="K450" s="20" t="str">
        <f aca="false">IF(J450="","",IF(H450="",J450,J450*(1-IF(I450="",Settings!$B$6,I450))))</f>
        <v/>
      </c>
      <c r="L450" s="20" t="str">
        <f aca="false">IF(OR(J450="",H450=""),"",J450-K450)</f>
        <v/>
      </c>
      <c r="M450" s="1"/>
    </row>
    <row r="451" customFormat="false" ht="15" hidden="false" customHeight="false" outlineLevel="0" collapsed="false">
      <c r="A451" s="27"/>
      <c r="B451" s="1"/>
      <c r="C451" s="24" t="str">
        <f aca="false">IF(B451="","",IFERROR(INDEX(Patients!$B$2:$B$501,MATCH(B451,Patients!$A$2:$A$501,0))&amp;"",""))</f>
        <v/>
      </c>
      <c r="D451" s="1"/>
      <c r="E451" s="1"/>
      <c r="F451" s="28"/>
      <c r="G451" s="1"/>
      <c r="H451" s="1"/>
      <c r="I451" s="29"/>
      <c r="J451" s="20" t="str">
        <f aca="false">IF(D451="","",IFERROR(INDEX(Settings!$D$36:$D$45,MATCH(D451,Settings!$A$36:$A$45,0)),0))</f>
        <v/>
      </c>
      <c r="K451" s="20" t="str">
        <f aca="false">IF(J451="","",IF(H451="",J451,J451*(1-IF(I451="",Settings!$B$6,I451))))</f>
        <v/>
      </c>
      <c r="L451" s="20" t="str">
        <f aca="false">IF(OR(J451="",H451=""),"",J451-K451)</f>
        <v/>
      </c>
      <c r="M451" s="1"/>
    </row>
    <row r="452" customFormat="false" ht="15" hidden="false" customHeight="false" outlineLevel="0" collapsed="false">
      <c r="A452" s="27"/>
      <c r="B452" s="1"/>
      <c r="C452" s="24" t="str">
        <f aca="false">IF(B452="","",IFERROR(INDEX(Patients!$B$2:$B$501,MATCH(B452,Patients!$A$2:$A$501,0))&amp;"",""))</f>
        <v/>
      </c>
      <c r="D452" s="1"/>
      <c r="E452" s="1"/>
      <c r="F452" s="28"/>
      <c r="G452" s="1"/>
      <c r="H452" s="1"/>
      <c r="I452" s="29"/>
      <c r="J452" s="20" t="str">
        <f aca="false">IF(D452="","",IFERROR(INDEX(Settings!$D$36:$D$45,MATCH(D452,Settings!$A$36:$A$45,0)),0))</f>
        <v/>
      </c>
      <c r="K452" s="20" t="str">
        <f aca="false">IF(J452="","",IF(H452="",J452,J452*(1-IF(I452="",Settings!$B$6,I452))))</f>
        <v/>
      </c>
      <c r="L452" s="20" t="str">
        <f aca="false">IF(OR(J452="",H452=""),"",J452-K452)</f>
        <v/>
      </c>
      <c r="M452" s="1"/>
    </row>
    <row r="453" customFormat="false" ht="15" hidden="false" customHeight="false" outlineLevel="0" collapsed="false">
      <c r="A453" s="27"/>
      <c r="B453" s="1"/>
      <c r="C453" s="24" t="str">
        <f aca="false">IF(B453="","",IFERROR(INDEX(Patients!$B$2:$B$501,MATCH(B453,Patients!$A$2:$A$501,0))&amp;"",""))</f>
        <v/>
      </c>
      <c r="D453" s="1"/>
      <c r="E453" s="1"/>
      <c r="F453" s="28"/>
      <c r="G453" s="1"/>
      <c r="H453" s="1"/>
      <c r="I453" s="29"/>
      <c r="J453" s="20" t="str">
        <f aca="false">IF(D453="","",IFERROR(INDEX(Settings!$D$36:$D$45,MATCH(D453,Settings!$A$36:$A$45,0)),0))</f>
        <v/>
      </c>
      <c r="K453" s="20" t="str">
        <f aca="false">IF(J453="","",IF(H453="",J453,J453*(1-IF(I453="",Settings!$B$6,I453))))</f>
        <v/>
      </c>
      <c r="L453" s="20" t="str">
        <f aca="false">IF(OR(J453="",H453=""),"",J453-K453)</f>
        <v/>
      </c>
      <c r="M453" s="1"/>
    </row>
    <row r="454" customFormat="false" ht="15" hidden="false" customHeight="false" outlineLevel="0" collapsed="false">
      <c r="A454" s="27"/>
      <c r="B454" s="1"/>
      <c r="C454" s="24" t="str">
        <f aca="false">IF(B454="","",IFERROR(INDEX(Patients!$B$2:$B$501,MATCH(B454,Patients!$A$2:$A$501,0))&amp;"",""))</f>
        <v/>
      </c>
      <c r="D454" s="1"/>
      <c r="E454" s="1"/>
      <c r="F454" s="28"/>
      <c r="G454" s="1"/>
      <c r="H454" s="1"/>
      <c r="I454" s="29"/>
      <c r="J454" s="20" t="str">
        <f aca="false">IF(D454="","",IFERROR(INDEX(Settings!$D$36:$D$45,MATCH(D454,Settings!$A$36:$A$45,0)),0))</f>
        <v/>
      </c>
      <c r="K454" s="20" t="str">
        <f aca="false">IF(J454="","",IF(H454="",J454,J454*(1-IF(I454="",Settings!$B$6,I454))))</f>
        <v/>
      </c>
      <c r="L454" s="20" t="str">
        <f aca="false">IF(OR(J454="",H454=""),"",J454-K454)</f>
        <v/>
      </c>
      <c r="M454" s="1"/>
    </row>
    <row r="455" customFormat="false" ht="15" hidden="false" customHeight="false" outlineLevel="0" collapsed="false">
      <c r="A455" s="27"/>
      <c r="B455" s="1"/>
      <c r="C455" s="24" t="str">
        <f aca="false">IF(B455="","",IFERROR(INDEX(Patients!$B$2:$B$501,MATCH(B455,Patients!$A$2:$A$501,0))&amp;"",""))</f>
        <v/>
      </c>
      <c r="D455" s="1"/>
      <c r="E455" s="1"/>
      <c r="F455" s="28"/>
      <c r="G455" s="1"/>
      <c r="H455" s="1"/>
      <c r="I455" s="29"/>
      <c r="J455" s="20" t="str">
        <f aca="false">IF(D455="","",IFERROR(INDEX(Settings!$D$36:$D$45,MATCH(D455,Settings!$A$36:$A$45,0)),0))</f>
        <v/>
      </c>
      <c r="K455" s="20" t="str">
        <f aca="false">IF(J455="","",IF(H455="",J455,J455*(1-IF(I455="",Settings!$B$6,I455))))</f>
        <v/>
      </c>
      <c r="L455" s="20" t="str">
        <f aca="false">IF(OR(J455="",H455=""),"",J455-K455)</f>
        <v/>
      </c>
      <c r="M455" s="1"/>
    </row>
    <row r="456" customFormat="false" ht="15" hidden="false" customHeight="false" outlineLevel="0" collapsed="false">
      <c r="A456" s="27"/>
      <c r="B456" s="1"/>
      <c r="C456" s="24" t="str">
        <f aca="false">IF(B456="","",IFERROR(INDEX(Patients!$B$2:$B$501,MATCH(B456,Patients!$A$2:$A$501,0))&amp;"",""))</f>
        <v/>
      </c>
      <c r="D456" s="1"/>
      <c r="E456" s="1"/>
      <c r="F456" s="28"/>
      <c r="G456" s="1"/>
      <c r="H456" s="1"/>
      <c r="I456" s="29"/>
      <c r="J456" s="20" t="str">
        <f aca="false">IF(D456="","",IFERROR(INDEX(Settings!$D$36:$D$45,MATCH(D456,Settings!$A$36:$A$45,0)),0))</f>
        <v/>
      </c>
      <c r="K456" s="20" t="str">
        <f aca="false">IF(J456="","",IF(H456="",J456,J456*(1-IF(I456="",Settings!$B$6,I456))))</f>
        <v/>
      </c>
      <c r="L456" s="20" t="str">
        <f aca="false">IF(OR(J456="",H456=""),"",J456-K456)</f>
        <v/>
      </c>
      <c r="M456" s="1"/>
    </row>
    <row r="457" customFormat="false" ht="15" hidden="false" customHeight="false" outlineLevel="0" collapsed="false">
      <c r="A457" s="27"/>
      <c r="B457" s="1"/>
      <c r="C457" s="24" t="str">
        <f aca="false">IF(B457="","",IFERROR(INDEX(Patients!$B$2:$B$501,MATCH(B457,Patients!$A$2:$A$501,0))&amp;"",""))</f>
        <v/>
      </c>
      <c r="D457" s="1"/>
      <c r="E457" s="1"/>
      <c r="F457" s="28"/>
      <c r="G457" s="1"/>
      <c r="H457" s="1"/>
      <c r="I457" s="29"/>
      <c r="J457" s="20" t="str">
        <f aca="false">IF(D457="","",IFERROR(INDEX(Settings!$D$36:$D$45,MATCH(D457,Settings!$A$36:$A$45,0)),0))</f>
        <v/>
      </c>
      <c r="K457" s="20" t="str">
        <f aca="false">IF(J457="","",IF(H457="",J457,J457*(1-IF(I457="",Settings!$B$6,I457))))</f>
        <v/>
      </c>
      <c r="L457" s="20" t="str">
        <f aca="false">IF(OR(J457="",H457=""),"",J457-K457)</f>
        <v/>
      </c>
      <c r="M457" s="1"/>
    </row>
    <row r="458" customFormat="false" ht="15" hidden="false" customHeight="false" outlineLevel="0" collapsed="false">
      <c r="A458" s="27"/>
      <c r="B458" s="1"/>
      <c r="C458" s="24" t="str">
        <f aca="false">IF(B458="","",IFERROR(INDEX(Patients!$B$2:$B$501,MATCH(B458,Patients!$A$2:$A$501,0))&amp;"",""))</f>
        <v/>
      </c>
      <c r="D458" s="1"/>
      <c r="E458" s="1"/>
      <c r="F458" s="28"/>
      <c r="G458" s="1"/>
      <c r="H458" s="1"/>
      <c r="I458" s="29"/>
      <c r="J458" s="20" t="str">
        <f aca="false">IF(D458="","",IFERROR(INDEX(Settings!$D$36:$D$45,MATCH(D458,Settings!$A$36:$A$45,0)),0))</f>
        <v/>
      </c>
      <c r="K458" s="20" t="str">
        <f aca="false">IF(J458="","",IF(H458="",J458,J458*(1-IF(I458="",Settings!$B$6,I458))))</f>
        <v/>
      </c>
      <c r="L458" s="20" t="str">
        <f aca="false">IF(OR(J458="",H458=""),"",J458-K458)</f>
        <v/>
      </c>
      <c r="M458" s="1"/>
    </row>
    <row r="459" customFormat="false" ht="15" hidden="false" customHeight="false" outlineLevel="0" collapsed="false">
      <c r="A459" s="27"/>
      <c r="B459" s="1"/>
      <c r="C459" s="24" t="str">
        <f aca="false">IF(B459="","",IFERROR(INDEX(Patients!$B$2:$B$501,MATCH(B459,Patients!$A$2:$A$501,0))&amp;"",""))</f>
        <v/>
      </c>
      <c r="D459" s="1"/>
      <c r="E459" s="1"/>
      <c r="F459" s="28"/>
      <c r="G459" s="1"/>
      <c r="H459" s="1"/>
      <c r="I459" s="29"/>
      <c r="J459" s="20" t="str">
        <f aca="false">IF(D459="","",IFERROR(INDEX(Settings!$D$36:$D$45,MATCH(D459,Settings!$A$36:$A$45,0)),0))</f>
        <v/>
      </c>
      <c r="K459" s="20" t="str">
        <f aca="false">IF(J459="","",IF(H459="",J459,J459*(1-IF(I459="",Settings!$B$6,I459))))</f>
        <v/>
      </c>
      <c r="L459" s="20" t="str">
        <f aca="false">IF(OR(J459="",H459=""),"",J459-K459)</f>
        <v/>
      </c>
      <c r="M459" s="1"/>
    </row>
    <row r="460" customFormat="false" ht="15" hidden="false" customHeight="false" outlineLevel="0" collapsed="false">
      <c r="A460" s="27"/>
      <c r="B460" s="1"/>
      <c r="C460" s="24" t="str">
        <f aca="false">IF(B460="","",IFERROR(INDEX(Patients!$B$2:$B$501,MATCH(B460,Patients!$A$2:$A$501,0))&amp;"",""))</f>
        <v/>
      </c>
      <c r="D460" s="1"/>
      <c r="E460" s="1"/>
      <c r="F460" s="28"/>
      <c r="G460" s="1"/>
      <c r="H460" s="1"/>
      <c r="I460" s="29"/>
      <c r="J460" s="20" t="str">
        <f aca="false">IF(D460="","",IFERROR(INDEX(Settings!$D$36:$D$45,MATCH(D460,Settings!$A$36:$A$45,0)),0))</f>
        <v/>
      </c>
      <c r="K460" s="20" t="str">
        <f aca="false">IF(J460="","",IF(H460="",J460,J460*(1-IF(I460="",Settings!$B$6,I460))))</f>
        <v/>
      </c>
      <c r="L460" s="20" t="str">
        <f aca="false">IF(OR(J460="",H460=""),"",J460-K460)</f>
        <v/>
      </c>
      <c r="M460" s="1"/>
    </row>
    <row r="461" customFormat="false" ht="15" hidden="false" customHeight="false" outlineLevel="0" collapsed="false">
      <c r="A461" s="27"/>
      <c r="B461" s="1"/>
      <c r="C461" s="24" t="str">
        <f aca="false">IF(B461="","",IFERROR(INDEX(Patients!$B$2:$B$501,MATCH(B461,Patients!$A$2:$A$501,0))&amp;"",""))</f>
        <v/>
      </c>
      <c r="D461" s="1"/>
      <c r="E461" s="1"/>
      <c r="F461" s="28"/>
      <c r="G461" s="1"/>
      <c r="H461" s="1"/>
      <c r="I461" s="29"/>
      <c r="J461" s="20" t="str">
        <f aca="false">IF(D461="","",IFERROR(INDEX(Settings!$D$36:$D$45,MATCH(D461,Settings!$A$36:$A$45,0)),0))</f>
        <v/>
      </c>
      <c r="K461" s="20" t="str">
        <f aca="false">IF(J461="","",IF(H461="",J461,J461*(1-IF(I461="",Settings!$B$6,I461))))</f>
        <v/>
      </c>
      <c r="L461" s="20" t="str">
        <f aca="false">IF(OR(J461="",H461=""),"",J461-K461)</f>
        <v/>
      </c>
      <c r="M461" s="1"/>
    </row>
    <row r="462" customFormat="false" ht="15" hidden="false" customHeight="false" outlineLevel="0" collapsed="false">
      <c r="A462" s="27"/>
      <c r="B462" s="1"/>
      <c r="C462" s="24" t="str">
        <f aca="false">IF(B462="","",IFERROR(INDEX(Patients!$B$2:$B$501,MATCH(B462,Patients!$A$2:$A$501,0))&amp;"",""))</f>
        <v/>
      </c>
      <c r="D462" s="1"/>
      <c r="E462" s="1"/>
      <c r="F462" s="28"/>
      <c r="G462" s="1"/>
      <c r="H462" s="1"/>
      <c r="I462" s="29"/>
      <c r="J462" s="20" t="str">
        <f aca="false">IF(D462="","",IFERROR(INDEX(Settings!$D$36:$D$45,MATCH(D462,Settings!$A$36:$A$45,0)),0))</f>
        <v/>
      </c>
      <c r="K462" s="20" t="str">
        <f aca="false">IF(J462="","",IF(H462="",J462,J462*(1-IF(I462="",Settings!$B$6,I462))))</f>
        <v/>
      </c>
      <c r="L462" s="20" t="str">
        <f aca="false">IF(OR(J462="",H462=""),"",J462-K462)</f>
        <v/>
      </c>
      <c r="M462" s="1"/>
    </row>
    <row r="463" customFormat="false" ht="15" hidden="false" customHeight="false" outlineLevel="0" collapsed="false">
      <c r="A463" s="27"/>
      <c r="B463" s="1"/>
      <c r="C463" s="24" t="str">
        <f aca="false">IF(B463="","",IFERROR(INDEX(Patients!$B$2:$B$501,MATCH(B463,Patients!$A$2:$A$501,0))&amp;"",""))</f>
        <v/>
      </c>
      <c r="D463" s="1"/>
      <c r="E463" s="1"/>
      <c r="F463" s="28"/>
      <c r="G463" s="1"/>
      <c r="H463" s="1"/>
      <c r="I463" s="29"/>
      <c r="J463" s="20" t="str">
        <f aca="false">IF(D463="","",IFERROR(INDEX(Settings!$D$36:$D$45,MATCH(D463,Settings!$A$36:$A$45,0)),0))</f>
        <v/>
      </c>
      <c r="K463" s="20" t="str">
        <f aca="false">IF(J463="","",IF(H463="",J463,J463*(1-IF(I463="",Settings!$B$6,I463))))</f>
        <v/>
      </c>
      <c r="L463" s="20" t="str">
        <f aca="false">IF(OR(J463="",H463=""),"",J463-K463)</f>
        <v/>
      </c>
      <c r="M463" s="1"/>
    </row>
    <row r="464" customFormat="false" ht="15" hidden="false" customHeight="false" outlineLevel="0" collapsed="false">
      <c r="A464" s="27"/>
      <c r="B464" s="1"/>
      <c r="C464" s="24" t="str">
        <f aca="false">IF(B464="","",IFERROR(INDEX(Patients!$B$2:$B$501,MATCH(B464,Patients!$A$2:$A$501,0))&amp;"",""))</f>
        <v/>
      </c>
      <c r="D464" s="1"/>
      <c r="E464" s="1"/>
      <c r="F464" s="28"/>
      <c r="G464" s="1"/>
      <c r="H464" s="1"/>
      <c r="I464" s="29"/>
      <c r="J464" s="20" t="str">
        <f aca="false">IF(D464="","",IFERROR(INDEX(Settings!$D$36:$D$45,MATCH(D464,Settings!$A$36:$A$45,0)),0))</f>
        <v/>
      </c>
      <c r="K464" s="20" t="str">
        <f aca="false">IF(J464="","",IF(H464="",J464,J464*(1-IF(I464="",Settings!$B$6,I464))))</f>
        <v/>
      </c>
      <c r="L464" s="20" t="str">
        <f aca="false">IF(OR(J464="",H464=""),"",J464-K464)</f>
        <v/>
      </c>
      <c r="M464" s="1"/>
    </row>
    <row r="465" customFormat="false" ht="15" hidden="false" customHeight="false" outlineLevel="0" collapsed="false">
      <c r="A465" s="27"/>
      <c r="B465" s="1"/>
      <c r="C465" s="24" t="str">
        <f aca="false">IF(B465="","",IFERROR(INDEX(Patients!$B$2:$B$501,MATCH(B465,Patients!$A$2:$A$501,0))&amp;"",""))</f>
        <v/>
      </c>
      <c r="D465" s="1"/>
      <c r="E465" s="1"/>
      <c r="F465" s="28"/>
      <c r="G465" s="1"/>
      <c r="H465" s="1"/>
      <c r="I465" s="29"/>
      <c r="J465" s="20" t="str">
        <f aca="false">IF(D465="","",IFERROR(INDEX(Settings!$D$36:$D$45,MATCH(D465,Settings!$A$36:$A$45,0)),0))</f>
        <v/>
      </c>
      <c r="K465" s="20" t="str">
        <f aca="false">IF(J465="","",IF(H465="",J465,J465*(1-IF(I465="",Settings!$B$6,I465))))</f>
        <v/>
      </c>
      <c r="L465" s="20" t="str">
        <f aca="false">IF(OR(J465="",H465=""),"",J465-K465)</f>
        <v/>
      </c>
      <c r="M465" s="1"/>
    </row>
    <row r="466" customFormat="false" ht="15" hidden="false" customHeight="false" outlineLevel="0" collapsed="false">
      <c r="A466" s="27"/>
      <c r="B466" s="1"/>
      <c r="C466" s="24" t="str">
        <f aca="false">IF(B466="","",IFERROR(INDEX(Patients!$B$2:$B$501,MATCH(B466,Patients!$A$2:$A$501,0))&amp;"",""))</f>
        <v/>
      </c>
      <c r="D466" s="1"/>
      <c r="E466" s="1"/>
      <c r="F466" s="28"/>
      <c r="G466" s="1"/>
      <c r="H466" s="1"/>
      <c r="I466" s="29"/>
      <c r="J466" s="20" t="str">
        <f aca="false">IF(D466="","",IFERROR(INDEX(Settings!$D$36:$D$45,MATCH(D466,Settings!$A$36:$A$45,0)),0))</f>
        <v/>
      </c>
      <c r="K466" s="20" t="str">
        <f aca="false">IF(J466="","",IF(H466="",J466,J466*(1-IF(I466="",Settings!$B$6,I466))))</f>
        <v/>
      </c>
      <c r="L466" s="20" t="str">
        <f aca="false">IF(OR(J466="",H466=""),"",J466-K466)</f>
        <v/>
      </c>
      <c r="M466" s="1"/>
    </row>
    <row r="467" customFormat="false" ht="15" hidden="false" customHeight="false" outlineLevel="0" collapsed="false">
      <c r="A467" s="27"/>
      <c r="B467" s="1"/>
      <c r="C467" s="24" t="str">
        <f aca="false">IF(B467="","",IFERROR(INDEX(Patients!$B$2:$B$501,MATCH(B467,Patients!$A$2:$A$501,0))&amp;"",""))</f>
        <v/>
      </c>
      <c r="D467" s="1"/>
      <c r="E467" s="1"/>
      <c r="F467" s="28"/>
      <c r="G467" s="1"/>
      <c r="H467" s="1"/>
      <c r="I467" s="29"/>
      <c r="J467" s="20" t="str">
        <f aca="false">IF(D467="","",IFERROR(INDEX(Settings!$D$36:$D$45,MATCH(D467,Settings!$A$36:$A$45,0)),0))</f>
        <v/>
      </c>
      <c r="K467" s="20" t="str">
        <f aca="false">IF(J467="","",IF(H467="",J467,J467*(1-IF(I467="",Settings!$B$6,I467))))</f>
        <v/>
      </c>
      <c r="L467" s="20" t="str">
        <f aca="false">IF(OR(J467="",H467=""),"",J467-K467)</f>
        <v/>
      </c>
      <c r="M467" s="1"/>
    </row>
    <row r="468" customFormat="false" ht="15" hidden="false" customHeight="false" outlineLevel="0" collapsed="false">
      <c r="A468" s="27"/>
      <c r="B468" s="1"/>
      <c r="C468" s="24" t="str">
        <f aca="false">IF(B468="","",IFERROR(INDEX(Patients!$B$2:$B$501,MATCH(B468,Patients!$A$2:$A$501,0))&amp;"",""))</f>
        <v/>
      </c>
      <c r="D468" s="1"/>
      <c r="E468" s="1"/>
      <c r="F468" s="28"/>
      <c r="G468" s="1"/>
      <c r="H468" s="1"/>
      <c r="I468" s="29"/>
      <c r="J468" s="20" t="str">
        <f aca="false">IF(D468="","",IFERROR(INDEX(Settings!$D$36:$D$45,MATCH(D468,Settings!$A$36:$A$45,0)),0))</f>
        <v/>
      </c>
      <c r="K468" s="20" t="str">
        <f aca="false">IF(J468="","",IF(H468="",J468,J468*(1-IF(I468="",Settings!$B$6,I468))))</f>
        <v/>
      </c>
      <c r="L468" s="20" t="str">
        <f aca="false">IF(OR(J468="",H468=""),"",J468-K468)</f>
        <v/>
      </c>
      <c r="M468" s="1"/>
    </row>
    <row r="469" customFormat="false" ht="15" hidden="false" customHeight="false" outlineLevel="0" collapsed="false">
      <c r="A469" s="27"/>
      <c r="B469" s="1"/>
      <c r="C469" s="24" t="str">
        <f aca="false">IF(B469="","",IFERROR(INDEX(Patients!$B$2:$B$501,MATCH(B469,Patients!$A$2:$A$501,0))&amp;"",""))</f>
        <v/>
      </c>
      <c r="D469" s="1"/>
      <c r="E469" s="1"/>
      <c r="F469" s="28"/>
      <c r="G469" s="1"/>
      <c r="H469" s="1"/>
      <c r="I469" s="29"/>
      <c r="J469" s="20" t="str">
        <f aca="false">IF(D469="","",IFERROR(INDEX(Settings!$D$36:$D$45,MATCH(D469,Settings!$A$36:$A$45,0)),0))</f>
        <v/>
      </c>
      <c r="K469" s="20" t="str">
        <f aca="false">IF(J469="","",IF(H469="",J469,J469*(1-IF(I469="",Settings!$B$6,I469))))</f>
        <v/>
      </c>
      <c r="L469" s="20" t="str">
        <f aca="false">IF(OR(J469="",H469=""),"",J469-K469)</f>
        <v/>
      </c>
      <c r="M469" s="1"/>
    </row>
    <row r="470" customFormat="false" ht="15" hidden="false" customHeight="false" outlineLevel="0" collapsed="false">
      <c r="A470" s="27"/>
      <c r="B470" s="1"/>
      <c r="C470" s="24" t="str">
        <f aca="false">IF(B470="","",IFERROR(INDEX(Patients!$B$2:$B$501,MATCH(B470,Patients!$A$2:$A$501,0))&amp;"",""))</f>
        <v/>
      </c>
      <c r="D470" s="1"/>
      <c r="E470" s="1"/>
      <c r="F470" s="28"/>
      <c r="G470" s="1"/>
      <c r="H470" s="1"/>
      <c r="I470" s="29"/>
      <c r="J470" s="20" t="str">
        <f aca="false">IF(D470="","",IFERROR(INDEX(Settings!$D$36:$D$45,MATCH(D470,Settings!$A$36:$A$45,0)),0))</f>
        <v/>
      </c>
      <c r="K470" s="20" t="str">
        <f aca="false">IF(J470="","",IF(H470="",J470,J470*(1-IF(I470="",Settings!$B$6,I470))))</f>
        <v/>
      </c>
      <c r="L470" s="20" t="str">
        <f aca="false">IF(OR(J470="",H470=""),"",J470-K470)</f>
        <v/>
      </c>
      <c r="M470" s="1"/>
    </row>
    <row r="471" customFormat="false" ht="15" hidden="false" customHeight="false" outlineLevel="0" collapsed="false">
      <c r="A471" s="27"/>
      <c r="B471" s="1"/>
      <c r="C471" s="24" t="str">
        <f aca="false">IF(B471="","",IFERROR(INDEX(Patients!$B$2:$B$501,MATCH(B471,Patients!$A$2:$A$501,0))&amp;"",""))</f>
        <v/>
      </c>
      <c r="D471" s="1"/>
      <c r="E471" s="1"/>
      <c r="F471" s="28"/>
      <c r="G471" s="1"/>
      <c r="H471" s="1"/>
      <c r="I471" s="29"/>
      <c r="J471" s="20" t="str">
        <f aca="false">IF(D471="","",IFERROR(INDEX(Settings!$D$36:$D$45,MATCH(D471,Settings!$A$36:$A$45,0)),0))</f>
        <v/>
      </c>
      <c r="K471" s="20" t="str">
        <f aca="false">IF(J471="","",IF(H471="",J471,J471*(1-IF(I471="",Settings!$B$6,I471))))</f>
        <v/>
      </c>
      <c r="L471" s="20" t="str">
        <f aca="false">IF(OR(J471="",H471=""),"",J471-K471)</f>
        <v/>
      </c>
      <c r="M471" s="1"/>
    </row>
    <row r="472" customFormat="false" ht="15" hidden="false" customHeight="false" outlineLevel="0" collapsed="false">
      <c r="A472" s="27"/>
      <c r="B472" s="1"/>
      <c r="C472" s="24" t="str">
        <f aca="false">IF(B472="","",IFERROR(INDEX(Patients!$B$2:$B$501,MATCH(B472,Patients!$A$2:$A$501,0))&amp;"",""))</f>
        <v/>
      </c>
      <c r="D472" s="1"/>
      <c r="E472" s="1"/>
      <c r="F472" s="28"/>
      <c r="G472" s="1"/>
      <c r="H472" s="1"/>
      <c r="I472" s="29"/>
      <c r="J472" s="20" t="str">
        <f aca="false">IF(D472="","",IFERROR(INDEX(Settings!$D$36:$D$45,MATCH(D472,Settings!$A$36:$A$45,0)),0))</f>
        <v/>
      </c>
      <c r="K472" s="20" t="str">
        <f aca="false">IF(J472="","",IF(H472="",J472,J472*(1-IF(I472="",Settings!$B$6,I472))))</f>
        <v/>
      </c>
      <c r="L472" s="20" t="str">
        <f aca="false">IF(OR(J472="",H472=""),"",J472-K472)</f>
        <v/>
      </c>
      <c r="M472" s="1"/>
    </row>
    <row r="473" customFormat="false" ht="15" hidden="false" customHeight="false" outlineLevel="0" collapsed="false">
      <c r="A473" s="27"/>
      <c r="B473" s="1"/>
      <c r="C473" s="24" t="str">
        <f aca="false">IF(B473="","",IFERROR(INDEX(Patients!$B$2:$B$501,MATCH(B473,Patients!$A$2:$A$501,0))&amp;"",""))</f>
        <v/>
      </c>
      <c r="D473" s="1"/>
      <c r="E473" s="1"/>
      <c r="F473" s="28"/>
      <c r="G473" s="1"/>
      <c r="H473" s="1"/>
      <c r="I473" s="29"/>
      <c r="J473" s="20" t="str">
        <f aca="false">IF(D473="","",IFERROR(INDEX(Settings!$D$36:$D$45,MATCH(D473,Settings!$A$36:$A$45,0)),0))</f>
        <v/>
      </c>
      <c r="K473" s="20" t="str">
        <f aca="false">IF(J473="","",IF(H473="",J473,J473*(1-IF(I473="",Settings!$B$6,I473))))</f>
        <v/>
      </c>
      <c r="L473" s="20" t="str">
        <f aca="false">IF(OR(J473="",H473=""),"",J473-K473)</f>
        <v/>
      </c>
      <c r="M473" s="1"/>
    </row>
    <row r="474" customFormat="false" ht="15" hidden="false" customHeight="false" outlineLevel="0" collapsed="false">
      <c r="A474" s="27"/>
      <c r="B474" s="1"/>
      <c r="C474" s="24" t="str">
        <f aca="false">IF(B474="","",IFERROR(INDEX(Patients!$B$2:$B$501,MATCH(B474,Patients!$A$2:$A$501,0))&amp;"",""))</f>
        <v/>
      </c>
      <c r="D474" s="1"/>
      <c r="E474" s="1"/>
      <c r="F474" s="28"/>
      <c r="G474" s="1"/>
      <c r="H474" s="1"/>
      <c r="I474" s="29"/>
      <c r="J474" s="20" t="str">
        <f aca="false">IF(D474="","",IFERROR(INDEX(Settings!$D$36:$D$45,MATCH(D474,Settings!$A$36:$A$45,0)),0))</f>
        <v/>
      </c>
      <c r="K474" s="20" t="str">
        <f aca="false">IF(J474="","",IF(H474="",J474,J474*(1-IF(I474="",Settings!$B$6,I474))))</f>
        <v/>
      </c>
      <c r="L474" s="20" t="str">
        <f aca="false">IF(OR(J474="",H474=""),"",J474-K474)</f>
        <v/>
      </c>
      <c r="M474" s="1"/>
    </row>
    <row r="475" customFormat="false" ht="15" hidden="false" customHeight="false" outlineLevel="0" collapsed="false">
      <c r="A475" s="27"/>
      <c r="B475" s="1"/>
      <c r="C475" s="24" t="str">
        <f aca="false">IF(B475="","",IFERROR(INDEX(Patients!$B$2:$B$501,MATCH(B475,Patients!$A$2:$A$501,0))&amp;"",""))</f>
        <v/>
      </c>
      <c r="D475" s="1"/>
      <c r="E475" s="1"/>
      <c r="F475" s="28"/>
      <c r="G475" s="1"/>
      <c r="H475" s="1"/>
      <c r="I475" s="29"/>
      <c r="J475" s="20" t="str">
        <f aca="false">IF(D475="","",IFERROR(INDEX(Settings!$D$36:$D$45,MATCH(D475,Settings!$A$36:$A$45,0)),0))</f>
        <v/>
      </c>
      <c r="K475" s="20" t="str">
        <f aca="false">IF(J475="","",IF(H475="",J475,J475*(1-IF(I475="",Settings!$B$6,I475))))</f>
        <v/>
      </c>
      <c r="L475" s="20" t="str">
        <f aca="false">IF(OR(J475="",H475=""),"",J475-K475)</f>
        <v/>
      </c>
      <c r="M475" s="1"/>
    </row>
    <row r="476" customFormat="false" ht="15" hidden="false" customHeight="false" outlineLevel="0" collapsed="false">
      <c r="A476" s="27"/>
      <c r="B476" s="1"/>
      <c r="C476" s="24" t="str">
        <f aca="false">IF(B476="","",IFERROR(INDEX(Patients!$B$2:$B$501,MATCH(B476,Patients!$A$2:$A$501,0))&amp;"",""))</f>
        <v/>
      </c>
      <c r="D476" s="1"/>
      <c r="E476" s="1"/>
      <c r="F476" s="28"/>
      <c r="G476" s="1"/>
      <c r="H476" s="1"/>
      <c r="I476" s="29"/>
      <c r="J476" s="20" t="str">
        <f aca="false">IF(D476="","",IFERROR(INDEX(Settings!$D$36:$D$45,MATCH(D476,Settings!$A$36:$A$45,0)),0))</f>
        <v/>
      </c>
      <c r="K476" s="20" t="str">
        <f aca="false">IF(J476="","",IF(H476="",J476,J476*(1-IF(I476="",Settings!$B$6,I476))))</f>
        <v/>
      </c>
      <c r="L476" s="20" t="str">
        <f aca="false">IF(OR(J476="",H476=""),"",J476-K476)</f>
        <v/>
      </c>
      <c r="M476" s="1"/>
    </row>
    <row r="477" customFormat="false" ht="15" hidden="false" customHeight="false" outlineLevel="0" collapsed="false">
      <c r="A477" s="27"/>
      <c r="B477" s="1"/>
      <c r="C477" s="24" t="str">
        <f aca="false">IF(B477="","",IFERROR(INDEX(Patients!$B$2:$B$501,MATCH(B477,Patients!$A$2:$A$501,0))&amp;"",""))</f>
        <v/>
      </c>
      <c r="D477" s="1"/>
      <c r="E477" s="1"/>
      <c r="F477" s="28"/>
      <c r="G477" s="1"/>
      <c r="H477" s="1"/>
      <c r="I477" s="29"/>
      <c r="J477" s="20" t="str">
        <f aca="false">IF(D477="","",IFERROR(INDEX(Settings!$D$36:$D$45,MATCH(D477,Settings!$A$36:$A$45,0)),0))</f>
        <v/>
      </c>
      <c r="K477" s="20" t="str">
        <f aca="false">IF(J477="","",IF(H477="",J477,J477*(1-IF(I477="",Settings!$B$6,I477))))</f>
        <v/>
      </c>
      <c r="L477" s="20" t="str">
        <f aca="false">IF(OR(J477="",H477=""),"",J477-K477)</f>
        <v/>
      </c>
      <c r="M477" s="1"/>
    </row>
    <row r="478" customFormat="false" ht="15" hidden="false" customHeight="false" outlineLevel="0" collapsed="false">
      <c r="A478" s="27"/>
      <c r="B478" s="1"/>
      <c r="C478" s="24" t="str">
        <f aca="false">IF(B478="","",IFERROR(INDEX(Patients!$B$2:$B$501,MATCH(B478,Patients!$A$2:$A$501,0))&amp;"",""))</f>
        <v/>
      </c>
      <c r="D478" s="1"/>
      <c r="E478" s="1"/>
      <c r="F478" s="28"/>
      <c r="G478" s="1"/>
      <c r="H478" s="1"/>
      <c r="I478" s="29"/>
      <c r="J478" s="20" t="str">
        <f aca="false">IF(D478="","",IFERROR(INDEX(Settings!$D$36:$D$45,MATCH(D478,Settings!$A$36:$A$45,0)),0))</f>
        <v/>
      </c>
      <c r="K478" s="20" t="str">
        <f aca="false">IF(J478="","",IF(H478="",J478,J478*(1-IF(I478="",Settings!$B$6,I478))))</f>
        <v/>
      </c>
      <c r="L478" s="20" t="str">
        <f aca="false">IF(OR(J478="",H478=""),"",J478-K478)</f>
        <v/>
      </c>
      <c r="M478" s="1"/>
    </row>
    <row r="479" customFormat="false" ht="15" hidden="false" customHeight="false" outlineLevel="0" collapsed="false">
      <c r="A479" s="27"/>
      <c r="B479" s="1"/>
      <c r="C479" s="24" t="str">
        <f aca="false">IF(B479="","",IFERROR(INDEX(Patients!$B$2:$B$501,MATCH(B479,Patients!$A$2:$A$501,0))&amp;"",""))</f>
        <v/>
      </c>
      <c r="D479" s="1"/>
      <c r="E479" s="1"/>
      <c r="F479" s="28"/>
      <c r="G479" s="1"/>
      <c r="H479" s="1"/>
      <c r="I479" s="29"/>
      <c r="J479" s="20" t="str">
        <f aca="false">IF(D479="","",IFERROR(INDEX(Settings!$D$36:$D$45,MATCH(D479,Settings!$A$36:$A$45,0)),0))</f>
        <v/>
      </c>
      <c r="K479" s="20" t="str">
        <f aca="false">IF(J479="","",IF(H479="",J479,J479*(1-IF(I479="",Settings!$B$6,I479))))</f>
        <v/>
      </c>
      <c r="L479" s="20" t="str">
        <f aca="false">IF(OR(J479="",H479=""),"",J479-K479)</f>
        <v/>
      </c>
      <c r="M479" s="1"/>
    </row>
    <row r="480" customFormat="false" ht="15" hidden="false" customHeight="false" outlineLevel="0" collapsed="false">
      <c r="A480" s="27"/>
      <c r="B480" s="1"/>
      <c r="C480" s="24" t="str">
        <f aca="false">IF(B480="","",IFERROR(INDEX(Patients!$B$2:$B$501,MATCH(B480,Patients!$A$2:$A$501,0))&amp;"",""))</f>
        <v/>
      </c>
      <c r="D480" s="1"/>
      <c r="E480" s="1"/>
      <c r="F480" s="28"/>
      <c r="G480" s="1"/>
      <c r="H480" s="1"/>
      <c r="I480" s="29"/>
      <c r="J480" s="20" t="str">
        <f aca="false">IF(D480="","",IFERROR(INDEX(Settings!$D$36:$D$45,MATCH(D480,Settings!$A$36:$A$45,0)),0))</f>
        <v/>
      </c>
      <c r="K480" s="20" t="str">
        <f aca="false">IF(J480="","",IF(H480="",J480,J480*(1-IF(I480="",Settings!$B$6,I480))))</f>
        <v/>
      </c>
      <c r="L480" s="20" t="str">
        <f aca="false">IF(OR(J480="",H480=""),"",J480-K480)</f>
        <v/>
      </c>
      <c r="M480" s="1"/>
    </row>
    <row r="481" customFormat="false" ht="15" hidden="false" customHeight="false" outlineLevel="0" collapsed="false">
      <c r="A481" s="27"/>
      <c r="B481" s="1"/>
      <c r="C481" s="24" t="str">
        <f aca="false">IF(B481="","",IFERROR(INDEX(Patients!$B$2:$B$501,MATCH(B481,Patients!$A$2:$A$501,0))&amp;"",""))</f>
        <v/>
      </c>
      <c r="D481" s="1"/>
      <c r="E481" s="1"/>
      <c r="F481" s="28"/>
      <c r="G481" s="1"/>
      <c r="H481" s="1"/>
      <c r="I481" s="29"/>
      <c r="J481" s="20" t="str">
        <f aca="false">IF(D481="","",IFERROR(INDEX(Settings!$D$36:$D$45,MATCH(D481,Settings!$A$36:$A$45,0)),0))</f>
        <v/>
      </c>
      <c r="K481" s="20" t="str">
        <f aca="false">IF(J481="","",IF(H481="",J481,J481*(1-IF(I481="",Settings!$B$6,I481))))</f>
        <v/>
      </c>
      <c r="L481" s="20" t="str">
        <f aca="false">IF(OR(J481="",H481=""),"",J481-K481)</f>
        <v/>
      </c>
      <c r="M481" s="1"/>
    </row>
    <row r="482" customFormat="false" ht="15" hidden="false" customHeight="false" outlineLevel="0" collapsed="false">
      <c r="A482" s="27"/>
      <c r="B482" s="1"/>
      <c r="C482" s="24" t="str">
        <f aca="false">IF(B482="","",IFERROR(INDEX(Patients!$B$2:$B$501,MATCH(B482,Patients!$A$2:$A$501,0))&amp;"",""))</f>
        <v/>
      </c>
      <c r="D482" s="1"/>
      <c r="E482" s="1"/>
      <c r="F482" s="28"/>
      <c r="G482" s="1"/>
      <c r="H482" s="1"/>
      <c r="I482" s="29"/>
      <c r="J482" s="20" t="str">
        <f aca="false">IF(D482="","",IFERROR(INDEX(Settings!$D$36:$D$45,MATCH(D482,Settings!$A$36:$A$45,0)),0))</f>
        <v/>
      </c>
      <c r="K482" s="20" t="str">
        <f aca="false">IF(J482="","",IF(H482="",J482,J482*(1-IF(I482="",Settings!$B$6,I482))))</f>
        <v/>
      </c>
      <c r="L482" s="20" t="str">
        <f aca="false">IF(OR(J482="",H482=""),"",J482-K482)</f>
        <v/>
      </c>
      <c r="M482" s="1"/>
    </row>
    <row r="483" customFormat="false" ht="15" hidden="false" customHeight="false" outlineLevel="0" collapsed="false">
      <c r="A483" s="27"/>
      <c r="B483" s="1"/>
      <c r="C483" s="24" t="str">
        <f aca="false">IF(B483="","",IFERROR(INDEX(Patients!$B$2:$B$501,MATCH(B483,Patients!$A$2:$A$501,0))&amp;"",""))</f>
        <v/>
      </c>
      <c r="D483" s="1"/>
      <c r="E483" s="1"/>
      <c r="F483" s="28"/>
      <c r="G483" s="1"/>
      <c r="H483" s="1"/>
      <c r="I483" s="29"/>
      <c r="J483" s="20" t="str">
        <f aca="false">IF(D483="","",IFERROR(INDEX(Settings!$D$36:$D$45,MATCH(D483,Settings!$A$36:$A$45,0)),0))</f>
        <v/>
      </c>
      <c r="K483" s="20" t="str">
        <f aca="false">IF(J483="","",IF(H483="",J483,J483*(1-IF(I483="",Settings!$B$6,I483))))</f>
        <v/>
      </c>
      <c r="L483" s="20" t="str">
        <f aca="false">IF(OR(J483="",H483=""),"",J483-K483)</f>
        <v/>
      </c>
      <c r="M483" s="1"/>
    </row>
    <row r="484" customFormat="false" ht="15" hidden="false" customHeight="false" outlineLevel="0" collapsed="false">
      <c r="A484" s="27"/>
      <c r="B484" s="1"/>
      <c r="C484" s="24" t="str">
        <f aca="false">IF(B484="","",IFERROR(INDEX(Patients!$B$2:$B$501,MATCH(B484,Patients!$A$2:$A$501,0))&amp;"",""))</f>
        <v/>
      </c>
      <c r="D484" s="1"/>
      <c r="E484" s="1"/>
      <c r="F484" s="28"/>
      <c r="G484" s="1"/>
      <c r="H484" s="1"/>
      <c r="I484" s="29"/>
      <c r="J484" s="20" t="str">
        <f aca="false">IF(D484="","",IFERROR(INDEX(Settings!$D$36:$D$45,MATCH(D484,Settings!$A$36:$A$45,0)),0))</f>
        <v/>
      </c>
      <c r="K484" s="20" t="str">
        <f aca="false">IF(J484="","",IF(H484="",J484,J484*(1-IF(I484="",Settings!$B$6,I484))))</f>
        <v/>
      </c>
      <c r="L484" s="20" t="str">
        <f aca="false">IF(OR(J484="",H484=""),"",J484-K484)</f>
        <v/>
      </c>
      <c r="M484" s="1"/>
    </row>
    <row r="485" customFormat="false" ht="15" hidden="false" customHeight="false" outlineLevel="0" collapsed="false">
      <c r="A485" s="27"/>
      <c r="B485" s="1"/>
      <c r="C485" s="24" t="str">
        <f aca="false">IF(B485="","",IFERROR(INDEX(Patients!$B$2:$B$501,MATCH(B485,Patients!$A$2:$A$501,0))&amp;"",""))</f>
        <v/>
      </c>
      <c r="D485" s="1"/>
      <c r="E485" s="1"/>
      <c r="F485" s="28"/>
      <c r="G485" s="1"/>
      <c r="H485" s="1"/>
      <c r="I485" s="29"/>
      <c r="J485" s="20" t="str">
        <f aca="false">IF(D485="","",IFERROR(INDEX(Settings!$D$36:$D$45,MATCH(D485,Settings!$A$36:$A$45,0)),0))</f>
        <v/>
      </c>
      <c r="K485" s="20" t="str">
        <f aca="false">IF(J485="","",IF(H485="",J485,J485*(1-IF(I485="",Settings!$B$6,I485))))</f>
        <v/>
      </c>
      <c r="L485" s="20" t="str">
        <f aca="false">IF(OR(J485="",H485=""),"",J485-K485)</f>
        <v/>
      </c>
      <c r="M485" s="1"/>
    </row>
    <row r="486" customFormat="false" ht="15" hidden="false" customHeight="false" outlineLevel="0" collapsed="false">
      <c r="A486" s="27"/>
      <c r="B486" s="1"/>
      <c r="C486" s="24" t="str">
        <f aca="false">IF(B486="","",IFERROR(INDEX(Patients!$B$2:$B$501,MATCH(B486,Patients!$A$2:$A$501,0))&amp;"",""))</f>
        <v/>
      </c>
      <c r="D486" s="1"/>
      <c r="E486" s="1"/>
      <c r="F486" s="28"/>
      <c r="G486" s="1"/>
      <c r="H486" s="1"/>
      <c r="I486" s="29"/>
      <c r="J486" s="20" t="str">
        <f aca="false">IF(D486="","",IFERROR(INDEX(Settings!$D$36:$D$45,MATCH(D486,Settings!$A$36:$A$45,0)),0))</f>
        <v/>
      </c>
      <c r="K486" s="20" t="str">
        <f aca="false">IF(J486="","",IF(H486="",J486,J486*(1-IF(I486="",Settings!$B$6,I486))))</f>
        <v/>
      </c>
      <c r="L486" s="20" t="str">
        <f aca="false">IF(OR(J486="",H486=""),"",J486-K486)</f>
        <v/>
      </c>
      <c r="M486" s="1"/>
    </row>
    <row r="487" customFormat="false" ht="15" hidden="false" customHeight="false" outlineLevel="0" collapsed="false">
      <c r="A487" s="27"/>
      <c r="B487" s="1"/>
      <c r="C487" s="24" t="str">
        <f aca="false">IF(B487="","",IFERROR(INDEX(Patients!$B$2:$B$501,MATCH(B487,Patients!$A$2:$A$501,0))&amp;"",""))</f>
        <v/>
      </c>
      <c r="D487" s="1"/>
      <c r="E487" s="1"/>
      <c r="F487" s="28"/>
      <c r="G487" s="1"/>
      <c r="H487" s="1"/>
      <c r="I487" s="29"/>
      <c r="J487" s="20" t="str">
        <f aca="false">IF(D487="","",IFERROR(INDEX(Settings!$D$36:$D$45,MATCH(D487,Settings!$A$36:$A$45,0)),0))</f>
        <v/>
      </c>
      <c r="K487" s="20" t="str">
        <f aca="false">IF(J487="","",IF(H487="",J487,J487*(1-IF(I487="",Settings!$B$6,I487))))</f>
        <v/>
      </c>
      <c r="L487" s="20" t="str">
        <f aca="false">IF(OR(J487="",H487=""),"",J487-K487)</f>
        <v/>
      </c>
      <c r="M487" s="1"/>
    </row>
    <row r="488" customFormat="false" ht="15" hidden="false" customHeight="false" outlineLevel="0" collapsed="false">
      <c r="A488" s="27"/>
      <c r="B488" s="1"/>
      <c r="C488" s="24" t="str">
        <f aca="false">IF(B488="","",IFERROR(INDEX(Patients!$B$2:$B$501,MATCH(B488,Patients!$A$2:$A$501,0))&amp;"",""))</f>
        <v/>
      </c>
      <c r="D488" s="1"/>
      <c r="E488" s="1"/>
      <c r="F488" s="28"/>
      <c r="G488" s="1"/>
      <c r="H488" s="1"/>
      <c r="I488" s="29"/>
      <c r="J488" s="20" t="str">
        <f aca="false">IF(D488="","",IFERROR(INDEX(Settings!$D$36:$D$45,MATCH(D488,Settings!$A$36:$A$45,0)),0))</f>
        <v/>
      </c>
      <c r="K488" s="20" t="str">
        <f aca="false">IF(J488="","",IF(H488="",J488,J488*(1-IF(I488="",Settings!$B$6,I488))))</f>
        <v/>
      </c>
      <c r="L488" s="20" t="str">
        <f aca="false">IF(OR(J488="",H488=""),"",J488-K488)</f>
        <v/>
      </c>
      <c r="M488" s="1"/>
    </row>
    <row r="489" customFormat="false" ht="15" hidden="false" customHeight="false" outlineLevel="0" collapsed="false">
      <c r="A489" s="27"/>
      <c r="B489" s="1"/>
      <c r="C489" s="24" t="str">
        <f aca="false">IF(B489="","",IFERROR(INDEX(Patients!$B$2:$B$501,MATCH(B489,Patients!$A$2:$A$501,0))&amp;"",""))</f>
        <v/>
      </c>
      <c r="D489" s="1"/>
      <c r="E489" s="1"/>
      <c r="F489" s="28"/>
      <c r="G489" s="1"/>
      <c r="H489" s="1"/>
      <c r="I489" s="29"/>
      <c r="J489" s="20" t="str">
        <f aca="false">IF(D489="","",IFERROR(INDEX(Settings!$D$36:$D$45,MATCH(D489,Settings!$A$36:$A$45,0)),0))</f>
        <v/>
      </c>
      <c r="K489" s="20" t="str">
        <f aca="false">IF(J489="","",IF(H489="",J489,J489*(1-IF(I489="",Settings!$B$6,I489))))</f>
        <v/>
      </c>
      <c r="L489" s="20" t="str">
        <f aca="false">IF(OR(J489="",H489=""),"",J489-K489)</f>
        <v/>
      </c>
      <c r="M489" s="1"/>
    </row>
    <row r="490" customFormat="false" ht="15" hidden="false" customHeight="false" outlineLevel="0" collapsed="false">
      <c r="A490" s="27"/>
      <c r="B490" s="1"/>
      <c r="C490" s="24" t="str">
        <f aca="false">IF(B490="","",IFERROR(INDEX(Patients!$B$2:$B$501,MATCH(B490,Patients!$A$2:$A$501,0))&amp;"",""))</f>
        <v/>
      </c>
      <c r="D490" s="1"/>
      <c r="E490" s="1"/>
      <c r="F490" s="28"/>
      <c r="G490" s="1"/>
      <c r="H490" s="1"/>
      <c r="I490" s="29"/>
      <c r="J490" s="20" t="str">
        <f aca="false">IF(D490="","",IFERROR(INDEX(Settings!$D$36:$D$45,MATCH(D490,Settings!$A$36:$A$45,0)),0))</f>
        <v/>
      </c>
      <c r="K490" s="20" t="str">
        <f aca="false">IF(J490="","",IF(H490="",J490,J490*(1-IF(I490="",Settings!$B$6,I490))))</f>
        <v/>
      </c>
      <c r="L490" s="20" t="str">
        <f aca="false">IF(OR(J490="",H490=""),"",J490-K490)</f>
        <v/>
      </c>
      <c r="M490" s="1"/>
    </row>
    <row r="491" customFormat="false" ht="15" hidden="false" customHeight="false" outlineLevel="0" collapsed="false">
      <c r="A491" s="27"/>
      <c r="B491" s="1"/>
      <c r="C491" s="24" t="str">
        <f aca="false">IF(B491="","",IFERROR(INDEX(Patients!$B$2:$B$501,MATCH(B491,Patients!$A$2:$A$501,0))&amp;"",""))</f>
        <v/>
      </c>
      <c r="D491" s="1"/>
      <c r="E491" s="1"/>
      <c r="F491" s="28"/>
      <c r="G491" s="1"/>
      <c r="H491" s="1"/>
      <c r="I491" s="29"/>
      <c r="J491" s="20" t="str">
        <f aca="false">IF(D491="","",IFERROR(INDEX(Settings!$D$36:$D$45,MATCH(D491,Settings!$A$36:$A$45,0)),0))</f>
        <v/>
      </c>
      <c r="K491" s="20" t="str">
        <f aca="false">IF(J491="","",IF(H491="",J491,J491*(1-IF(I491="",Settings!$B$6,I491))))</f>
        <v/>
      </c>
      <c r="L491" s="20" t="str">
        <f aca="false">IF(OR(J491="",H491=""),"",J491-K491)</f>
        <v/>
      </c>
      <c r="M491" s="1"/>
    </row>
    <row r="492" customFormat="false" ht="15" hidden="false" customHeight="false" outlineLevel="0" collapsed="false">
      <c r="A492" s="27"/>
      <c r="B492" s="1"/>
      <c r="C492" s="24" t="str">
        <f aca="false">IF(B492="","",IFERROR(INDEX(Patients!$B$2:$B$501,MATCH(B492,Patients!$A$2:$A$501,0))&amp;"",""))</f>
        <v/>
      </c>
      <c r="D492" s="1"/>
      <c r="E492" s="1"/>
      <c r="F492" s="28"/>
      <c r="G492" s="1"/>
      <c r="H492" s="1"/>
      <c r="I492" s="29"/>
      <c r="J492" s="20" t="str">
        <f aca="false">IF(D492="","",IFERROR(INDEX(Settings!$D$36:$D$45,MATCH(D492,Settings!$A$36:$A$45,0)),0))</f>
        <v/>
      </c>
      <c r="K492" s="20" t="str">
        <f aca="false">IF(J492="","",IF(H492="",J492,J492*(1-IF(I492="",Settings!$B$6,I492))))</f>
        <v/>
      </c>
      <c r="L492" s="20" t="str">
        <f aca="false">IF(OR(J492="",H492=""),"",J492-K492)</f>
        <v/>
      </c>
      <c r="M492" s="1"/>
    </row>
    <row r="493" customFormat="false" ht="15" hidden="false" customHeight="false" outlineLevel="0" collapsed="false">
      <c r="A493" s="27"/>
      <c r="B493" s="1"/>
      <c r="C493" s="24" t="str">
        <f aca="false">IF(B493="","",IFERROR(INDEX(Patients!$B$2:$B$501,MATCH(B493,Patients!$A$2:$A$501,0))&amp;"",""))</f>
        <v/>
      </c>
      <c r="D493" s="1"/>
      <c r="E493" s="1"/>
      <c r="F493" s="28"/>
      <c r="G493" s="1"/>
      <c r="H493" s="1"/>
      <c r="I493" s="29"/>
      <c r="J493" s="20" t="str">
        <f aca="false">IF(D493="","",IFERROR(INDEX(Settings!$D$36:$D$45,MATCH(D493,Settings!$A$36:$A$45,0)),0))</f>
        <v/>
      </c>
      <c r="K493" s="20" t="str">
        <f aca="false">IF(J493="","",IF(H493="",J493,J493*(1-IF(I493="",Settings!$B$6,I493))))</f>
        <v/>
      </c>
      <c r="L493" s="20" t="str">
        <f aca="false">IF(OR(J493="",H493=""),"",J493-K493)</f>
        <v/>
      </c>
      <c r="M493" s="1"/>
    </row>
    <row r="494" customFormat="false" ht="15" hidden="false" customHeight="false" outlineLevel="0" collapsed="false">
      <c r="A494" s="27"/>
      <c r="B494" s="1"/>
      <c r="C494" s="24" t="str">
        <f aca="false">IF(B494="","",IFERROR(INDEX(Patients!$B$2:$B$501,MATCH(B494,Patients!$A$2:$A$501,0))&amp;"",""))</f>
        <v/>
      </c>
      <c r="D494" s="1"/>
      <c r="E494" s="1"/>
      <c r="F494" s="28"/>
      <c r="G494" s="1"/>
      <c r="H494" s="1"/>
      <c r="I494" s="29"/>
      <c r="J494" s="20" t="str">
        <f aca="false">IF(D494="","",IFERROR(INDEX(Settings!$D$36:$D$45,MATCH(D494,Settings!$A$36:$A$45,0)),0))</f>
        <v/>
      </c>
      <c r="K494" s="20" t="str">
        <f aca="false">IF(J494="","",IF(H494="",J494,J494*(1-IF(I494="",Settings!$B$6,I494))))</f>
        <v/>
      </c>
      <c r="L494" s="20" t="str">
        <f aca="false">IF(OR(J494="",H494=""),"",J494-K494)</f>
        <v/>
      </c>
      <c r="M494" s="1"/>
    </row>
    <row r="495" customFormat="false" ht="15" hidden="false" customHeight="false" outlineLevel="0" collapsed="false">
      <c r="A495" s="27"/>
      <c r="B495" s="1"/>
      <c r="C495" s="24" t="str">
        <f aca="false">IF(B495="","",IFERROR(INDEX(Patients!$B$2:$B$501,MATCH(B495,Patients!$A$2:$A$501,0))&amp;"",""))</f>
        <v/>
      </c>
      <c r="D495" s="1"/>
      <c r="E495" s="1"/>
      <c r="F495" s="28"/>
      <c r="G495" s="1"/>
      <c r="H495" s="1"/>
      <c r="I495" s="29"/>
      <c r="J495" s="20" t="str">
        <f aca="false">IF(D495="","",IFERROR(INDEX(Settings!$D$36:$D$45,MATCH(D495,Settings!$A$36:$A$45,0)),0))</f>
        <v/>
      </c>
      <c r="K495" s="20" t="str">
        <f aca="false">IF(J495="","",IF(H495="",J495,J495*(1-IF(I495="",Settings!$B$6,I495))))</f>
        <v/>
      </c>
      <c r="L495" s="20" t="str">
        <f aca="false">IF(OR(J495="",H495=""),"",J495-K495)</f>
        <v/>
      </c>
      <c r="M495" s="1"/>
    </row>
    <row r="496" customFormat="false" ht="15" hidden="false" customHeight="false" outlineLevel="0" collapsed="false">
      <c r="A496" s="27"/>
      <c r="B496" s="1"/>
      <c r="C496" s="24" t="str">
        <f aca="false">IF(B496="","",IFERROR(INDEX(Patients!$B$2:$B$501,MATCH(B496,Patients!$A$2:$A$501,0))&amp;"",""))</f>
        <v/>
      </c>
      <c r="D496" s="1"/>
      <c r="E496" s="1"/>
      <c r="F496" s="28"/>
      <c r="G496" s="1"/>
      <c r="H496" s="1"/>
      <c r="I496" s="29"/>
      <c r="J496" s="20" t="str">
        <f aca="false">IF(D496="","",IFERROR(INDEX(Settings!$D$36:$D$45,MATCH(D496,Settings!$A$36:$A$45,0)),0))</f>
        <v/>
      </c>
      <c r="K496" s="20" t="str">
        <f aca="false">IF(J496="","",IF(H496="",J496,J496*(1-IF(I496="",Settings!$B$6,I496))))</f>
        <v/>
      </c>
      <c r="L496" s="20" t="str">
        <f aca="false">IF(OR(J496="",H496=""),"",J496-K496)</f>
        <v/>
      </c>
      <c r="M496" s="1"/>
    </row>
    <row r="497" customFormat="false" ht="15" hidden="false" customHeight="false" outlineLevel="0" collapsed="false">
      <c r="A497" s="27"/>
      <c r="B497" s="1"/>
      <c r="C497" s="24" t="str">
        <f aca="false">IF(B497="","",IFERROR(INDEX(Patients!$B$2:$B$501,MATCH(B497,Patients!$A$2:$A$501,0))&amp;"",""))</f>
        <v/>
      </c>
      <c r="D497" s="1"/>
      <c r="E497" s="1"/>
      <c r="F497" s="28"/>
      <c r="G497" s="1"/>
      <c r="H497" s="1"/>
      <c r="I497" s="29"/>
      <c r="J497" s="20" t="str">
        <f aca="false">IF(D497="","",IFERROR(INDEX(Settings!$D$36:$D$45,MATCH(D497,Settings!$A$36:$A$45,0)),0))</f>
        <v/>
      </c>
      <c r="K497" s="20" t="str">
        <f aca="false">IF(J497="","",IF(H497="",J497,J497*(1-IF(I497="",Settings!$B$6,I497))))</f>
        <v/>
      </c>
      <c r="L497" s="20" t="str">
        <f aca="false">IF(OR(J497="",H497=""),"",J497-K497)</f>
        <v/>
      </c>
      <c r="M497" s="1"/>
    </row>
    <row r="498" customFormat="false" ht="15" hidden="false" customHeight="false" outlineLevel="0" collapsed="false">
      <c r="A498" s="27"/>
      <c r="B498" s="1"/>
      <c r="C498" s="24" t="str">
        <f aca="false">IF(B498="","",IFERROR(INDEX(Patients!$B$2:$B$501,MATCH(B498,Patients!$A$2:$A$501,0))&amp;"",""))</f>
        <v/>
      </c>
      <c r="D498" s="1"/>
      <c r="E498" s="1"/>
      <c r="F498" s="28"/>
      <c r="G498" s="1"/>
      <c r="H498" s="1"/>
      <c r="I498" s="29"/>
      <c r="J498" s="20" t="str">
        <f aca="false">IF(D498="","",IFERROR(INDEX(Settings!$D$36:$D$45,MATCH(D498,Settings!$A$36:$A$45,0)),0))</f>
        <v/>
      </c>
      <c r="K498" s="20" t="str">
        <f aca="false">IF(J498="","",IF(H498="",J498,J498*(1-IF(I498="",Settings!$B$6,I498))))</f>
        <v/>
      </c>
      <c r="L498" s="20" t="str">
        <f aca="false">IF(OR(J498="",H498=""),"",J498-K498)</f>
        <v/>
      </c>
      <c r="M498" s="1"/>
    </row>
    <row r="499" customFormat="false" ht="15" hidden="false" customHeight="false" outlineLevel="0" collapsed="false">
      <c r="A499" s="27"/>
      <c r="B499" s="1"/>
      <c r="C499" s="24" t="str">
        <f aca="false">IF(B499="","",IFERROR(INDEX(Patients!$B$2:$B$501,MATCH(B499,Patients!$A$2:$A$501,0))&amp;"",""))</f>
        <v/>
      </c>
      <c r="D499" s="1"/>
      <c r="E499" s="1"/>
      <c r="F499" s="28"/>
      <c r="G499" s="1"/>
      <c r="H499" s="1"/>
      <c r="I499" s="29"/>
      <c r="J499" s="20" t="str">
        <f aca="false">IF(D499="","",IFERROR(INDEX(Settings!$D$36:$D$45,MATCH(D499,Settings!$A$36:$A$45,0)),0))</f>
        <v/>
      </c>
      <c r="K499" s="20" t="str">
        <f aca="false">IF(J499="","",IF(H499="",J499,J499*(1-IF(I499="",Settings!$B$6,I499))))</f>
        <v/>
      </c>
      <c r="L499" s="20" t="str">
        <f aca="false">IF(OR(J499="",H499=""),"",J499-K499)</f>
        <v/>
      </c>
      <c r="M499" s="1"/>
    </row>
    <row r="500" customFormat="false" ht="15" hidden="false" customHeight="false" outlineLevel="0" collapsed="false">
      <c r="A500" s="27"/>
      <c r="B500" s="1"/>
      <c r="C500" s="24" t="str">
        <f aca="false">IF(B500="","",IFERROR(INDEX(Patients!$B$2:$B$501,MATCH(B500,Patients!$A$2:$A$501,0))&amp;"",""))</f>
        <v/>
      </c>
      <c r="D500" s="1"/>
      <c r="E500" s="1"/>
      <c r="F500" s="28"/>
      <c r="G500" s="1"/>
      <c r="H500" s="1"/>
      <c r="I500" s="29"/>
      <c r="J500" s="20" t="str">
        <f aca="false">IF(D500="","",IFERROR(INDEX(Settings!$D$36:$D$45,MATCH(D500,Settings!$A$36:$A$45,0)),0))</f>
        <v/>
      </c>
      <c r="K500" s="20" t="str">
        <f aca="false">IF(J500="","",IF(H500="",J500,J500*(1-IF(I500="",Settings!$B$6,I500))))</f>
        <v/>
      </c>
      <c r="L500" s="20" t="str">
        <f aca="false">IF(OR(J500="",H500=""),"",J500-K500)</f>
        <v/>
      </c>
      <c r="M500" s="1"/>
    </row>
    <row r="501" customFormat="false" ht="15" hidden="false" customHeight="false" outlineLevel="0" collapsed="false">
      <c r="A501" s="27"/>
      <c r="B501" s="1"/>
      <c r="C501" s="24" t="str">
        <f aca="false">IF(B501="","",IFERROR(INDEX(Patients!$B$2:$B$501,MATCH(B501,Patients!$A$2:$A$501,0))&amp;"",""))</f>
        <v/>
      </c>
      <c r="D501" s="1"/>
      <c r="E501" s="1"/>
      <c r="F501" s="28"/>
      <c r="G501" s="1"/>
      <c r="H501" s="1"/>
      <c r="I501" s="29"/>
      <c r="J501" s="20" t="str">
        <f aca="false">IF(D501="","",IFERROR(INDEX(Settings!$D$36:$D$45,MATCH(D501,Settings!$A$36:$A$45,0)),0))</f>
        <v/>
      </c>
      <c r="K501" s="20" t="str">
        <f aca="false">IF(J501="","",IF(H501="",J501,J501*(1-IF(I501="",Settings!$B$6,I501))))</f>
        <v/>
      </c>
      <c r="L501" s="20" t="str">
        <f aca="false">IF(OR(J501="",H501=""),"",J501-K501)</f>
        <v/>
      </c>
      <c r="M501" s="1"/>
    </row>
  </sheetData>
  <dataValidations count="3">
    <dataValidation allowBlank="true" error="Choose a value from the list" errorStyle="stop" errorTitle="Invalid entry" operator="between" showDropDown="false" showErrorMessage="false" showInputMessage="false" sqref="D2:D501" type="list">
      <formula1>Settings!$A$36:$A$45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G2:H501" type="list">
      <formula1>Team!$A$2:$A$51</formula1>
      <formula2>0</formula2>
    </dataValidation>
    <dataValidation allowBlank="true" error="Choose a value from the list" errorStyle="stop" errorTitle="Invalid entry" operator="between" prompt="Add the patient in Patients first" showDropDown="false" showErrorMessage="false" showInputMessage="true" sqref="B2:B501" type="list">
      <formula1>Patients!$A$2:$A$501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7"/>
    <col collapsed="false" customWidth="true" hidden="false" outlineLevel="0" max="8" min="8" style="0" width="10"/>
    <col collapsed="false" customWidth="true" hidden="false" outlineLevel="0" max="9" min="9" style="0" width="17"/>
    <col collapsed="false" customWidth="true" hidden="false" outlineLevel="0" max="12" min="10" style="0" width="14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15" t="s">
        <v>64</v>
      </c>
      <c r="B1" s="15" t="s">
        <v>37</v>
      </c>
      <c r="C1" s="15" t="s">
        <v>38</v>
      </c>
      <c r="D1" s="15" t="s">
        <v>69</v>
      </c>
      <c r="E1" s="15" t="s">
        <v>52</v>
      </c>
      <c r="F1" s="15" t="s">
        <v>67</v>
      </c>
      <c r="G1" s="15" t="s">
        <v>53</v>
      </c>
      <c r="H1" s="15" t="s">
        <v>54</v>
      </c>
      <c r="I1" s="15" t="s">
        <v>55</v>
      </c>
      <c r="J1" s="15" t="s">
        <v>56</v>
      </c>
      <c r="K1" s="15" t="s">
        <v>57</v>
      </c>
      <c r="L1" s="15" t="s">
        <v>58</v>
      </c>
      <c r="M1" s="15" t="s">
        <v>59</v>
      </c>
    </row>
    <row r="2" customFormat="false" ht="15" hidden="false" customHeight="false" outlineLevel="0" collapsed="false">
      <c r="A2" s="23" t="n">
        <v>46268</v>
      </c>
      <c r="B2" s="16" t="s">
        <v>46</v>
      </c>
      <c r="C2" s="24" t="str">
        <f aca="false">IF(B2="","",IFERROR(INDEX(Patients!$B$2:$B$501,MATCH(B2,Patients!$A$2:$A$501,0))&amp;"",""))</f>
        <v>9876543210</v>
      </c>
      <c r="D2" s="16" t="s">
        <v>70</v>
      </c>
      <c r="E2" s="25" t="n">
        <v>6000</v>
      </c>
      <c r="F2" s="16" t="s">
        <v>62</v>
      </c>
      <c r="G2" s="1"/>
      <c r="H2" s="29"/>
      <c r="I2" s="1"/>
      <c r="J2" s="20" t="n">
        <f aca="false">IF(D2="","",IFERROR(INDEX(Settings!$C$49:$C$54,MATCH(D2,Settings!$A$49:$A$54,0)),0))</f>
        <v>2000</v>
      </c>
      <c r="K2" s="20" t="n">
        <f aca="false">IF(J2="","",IF(G2="",J2,J2*(1-IF(H2="",Settings!$B$6,H2))))</f>
        <v>2000</v>
      </c>
      <c r="L2" s="20" t="str">
        <f aca="false">IF(OR(J2="",G2=""),"",J2-K2)</f>
        <v/>
      </c>
      <c r="M2" s="16" t="s">
        <v>63</v>
      </c>
    </row>
    <row r="3" customFormat="false" ht="15" hidden="false" customHeight="false" outlineLevel="0" collapsed="false">
      <c r="A3" s="27"/>
      <c r="B3" s="1"/>
      <c r="C3" s="24" t="str">
        <f aca="false">IF(B3="","",IFERROR(INDEX(Patients!$B$2:$B$501,MATCH(B3,Patients!$A$2:$A$501,0))&amp;"",""))</f>
        <v/>
      </c>
      <c r="D3" s="1"/>
      <c r="E3" s="28"/>
      <c r="F3" s="1"/>
      <c r="G3" s="1"/>
      <c r="H3" s="29"/>
      <c r="I3" s="1"/>
      <c r="J3" s="20" t="str">
        <f aca="false">IF(D3="","",IFERROR(INDEX(Settings!$C$49:$C$54,MATCH(D3,Settings!$A$49:$A$54,0)),0))</f>
        <v/>
      </c>
      <c r="K3" s="20" t="str">
        <f aca="false">IF(J3="","",IF(G3="",J3,J3*(1-IF(H3="",Settings!$B$6,H3))))</f>
        <v/>
      </c>
      <c r="L3" s="20" t="str">
        <f aca="false">IF(OR(J3="",G3=""),"",J3-K3)</f>
        <v/>
      </c>
      <c r="M3" s="1"/>
    </row>
    <row r="4" customFormat="false" ht="15" hidden="false" customHeight="false" outlineLevel="0" collapsed="false">
      <c r="A4" s="27"/>
      <c r="B4" s="1"/>
      <c r="C4" s="24" t="str">
        <f aca="false">IF(B4="","",IFERROR(INDEX(Patients!$B$2:$B$501,MATCH(B4,Patients!$A$2:$A$501,0))&amp;"",""))</f>
        <v/>
      </c>
      <c r="D4" s="1"/>
      <c r="E4" s="28"/>
      <c r="F4" s="1"/>
      <c r="G4" s="1"/>
      <c r="H4" s="29"/>
      <c r="I4" s="1"/>
      <c r="J4" s="20" t="str">
        <f aca="false">IF(D4="","",IFERROR(INDEX(Settings!$C$49:$C$54,MATCH(D4,Settings!$A$49:$A$54,0)),0))</f>
        <v/>
      </c>
      <c r="K4" s="20" t="str">
        <f aca="false">IF(J4="","",IF(G4="",J4,J4*(1-IF(H4="",Settings!$B$6,H4))))</f>
        <v/>
      </c>
      <c r="L4" s="20" t="str">
        <f aca="false">IF(OR(J4="",G4=""),"",J4-K4)</f>
        <v/>
      </c>
      <c r="M4" s="1"/>
    </row>
    <row r="5" customFormat="false" ht="15" hidden="false" customHeight="false" outlineLevel="0" collapsed="false">
      <c r="A5" s="27"/>
      <c r="B5" s="1"/>
      <c r="C5" s="24" t="str">
        <f aca="false">IF(B5="","",IFERROR(INDEX(Patients!$B$2:$B$501,MATCH(B5,Patients!$A$2:$A$501,0))&amp;"",""))</f>
        <v/>
      </c>
      <c r="D5" s="1"/>
      <c r="E5" s="28"/>
      <c r="F5" s="1"/>
      <c r="G5" s="1"/>
      <c r="H5" s="29"/>
      <c r="I5" s="1"/>
      <c r="J5" s="20" t="str">
        <f aca="false">IF(D5="","",IFERROR(INDEX(Settings!$C$49:$C$54,MATCH(D5,Settings!$A$49:$A$54,0)),0))</f>
        <v/>
      </c>
      <c r="K5" s="20" t="str">
        <f aca="false">IF(J5="","",IF(G5="",J5,J5*(1-IF(H5="",Settings!$B$6,H5))))</f>
        <v/>
      </c>
      <c r="L5" s="20" t="str">
        <f aca="false">IF(OR(J5="",G5=""),"",J5-K5)</f>
        <v/>
      </c>
      <c r="M5" s="1"/>
    </row>
    <row r="6" customFormat="false" ht="15" hidden="false" customHeight="false" outlineLevel="0" collapsed="false">
      <c r="A6" s="27"/>
      <c r="B6" s="1"/>
      <c r="C6" s="24" t="str">
        <f aca="false">IF(B6="","",IFERROR(INDEX(Patients!$B$2:$B$501,MATCH(B6,Patients!$A$2:$A$501,0))&amp;"",""))</f>
        <v/>
      </c>
      <c r="D6" s="1"/>
      <c r="E6" s="28"/>
      <c r="F6" s="1"/>
      <c r="G6" s="1"/>
      <c r="H6" s="29"/>
      <c r="I6" s="1"/>
      <c r="J6" s="20" t="str">
        <f aca="false">IF(D6="","",IFERROR(INDEX(Settings!$C$49:$C$54,MATCH(D6,Settings!$A$49:$A$54,0)),0))</f>
        <v/>
      </c>
      <c r="K6" s="20" t="str">
        <f aca="false">IF(J6="","",IF(G6="",J6,J6*(1-IF(H6="",Settings!$B$6,H6))))</f>
        <v/>
      </c>
      <c r="L6" s="20" t="str">
        <f aca="false">IF(OR(J6="",G6=""),"",J6-K6)</f>
        <v/>
      </c>
      <c r="M6" s="1"/>
    </row>
    <row r="7" customFormat="false" ht="15" hidden="false" customHeight="false" outlineLevel="0" collapsed="false">
      <c r="A7" s="27"/>
      <c r="B7" s="1"/>
      <c r="C7" s="24" t="str">
        <f aca="false">IF(B7="","",IFERROR(INDEX(Patients!$B$2:$B$501,MATCH(B7,Patients!$A$2:$A$501,0))&amp;"",""))</f>
        <v/>
      </c>
      <c r="D7" s="1"/>
      <c r="E7" s="28"/>
      <c r="F7" s="1"/>
      <c r="G7" s="1"/>
      <c r="H7" s="29"/>
      <c r="I7" s="1"/>
      <c r="J7" s="20" t="str">
        <f aca="false">IF(D7="","",IFERROR(INDEX(Settings!$C$49:$C$54,MATCH(D7,Settings!$A$49:$A$54,0)),0))</f>
        <v/>
      </c>
      <c r="K7" s="20" t="str">
        <f aca="false">IF(J7="","",IF(G7="",J7,J7*(1-IF(H7="",Settings!$B$6,H7))))</f>
        <v/>
      </c>
      <c r="L7" s="20" t="str">
        <f aca="false">IF(OR(J7="",G7=""),"",J7-K7)</f>
        <v/>
      </c>
      <c r="M7" s="1"/>
    </row>
    <row r="8" customFormat="false" ht="15" hidden="false" customHeight="false" outlineLevel="0" collapsed="false">
      <c r="A8" s="27"/>
      <c r="B8" s="1"/>
      <c r="C8" s="24" t="str">
        <f aca="false">IF(B8="","",IFERROR(INDEX(Patients!$B$2:$B$501,MATCH(B8,Patients!$A$2:$A$501,0))&amp;"",""))</f>
        <v/>
      </c>
      <c r="D8" s="1"/>
      <c r="E8" s="28"/>
      <c r="F8" s="1"/>
      <c r="G8" s="1"/>
      <c r="H8" s="29"/>
      <c r="I8" s="1"/>
      <c r="J8" s="20" t="str">
        <f aca="false">IF(D8="","",IFERROR(INDEX(Settings!$C$49:$C$54,MATCH(D8,Settings!$A$49:$A$54,0)),0))</f>
        <v/>
      </c>
      <c r="K8" s="20" t="str">
        <f aca="false">IF(J8="","",IF(G8="",J8,J8*(1-IF(H8="",Settings!$B$6,H8))))</f>
        <v/>
      </c>
      <c r="L8" s="20" t="str">
        <f aca="false">IF(OR(J8="",G8=""),"",J8-K8)</f>
        <v/>
      </c>
      <c r="M8" s="1"/>
    </row>
    <row r="9" customFormat="false" ht="15" hidden="false" customHeight="false" outlineLevel="0" collapsed="false">
      <c r="A9" s="27"/>
      <c r="B9" s="1"/>
      <c r="C9" s="24" t="str">
        <f aca="false">IF(B9="","",IFERROR(INDEX(Patients!$B$2:$B$501,MATCH(B9,Patients!$A$2:$A$501,0))&amp;"",""))</f>
        <v/>
      </c>
      <c r="D9" s="1"/>
      <c r="E9" s="28"/>
      <c r="F9" s="1"/>
      <c r="G9" s="1"/>
      <c r="H9" s="29"/>
      <c r="I9" s="1"/>
      <c r="J9" s="20" t="str">
        <f aca="false">IF(D9="","",IFERROR(INDEX(Settings!$C$49:$C$54,MATCH(D9,Settings!$A$49:$A$54,0)),0))</f>
        <v/>
      </c>
      <c r="K9" s="20" t="str">
        <f aca="false">IF(J9="","",IF(G9="",J9,J9*(1-IF(H9="",Settings!$B$6,H9))))</f>
        <v/>
      </c>
      <c r="L9" s="20" t="str">
        <f aca="false">IF(OR(J9="",G9=""),"",J9-K9)</f>
        <v/>
      </c>
      <c r="M9" s="1"/>
    </row>
    <row r="10" customFormat="false" ht="15" hidden="false" customHeight="false" outlineLevel="0" collapsed="false">
      <c r="A10" s="27"/>
      <c r="B10" s="1"/>
      <c r="C10" s="24" t="str">
        <f aca="false">IF(B10="","",IFERROR(INDEX(Patients!$B$2:$B$501,MATCH(B10,Patients!$A$2:$A$501,0))&amp;"",""))</f>
        <v/>
      </c>
      <c r="D10" s="1"/>
      <c r="E10" s="28"/>
      <c r="F10" s="1"/>
      <c r="G10" s="1"/>
      <c r="H10" s="29"/>
      <c r="I10" s="1"/>
      <c r="J10" s="20" t="str">
        <f aca="false">IF(D10="","",IFERROR(INDEX(Settings!$C$49:$C$54,MATCH(D10,Settings!$A$49:$A$54,0)),0))</f>
        <v/>
      </c>
      <c r="K10" s="20" t="str">
        <f aca="false">IF(J10="","",IF(G10="",J10,J10*(1-IF(H10="",Settings!$B$6,H10))))</f>
        <v/>
      </c>
      <c r="L10" s="20" t="str">
        <f aca="false">IF(OR(J10="",G10=""),"",J10-K10)</f>
        <v/>
      </c>
      <c r="M10" s="1"/>
    </row>
    <row r="11" customFormat="false" ht="15" hidden="false" customHeight="false" outlineLevel="0" collapsed="false">
      <c r="A11" s="27"/>
      <c r="B11" s="1"/>
      <c r="C11" s="24" t="str">
        <f aca="false">IF(B11="","",IFERROR(INDEX(Patients!$B$2:$B$501,MATCH(B11,Patients!$A$2:$A$501,0))&amp;"",""))</f>
        <v/>
      </c>
      <c r="D11" s="1"/>
      <c r="E11" s="28"/>
      <c r="F11" s="1"/>
      <c r="G11" s="1"/>
      <c r="H11" s="29"/>
      <c r="I11" s="1"/>
      <c r="J11" s="20" t="str">
        <f aca="false">IF(D11="","",IFERROR(INDEX(Settings!$C$49:$C$54,MATCH(D11,Settings!$A$49:$A$54,0)),0))</f>
        <v/>
      </c>
      <c r="K11" s="20" t="str">
        <f aca="false">IF(J11="","",IF(G11="",J11,J11*(1-IF(H11="",Settings!$B$6,H11))))</f>
        <v/>
      </c>
      <c r="L11" s="20" t="str">
        <f aca="false">IF(OR(J11="",G11=""),"",J11-K11)</f>
        <v/>
      </c>
      <c r="M11" s="1"/>
    </row>
    <row r="12" customFormat="false" ht="15" hidden="false" customHeight="false" outlineLevel="0" collapsed="false">
      <c r="A12" s="27"/>
      <c r="B12" s="1"/>
      <c r="C12" s="24" t="str">
        <f aca="false">IF(B12="","",IFERROR(INDEX(Patients!$B$2:$B$501,MATCH(B12,Patients!$A$2:$A$501,0))&amp;"",""))</f>
        <v/>
      </c>
      <c r="D12" s="1"/>
      <c r="E12" s="28"/>
      <c r="F12" s="1"/>
      <c r="G12" s="1"/>
      <c r="H12" s="29"/>
      <c r="I12" s="1"/>
      <c r="J12" s="20" t="str">
        <f aca="false">IF(D12="","",IFERROR(INDEX(Settings!$C$49:$C$54,MATCH(D12,Settings!$A$49:$A$54,0)),0))</f>
        <v/>
      </c>
      <c r="K12" s="20" t="str">
        <f aca="false">IF(J12="","",IF(G12="",J12,J12*(1-IF(H12="",Settings!$B$6,H12))))</f>
        <v/>
      </c>
      <c r="L12" s="20" t="str">
        <f aca="false">IF(OR(J12="",G12=""),"",J12-K12)</f>
        <v/>
      </c>
      <c r="M12" s="1"/>
    </row>
    <row r="13" customFormat="false" ht="15" hidden="false" customHeight="false" outlineLevel="0" collapsed="false">
      <c r="A13" s="27"/>
      <c r="B13" s="1"/>
      <c r="C13" s="24" t="str">
        <f aca="false">IF(B13="","",IFERROR(INDEX(Patients!$B$2:$B$501,MATCH(B13,Patients!$A$2:$A$501,0))&amp;"",""))</f>
        <v/>
      </c>
      <c r="D13" s="1"/>
      <c r="E13" s="28"/>
      <c r="F13" s="1"/>
      <c r="G13" s="1"/>
      <c r="H13" s="29"/>
      <c r="I13" s="1"/>
      <c r="J13" s="20" t="str">
        <f aca="false">IF(D13="","",IFERROR(INDEX(Settings!$C$49:$C$54,MATCH(D13,Settings!$A$49:$A$54,0)),0))</f>
        <v/>
      </c>
      <c r="K13" s="20" t="str">
        <f aca="false">IF(J13="","",IF(G13="",J13,J13*(1-IF(H13="",Settings!$B$6,H13))))</f>
        <v/>
      </c>
      <c r="L13" s="20" t="str">
        <f aca="false">IF(OR(J13="",G13=""),"",J13-K13)</f>
        <v/>
      </c>
      <c r="M13" s="1"/>
    </row>
    <row r="14" customFormat="false" ht="15" hidden="false" customHeight="false" outlineLevel="0" collapsed="false">
      <c r="A14" s="27"/>
      <c r="B14" s="1"/>
      <c r="C14" s="24" t="str">
        <f aca="false">IF(B14="","",IFERROR(INDEX(Patients!$B$2:$B$501,MATCH(B14,Patients!$A$2:$A$501,0))&amp;"",""))</f>
        <v/>
      </c>
      <c r="D14" s="1"/>
      <c r="E14" s="28"/>
      <c r="F14" s="1"/>
      <c r="G14" s="1"/>
      <c r="H14" s="29"/>
      <c r="I14" s="1"/>
      <c r="J14" s="20" t="str">
        <f aca="false">IF(D14="","",IFERROR(INDEX(Settings!$C$49:$C$54,MATCH(D14,Settings!$A$49:$A$54,0)),0))</f>
        <v/>
      </c>
      <c r="K14" s="20" t="str">
        <f aca="false">IF(J14="","",IF(G14="",J14,J14*(1-IF(H14="",Settings!$B$6,H14))))</f>
        <v/>
      </c>
      <c r="L14" s="20" t="str">
        <f aca="false">IF(OR(J14="",G14=""),"",J14-K14)</f>
        <v/>
      </c>
      <c r="M14" s="1"/>
    </row>
    <row r="15" customFormat="false" ht="15" hidden="false" customHeight="false" outlineLevel="0" collapsed="false">
      <c r="A15" s="27"/>
      <c r="B15" s="1"/>
      <c r="C15" s="24" t="str">
        <f aca="false">IF(B15="","",IFERROR(INDEX(Patients!$B$2:$B$501,MATCH(B15,Patients!$A$2:$A$501,0))&amp;"",""))</f>
        <v/>
      </c>
      <c r="D15" s="1"/>
      <c r="E15" s="28"/>
      <c r="F15" s="1"/>
      <c r="G15" s="1"/>
      <c r="H15" s="29"/>
      <c r="I15" s="1"/>
      <c r="J15" s="20" t="str">
        <f aca="false">IF(D15="","",IFERROR(INDEX(Settings!$C$49:$C$54,MATCH(D15,Settings!$A$49:$A$54,0)),0))</f>
        <v/>
      </c>
      <c r="K15" s="20" t="str">
        <f aca="false">IF(J15="","",IF(G15="",J15,J15*(1-IF(H15="",Settings!$B$6,H15))))</f>
        <v/>
      </c>
      <c r="L15" s="20" t="str">
        <f aca="false">IF(OR(J15="",G15=""),"",J15-K15)</f>
        <v/>
      </c>
      <c r="M15" s="1"/>
    </row>
    <row r="16" customFormat="false" ht="15" hidden="false" customHeight="false" outlineLevel="0" collapsed="false">
      <c r="A16" s="27"/>
      <c r="B16" s="1"/>
      <c r="C16" s="24" t="str">
        <f aca="false">IF(B16="","",IFERROR(INDEX(Patients!$B$2:$B$501,MATCH(B16,Patients!$A$2:$A$501,0))&amp;"",""))</f>
        <v/>
      </c>
      <c r="D16" s="1"/>
      <c r="E16" s="28"/>
      <c r="F16" s="1"/>
      <c r="G16" s="1"/>
      <c r="H16" s="29"/>
      <c r="I16" s="1"/>
      <c r="J16" s="20" t="str">
        <f aca="false">IF(D16="","",IFERROR(INDEX(Settings!$C$49:$C$54,MATCH(D16,Settings!$A$49:$A$54,0)),0))</f>
        <v/>
      </c>
      <c r="K16" s="20" t="str">
        <f aca="false">IF(J16="","",IF(G16="",J16,J16*(1-IF(H16="",Settings!$B$6,H16))))</f>
        <v/>
      </c>
      <c r="L16" s="20" t="str">
        <f aca="false">IF(OR(J16="",G16=""),"",J16-K16)</f>
        <v/>
      </c>
      <c r="M16" s="1"/>
    </row>
    <row r="17" customFormat="false" ht="15" hidden="false" customHeight="false" outlineLevel="0" collapsed="false">
      <c r="A17" s="27"/>
      <c r="B17" s="1"/>
      <c r="C17" s="24" t="str">
        <f aca="false">IF(B17="","",IFERROR(INDEX(Patients!$B$2:$B$501,MATCH(B17,Patients!$A$2:$A$501,0))&amp;"",""))</f>
        <v/>
      </c>
      <c r="D17" s="1"/>
      <c r="E17" s="28"/>
      <c r="F17" s="1"/>
      <c r="G17" s="1"/>
      <c r="H17" s="29"/>
      <c r="I17" s="1"/>
      <c r="J17" s="20" t="str">
        <f aca="false">IF(D17="","",IFERROR(INDEX(Settings!$C$49:$C$54,MATCH(D17,Settings!$A$49:$A$54,0)),0))</f>
        <v/>
      </c>
      <c r="K17" s="20" t="str">
        <f aca="false">IF(J17="","",IF(G17="",J17,J17*(1-IF(H17="",Settings!$B$6,H17))))</f>
        <v/>
      </c>
      <c r="L17" s="20" t="str">
        <f aca="false">IF(OR(J17="",G17=""),"",J17-K17)</f>
        <v/>
      </c>
      <c r="M17" s="1"/>
    </row>
    <row r="18" customFormat="false" ht="15" hidden="false" customHeight="false" outlineLevel="0" collapsed="false">
      <c r="A18" s="27"/>
      <c r="B18" s="1"/>
      <c r="C18" s="24" t="str">
        <f aca="false">IF(B18="","",IFERROR(INDEX(Patients!$B$2:$B$501,MATCH(B18,Patients!$A$2:$A$501,0))&amp;"",""))</f>
        <v/>
      </c>
      <c r="D18" s="1"/>
      <c r="E18" s="28"/>
      <c r="F18" s="1"/>
      <c r="G18" s="1"/>
      <c r="H18" s="29"/>
      <c r="I18" s="1"/>
      <c r="J18" s="20" t="str">
        <f aca="false">IF(D18="","",IFERROR(INDEX(Settings!$C$49:$C$54,MATCH(D18,Settings!$A$49:$A$54,0)),0))</f>
        <v/>
      </c>
      <c r="K18" s="20" t="str">
        <f aca="false">IF(J18="","",IF(G18="",J18,J18*(1-IF(H18="",Settings!$B$6,H18))))</f>
        <v/>
      </c>
      <c r="L18" s="20" t="str">
        <f aca="false">IF(OR(J18="",G18=""),"",J18-K18)</f>
        <v/>
      </c>
      <c r="M18" s="1"/>
    </row>
    <row r="19" customFormat="false" ht="15" hidden="false" customHeight="false" outlineLevel="0" collapsed="false">
      <c r="A19" s="27"/>
      <c r="B19" s="1"/>
      <c r="C19" s="24" t="str">
        <f aca="false">IF(B19="","",IFERROR(INDEX(Patients!$B$2:$B$501,MATCH(B19,Patients!$A$2:$A$501,0))&amp;"",""))</f>
        <v/>
      </c>
      <c r="D19" s="1"/>
      <c r="E19" s="28"/>
      <c r="F19" s="1"/>
      <c r="G19" s="1"/>
      <c r="H19" s="29"/>
      <c r="I19" s="1"/>
      <c r="J19" s="20" t="str">
        <f aca="false">IF(D19="","",IFERROR(INDEX(Settings!$C$49:$C$54,MATCH(D19,Settings!$A$49:$A$54,0)),0))</f>
        <v/>
      </c>
      <c r="K19" s="20" t="str">
        <f aca="false">IF(J19="","",IF(G19="",J19,J19*(1-IF(H19="",Settings!$B$6,H19))))</f>
        <v/>
      </c>
      <c r="L19" s="20" t="str">
        <f aca="false">IF(OR(J19="",G19=""),"",J19-K19)</f>
        <v/>
      </c>
      <c r="M19" s="1"/>
    </row>
    <row r="20" customFormat="false" ht="15" hidden="false" customHeight="false" outlineLevel="0" collapsed="false">
      <c r="A20" s="27"/>
      <c r="B20" s="1"/>
      <c r="C20" s="24" t="str">
        <f aca="false">IF(B20="","",IFERROR(INDEX(Patients!$B$2:$B$501,MATCH(B20,Patients!$A$2:$A$501,0))&amp;"",""))</f>
        <v/>
      </c>
      <c r="D20" s="1"/>
      <c r="E20" s="28"/>
      <c r="F20" s="1"/>
      <c r="G20" s="1"/>
      <c r="H20" s="29"/>
      <c r="I20" s="1"/>
      <c r="J20" s="20" t="str">
        <f aca="false">IF(D20="","",IFERROR(INDEX(Settings!$C$49:$C$54,MATCH(D20,Settings!$A$49:$A$54,0)),0))</f>
        <v/>
      </c>
      <c r="K20" s="20" t="str">
        <f aca="false">IF(J20="","",IF(G20="",J20,J20*(1-IF(H20="",Settings!$B$6,H20))))</f>
        <v/>
      </c>
      <c r="L20" s="20" t="str">
        <f aca="false">IF(OR(J20="",G20=""),"",J20-K20)</f>
        <v/>
      </c>
      <c r="M20" s="1"/>
    </row>
    <row r="21" customFormat="false" ht="15" hidden="false" customHeight="false" outlineLevel="0" collapsed="false">
      <c r="A21" s="27"/>
      <c r="B21" s="1"/>
      <c r="C21" s="24" t="str">
        <f aca="false">IF(B21="","",IFERROR(INDEX(Patients!$B$2:$B$501,MATCH(B21,Patients!$A$2:$A$501,0))&amp;"",""))</f>
        <v/>
      </c>
      <c r="D21" s="1"/>
      <c r="E21" s="28"/>
      <c r="F21" s="1"/>
      <c r="G21" s="1"/>
      <c r="H21" s="29"/>
      <c r="I21" s="1"/>
      <c r="J21" s="20" t="str">
        <f aca="false">IF(D21="","",IFERROR(INDEX(Settings!$C$49:$C$54,MATCH(D21,Settings!$A$49:$A$54,0)),0))</f>
        <v/>
      </c>
      <c r="K21" s="20" t="str">
        <f aca="false">IF(J21="","",IF(G21="",J21,J21*(1-IF(H21="",Settings!$B$6,H21))))</f>
        <v/>
      </c>
      <c r="L21" s="20" t="str">
        <f aca="false">IF(OR(J21="",G21=""),"",J21-K21)</f>
        <v/>
      </c>
      <c r="M21" s="1"/>
    </row>
    <row r="22" customFormat="false" ht="15" hidden="false" customHeight="false" outlineLevel="0" collapsed="false">
      <c r="A22" s="27"/>
      <c r="B22" s="1"/>
      <c r="C22" s="24" t="str">
        <f aca="false">IF(B22="","",IFERROR(INDEX(Patients!$B$2:$B$501,MATCH(B22,Patients!$A$2:$A$501,0))&amp;"",""))</f>
        <v/>
      </c>
      <c r="D22" s="1"/>
      <c r="E22" s="28"/>
      <c r="F22" s="1"/>
      <c r="G22" s="1"/>
      <c r="H22" s="29"/>
      <c r="I22" s="1"/>
      <c r="J22" s="20" t="str">
        <f aca="false">IF(D22="","",IFERROR(INDEX(Settings!$C$49:$C$54,MATCH(D22,Settings!$A$49:$A$54,0)),0))</f>
        <v/>
      </c>
      <c r="K22" s="20" t="str">
        <f aca="false">IF(J22="","",IF(G22="",J22,J22*(1-IF(H22="",Settings!$B$6,H22))))</f>
        <v/>
      </c>
      <c r="L22" s="20" t="str">
        <f aca="false">IF(OR(J22="",G22=""),"",J22-K22)</f>
        <v/>
      </c>
      <c r="M22" s="1"/>
    </row>
    <row r="23" customFormat="false" ht="15" hidden="false" customHeight="false" outlineLevel="0" collapsed="false">
      <c r="A23" s="27"/>
      <c r="B23" s="1"/>
      <c r="C23" s="24" t="str">
        <f aca="false">IF(B23="","",IFERROR(INDEX(Patients!$B$2:$B$501,MATCH(B23,Patients!$A$2:$A$501,0))&amp;"",""))</f>
        <v/>
      </c>
      <c r="D23" s="1"/>
      <c r="E23" s="28"/>
      <c r="F23" s="1"/>
      <c r="G23" s="1"/>
      <c r="H23" s="29"/>
      <c r="I23" s="1"/>
      <c r="J23" s="20" t="str">
        <f aca="false">IF(D23="","",IFERROR(INDEX(Settings!$C$49:$C$54,MATCH(D23,Settings!$A$49:$A$54,0)),0))</f>
        <v/>
      </c>
      <c r="K23" s="20" t="str">
        <f aca="false">IF(J23="","",IF(G23="",J23,J23*(1-IF(H23="",Settings!$B$6,H23))))</f>
        <v/>
      </c>
      <c r="L23" s="20" t="str">
        <f aca="false">IF(OR(J23="",G23=""),"",J23-K23)</f>
        <v/>
      </c>
      <c r="M23" s="1"/>
    </row>
    <row r="24" customFormat="false" ht="15" hidden="false" customHeight="false" outlineLevel="0" collapsed="false">
      <c r="A24" s="27"/>
      <c r="B24" s="1"/>
      <c r="C24" s="24" t="str">
        <f aca="false">IF(B24="","",IFERROR(INDEX(Patients!$B$2:$B$501,MATCH(B24,Patients!$A$2:$A$501,0))&amp;"",""))</f>
        <v/>
      </c>
      <c r="D24" s="1"/>
      <c r="E24" s="28"/>
      <c r="F24" s="1"/>
      <c r="G24" s="1"/>
      <c r="H24" s="29"/>
      <c r="I24" s="1"/>
      <c r="J24" s="20" t="str">
        <f aca="false">IF(D24="","",IFERROR(INDEX(Settings!$C$49:$C$54,MATCH(D24,Settings!$A$49:$A$54,0)),0))</f>
        <v/>
      </c>
      <c r="K24" s="20" t="str">
        <f aca="false">IF(J24="","",IF(G24="",J24,J24*(1-IF(H24="",Settings!$B$6,H24))))</f>
        <v/>
      </c>
      <c r="L24" s="20" t="str">
        <f aca="false">IF(OR(J24="",G24=""),"",J24-K24)</f>
        <v/>
      </c>
      <c r="M24" s="1"/>
    </row>
    <row r="25" customFormat="false" ht="15" hidden="false" customHeight="false" outlineLevel="0" collapsed="false">
      <c r="A25" s="27"/>
      <c r="B25" s="1"/>
      <c r="C25" s="24" t="str">
        <f aca="false">IF(B25="","",IFERROR(INDEX(Patients!$B$2:$B$501,MATCH(B25,Patients!$A$2:$A$501,0))&amp;"",""))</f>
        <v/>
      </c>
      <c r="D25" s="1"/>
      <c r="E25" s="28"/>
      <c r="F25" s="1"/>
      <c r="G25" s="1"/>
      <c r="H25" s="29"/>
      <c r="I25" s="1"/>
      <c r="J25" s="20" t="str">
        <f aca="false">IF(D25="","",IFERROR(INDEX(Settings!$C$49:$C$54,MATCH(D25,Settings!$A$49:$A$54,0)),0))</f>
        <v/>
      </c>
      <c r="K25" s="20" t="str">
        <f aca="false">IF(J25="","",IF(G25="",J25,J25*(1-IF(H25="",Settings!$B$6,H25))))</f>
        <v/>
      </c>
      <c r="L25" s="20" t="str">
        <f aca="false">IF(OR(J25="",G25=""),"",J25-K25)</f>
        <v/>
      </c>
      <c r="M25" s="1"/>
    </row>
    <row r="26" customFormat="false" ht="15" hidden="false" customHeight="false" outlineLevel="0" collapsed="false">
      <c r="A26" s="27"/>
      <c r="B26" s="1"/>
      <c r="C26" s="24" t="str">
        <f aca="false">IF(B26="","",IFERROR(INDEX(Patients!$B$2:$B$501,MATCH(B26,Patients!$A$2:$A$501,0))&amp;"",""))</f>
        <v/>
      </c>
      <c r="D26" s="1"/>
      <c r="E26" s="28"/>
      <c r="F26" s="1"/>
      <c r="G26" s="1"/>
      <c r="H26" s="29"/>
      <c r="I26" s="1"/>
      <c r="J26" s="20" t="str">
        <f aca="false">IF(D26="","",IFERROR(INDEX(Settings!$C$49:$C$54,MATCH(D26,Settings!$A$49:$A$54,0)),0))</f>
        <v/>
      </c>
      <c r="K26" s="20" t="str">
        <f aca="false">IF(J26="","",IF(G26="",J26,J26*(1-IF(H26="",Settings!$B$6,H26))))</f>
        <v/>
      </c>
      <c r="L26" s="20" t="str">
        <f aca="false">IF(OR(J26="",G26=""),"",J26-K26)</f>
        <v/>
      </c>
      <c r="M26" s="1"/>
    </row>
    <row r="27" customFormat="false" ht="15" hidden="false" customHeight="false" outlineLevel="0" collapsed="false">
      <c r="A27" s="27"/>
      <c r="B27" s="1"/>
      <c r="C27" s="24" t="str">
        <f aca="false">IF(B27="","",IFERROR(INDEX(Patients!$B$2:$B$501,MATCH(B27,Patients!$A$2:$A$501,0))&amp;"",""))</f>
        <v/>
      </c>
      <c r="D27" s="1"/>
      <c r="E27" s="28"/>
      <c r="F27" s="1"/>
      <c r="G27" s="1"/>
      <c r="H27" s="29"/>
      <c r="I27" s="1"/>
      <c r="J27" s="20" t="str">
        <f aca="false">IF(D27="","",IFERROR(INDEX(Settings!$C$49:$C$54,MATCH(D27,Settings!$A$49:$A$54,0)),0))</f>
        <v/>
      </c>
      <c r="K27" s="20" t="str">
        <f aca="false">IF(J27="","",IF(G27="",J27,J27*(1-IF(H27="",Settings!$B$6,H27))))</f>
        <v/>
      </c>
      <c r="L27" s="20" t="str">
        <f aca="false">IF(OR(J27="",G27=""),"",J27-K27)</f>
        <v/>
      </c>
      <c r="M27" s="1"/>
    </row>
    <row r="28" customFormat="false" ht="15" hidden="false" customHeight="false" outlineLevel="0" collapsed="false">
      <c r="A28" s="27"/>
      <c r="B28" s="1"/>
      <c r="C28" s="24" t="str">
        <f aca="false">IF(B28="","",IFERROR(INDEX(Patients!$B$2:$B$501,MATCH(B28,Patients!$A$2:$A$501,0))&amp;"",""))</f>
        <v/>
      </c>
      <c r="D28" s="1"/>
      <c r="E28" s="28"/>
      <c r="F28" s="1"/>
      <c r="G28" s="1"/>
      <c r="H28" s="29"/>
      <c r="I28" s="1"/>
      <c r="J28" s="20" t="str">
        <f aca="false">IF(D28="","",IFERROR(INDEX(Settings!$C$49:$C$54,MATCH(D28,Settings!$A$49:$A$54,0)),0))</f>
        <v/>
      </c>
      <c r="K28" s="20" t="str">
        <f aca="false">IF(J28="","",IF(G28="",J28,J28*(1-IF(H28="",Settings!$B$6,H28))))</f>
        <v/>
      </c>
      <c r="L28" s="20" t="str">
        <f aca="false">IF(OR(J28="",G28=""),"",J28-K28)</f>
        <v/>
      </c>
      <c r="M28" s="1"/>
    </row>
    <row r="29" customFormat="false" ht="15" hidden="false" customHeight="false" outlineLevel="0" collapsed="false">
      <c r="A29" s="27"/>
      <c r="B29" s="1"/>
      <c r="C29" s="24" t="str">
        <f aca="false">IF(B29="","",IFERROR(INDEX(Patients!$B$2:$B$501,MATCH(B29,Patients!$A$2:$A$501,0))&amp;"",""))</f>
        <v/>
      </c>
      <c r="D29" s="1"/>
      <c r="E29" s="28"/>
      <c r="F29" s="1"/>
      <c r="G29" s="1"/>
      <c r="H29" s="29"/>
      <c r="I29" s="1"/>
      <c r="J29" s="20" t="str">
        <f aca="false">IF(D29="","",IFERROR(INDEX(Settings!$C$49:$C$54,MATCH(D29,Settings!$A$49:$A$54,0)),0))</f>
        <v/>
      </c>
      <c r="K29" s="20" t="str">
        <f aca="false">IF(J29="","",IF(G29="",J29,J29*(1-IF(H29="",Settings!$B$6,H29))))</f>
        <v/>
      </c>
      <c r="L29" s="20" t="str">
        <f aca="false">IF(OR(J29="",G29=""),"",J29-K29)</f>
        <v/>
      </c>
      <c r="M29" s="1"/>
    </row>
    <row r="30" customFormat="false" ht="15" hidden="false" customHeight="false" outlineLevel="0" collapsed="false">
      <c r="A30" s="27"/>
      <c r="B30" s="1"/>
      <c r="C30" s="24" t="str">
        <f aca="false">IF(B30="","",IFERROR(INDEX(Patients!$B$2:$B$501,MATCH(B30,Patients!$A$2:$A$501,0))&amp;"",""))</f>
        <v/>
      </c>
      <c r="D30" s="1"/>
      <c r="E30" s="28"/>
      <c r="F30" s="1"/>
      <c r="G30" s="1"/>
      <c r="H30" s="29"/>
      <c r="I30" s="1"/>
      <c r="J30" s="20" t="str">
        <f aca="false">IF(D30="","",IFERROR(INDEX(Settings!$C$49:$C$54,MATCH(D30,Settings!$A$49:$A$54,0)),0))</f>
        <v/>
      </c>
      <c r="K30" s="20" t="str">
        <f aca="false">IF(J30="","",IF(G30="",J30,J30*(1-IF(H30="",Settings!$B$6,H30))))</f>
        <v/>
      </c>
      <c r="L30" s="20" t="str">
        <f aca="false">IF(OR(J30="",G30=""),"",J30-K30)</f>
        <v/>
      </c>
      <c r="M30" s="1"/>
    </row>
    <row r="31" customFormat="false" ht="15" hidden="false" customHeight="false" outlineLevel="0" collapsed="false">
      <c r="A31" s="27"/>
      <c r="B31" s="1"/>
      <c r="C31" s="24" t="str">
        <f aca="false">IF(B31="","",IFERROR(INDEX(Patients!$B$2:$B$501,MATCH(B31,Patients!$A$2:$A$501,0))&amp;"",""))</f>
        <v/>
      </c>
      <c r="D31" s="1"/>
      <c r="E31" s="28"/>
      <c r="F31" s="1"/>
      <c r="G31" s="1"/>
      <c r="H31" s="29"/>
      <c r="I31" s="1"/>
      <c r="J31" s="20" t="str">
        <f aca="false">IF(D31="","",IFERROR(INDEX(Settings!$C$49:$C$54,MATCH(D31,Settings!$A$49:$A$54,0)),0))</f>
        <v/>
      </c>
      <c r="K31" s="20" t="str">
        <f aca="false">IF(J31="","",IF(G31="",J31,J31*(1-IF(H31="",Settings!$B$6,H31))))</f>
        <v/>
      </c>
      <c r="L31" s="20" t="str">
        <f aca="false">IF(OR(J31="",G31=""),"",J31-K31)</f>
        <v/>
      </c>
      <c r="M31" s="1"/>
    </row>
    <row r="32" customFormat="false" ht="15" hidden="false" customHeight="false" outlineLevel="0" collapsed="false">
      <c r="A32" s="27"/>
      <c r="B32" s="1"/>
      <c r="C32" s="24" t="str">
        <f aca="false">IF(B32="","",IFERROR(INDEX(Patients!$B$2:$B$501,MATCH(B32,Patients!$A$2:$A$501,0))&amp;"",""))</f>
        <v/>
      </c>
      <c r="D32" s="1"/>
      <c r="E32" s="28"/>
      <c r="F32" s="1"/>
      <c r="G32" s="1"/>
      <c r="H32" s="29"/>
      <c r="I32" s="1"/>
      <c r="J32" s="20" t="str">
        <f aca="false">IF(D32="","",IFERROR(INDEX(Settings!$C$49:$C$54,MATCH(D32,Settings!$A$49:$A$54,0)),0))</f>
        <v/>
      </c>
      <c r="K32" s="20" t="str">
        <f aca="false">IF(J32="","",IF(G32="",J32,J32*(1-IF(H32="",Settings!$B$6,H32))))</f>
        <v/>
      </c>
      <c r="L32" s="20" t="str">
        <f aca="false">IF(OR(J32="",G32=""),"",J32-K32)</f>
        <v/>
      </c>
      <c r="M32" s="1"/>
    </row>
    <row r="33" customFormat="false" ht="15" hidden="false" customHeight="false" outlineLevel="0" collapsed="false">
      <c r="A33" s="27"/>
      <c r="B33" s="1"/>
      <c r="C33" s="24" t="str">
        <f aca="false">IF(B33="","",IFERROR(INDEX(Patients!$B$2:$B$501,MATCH(B33,Patients!$A$2:$A$501,0))&amp;"",""))</f>
        <v/>
      </c>
      <c r="D33" s="1"/>
      <c r="E33" s="28"/>
      <c r="F33" s="1"/>
      <c r="G33" s="1"/>
      <c r="H33" s="29"/>
      <c r="I33" s="1"/>
      <c r="J33" s="20" t="str">
        <f aca="false">IF(D33="","",IFERROR(INDEX(Settings!$C$49:$C$54,MATCH(D33,Settings!$A$49:$A$54,0)),0))</f>
        <v/>
      </c>
      <c r="K33" s="20" t="str">
        <f aca="false">IF(J33="","",IF(G33="",J33,J33*(1-IF(H33="",Settings!$B$6,H33))))</f>
        <v/>
      </c>
      <c r="L33" s="20" t="str">
        <f aca="false">IF(OR(J33="",G33=""),"",J33-K33)</f>
        <v/>
      </c>
      <c r="M33" s="1"/>
    </row>
    <row r="34" customFormat="false" ht="15" hidden="false" customHeight="false" outlineLevel="0" collapsed="false">
      <c r="A34" s="27"/>
      <c r="B34" s="1"/>
      <c r="C34" s="24" t="str">
        <f aca="false">IF(B34="","",IFERROR(INDEX(Patients!$B$2:$B$501,MATCH(B34,Patients!$A$2:$A$501,0))&amp;"",""))</f>
        <v/>
      </c>
      <c r="D34" s="1"/>
      <c r="E34" s="28"/>
      <c r="F34" s="1"/>
      <c r="G34" s="1"/>
      <c r="H34" s="29"/>
      <c r="I34" s="1"/>
      <c r="J34" s="20" t="str">
        <f aca="false">IF(D34="","",IFERROR(INDEX(Settings!$C$49:$C$54,MATCH(D34,Settings!$A$49:$A$54,0)),0))</f>
        <v/>
      </c>
      <c r="K34" s="20" t="str">
        <f aca="false">IF(J34="","",IF(G34="",J34,J34*(1-IF(H34="",Settings!$B$6,H34))))</f>
        <v/>
      </c>
      <c r="L34" s="20" t="str">
        <f aca="false">IF(OR(J34="",G34=""),"",J34-K34)</f>
        <v/>
      </c>
      <c r="M34" s="1"/>
    </row>
    <row r="35" customFormat="false" ht="15" hidden="false" customHeight="false" outlineLevel="0" collapsed="false">
      <c r="A35" s="27"/>
      <c r="B35" s="1"/>
      <c r="C35" s="24" t="str">
        <f aca="false">IF(B35="","",IFERROR(INDEX(Patients!$B$2:$B$501,MATCH(B35,Patients!$A$2:$A$501,0))&amp;"",""))</f>
        <v/>
      </c>
      <c r="D35" s="1"/>
      <c r="E35" s="28"/>
      <c r="F35" s="1"/>
      <c r="G35" s="1"/>
      <c r="H35" s="29"/>
      <c r="I35" s="1"/>
      <c r="J35" s="20" t="str">
        <f aca="false">IF(D35="","",IFERROR(INDEX(Settings!$C$49:$C$54,MATCH(D35,Settings!$A$49:$A$54,0)),0))</f>
        <v/>
      </c>
      <c r="K35" s="20" t="str">
        <f aca="false">IF(J35="","",IF(G35="",J35,J35*(1-IF(H35="",Settings!$B$6,H35))))</f>
        <v/>
      </c>
      <c r="L35" s="20" t="str">
        <f aca="false">IF(OR(J35="",G35=""),"",J35-K35)</f>
        <v/>
      </c>
      <c r="M35" s="1"/>
    </row>
    <row r="36" customFormat="false" ht="15" hidden="false" customHeight="false" outlineLevel="0" collapsed="false">
      <c r="A36" s="27"/>
      <c r="B36" s="1"/>
      <c r="C36" s="24" t="str">
        <f aca="false">IF(B36="","",IFERROR(INDEX(Patients!$B$2:$B$501,MATCH(B36,Patients!$A$2:$A$501,0))&amp;"",""))</f>
        <v/>
      </c>
      <c r="D36" s="1"/>
      <c r="E36" s="28"/>
      <c r="F36" s="1"/>
      <c r="G36" s="1"/>
      <c r="H36" s="29"/>
      <c r="I36" s="1"/>
      <c r="J36" s="20" t="str">
        <f aca="false">IF(D36="","",IFERROR(INDEX(Settings!$C$49:$C$54,MATCH(D36,Settings!$A$49:$A$54,0)),0))</f>
        <v/>
      </c>
      <c r="K36" s="20" t="str">
        <f aca="false">IF(J36="","",IF(G36="",J36,J36*(1-IF(H36="",Settings!$B$6,H36))))</f>
        <v/>
      </c>
      <c r="L36" s="20" t="str">
        <f aca="false">IF(OR(J36="",G36=""),"",J36-K36)</f>
        <v/>
      </c>
      <c r="M36" s="1"/>
    </row>
    <row r="37" customFormat="false" ht="15" hidden="false" customHeight="false" outlineLevel="0" collapsed="false">
      <c r="A37" s="27"/>
      <c r="B37" s="1"/>
      <c r="C37" s="24" t="str">
        <f aca="false">IF(B37="","",IFERROR(INDEX(Patients!$B$2:$B$501,MATCH(B37,Patients!$A$2:$A$501,0))&amp;"",""))</f>
        <v/>
      </c>
      <c r="D37" s="1"/>
      <c r="E37" s="28"/>
      <c r="F37" s="1"/>
      <c r="G37" s="1"/>
      <c r="H37" s="29"/>
      <c r="I37" s="1"/>
      <c r="J37" s="20" t="str">
        <f aca="false">IF(D37="","",IFERROR(INDEX(Settings!$C$49:$C$54,MATCH(D37,Settings!$A$49:$A$54,0)),0))</f>
        <v/>
      </c>
      <c r="K37" s="20" t="str">
        <f aca="false">IF(J37="","",IF(G37="",J37,J37*(1-IF(H37="",Settings!$B$6,H37))))</f>
        <v/>
      </c>
      <c r="L37" s="20" t="str">
        <f aca="false">IF(OR(J37="",G37=""),"",J37-K37)</f>
        <v/>
      </c>
      <c r="M37" s="1"/>
    </row>
    <row r="38" customFormat="false" ht="15" hidden="false" customHeight="false" outlineLevel="0" collapsed="false">
      <c r="A38" s="27"/>
      <c r="B38" s="1"/>
      <c r="C38" s="24" t="str">
        <f aca="false">IF(B38="","",IFERROR(INDEX(Patients!$B$2:$B$501,MATCH(B38,Patients!$A$2:$A$501,0))&amp;"",""))</f>
        <v/>
      </c>
      <c r="D38" s="1"/>
      <c r="E38" s="28"/>
      <c r="F38" s="1"/>
      <c r="G38" s="1"/>
      <c r="H38" s="29"/>
      <c r="I38" s="1"/>
      <c r="J38" s="20" t="str">
        <f aca="false">IF(D38="","",IFERROR(INDEX(Settings!$C$49:$C$54,MATCH(D38,Settings!$A$49:$A$54,0)),0))</f>
        <v/>
      </c>
      <c r="K38" s="20" t="str">
        <f aca="false">IF(J38="","",IF(G38="",J38,J38*(1-IF(H38="",Settings!$B$6,H38))))</f>
        <v/>
      </c>
      <c r="L38" s="20" t="str">
        <f aca="false">IF(OR(J38="",G38=""),"",J38-K38)</f>
        <v/>
      </c>
      <c r="M38" s="1"/>
    </row>
    <row r="39" customFormat="false" ht="15" hidden="false" customHeight="false" outlineLevel="0" collapsed="false">
      <c r="A39" s="27"/>
      <c r="B39" s="1"/>
      <c r="C39" s="24" t="str">
        <f aca="false">IF(B39="","",IFERROR(INDEX(Patients!$B$2:$B$501,MATCH(B39,Patients!$A$2:$A$501,0))&amp;"",""))</f>
        <v/>
      </c>
      <c r="D39" s="1"/>
      <c r="E39" s="28"/>
      <c r="F39" s="1"/>
      <c r="G39" s="1"/>
      <c r="H39" s="29"/>
      <c r="I39" s="1"/>
      <c r="J39" s="20" t="str">
        <f aca="false">IF(D39="","",IFERROR(INDEX(Settings!$C$49:$C$54,MATCH(D39,Settings!$A$49:$A$54,0)),0))</f>
        <v/>
      </c>
      <c r="K39" s="20" t="str">
        <f aca="false">IF(J39="","",IF(G39="",J39,J39*(1-IF(H39="",Settings!$B$6,H39))))</f>
        <v/>
      </c>
      <c r="L39" s="20" t="str">
        <f aca="false">IF(OR(J39="",G39=""),"",J39-K39)</f>
        <v/>
      </c>
      <c r="M39" s="1"/>
    </row>
    <row r="40" customFormat="false" ht="15" hidden="false" customHeight="false" outlineLevel="0" collapsed="false">
      <c r="A40" s="27"/>
      <c r="B40" s="1"/>
      <c r="C40" s="24" t="str">
        <f aca="false">IF(B40="","",IFERROR(INDEX(Patients!$B$2:$B$501,MATCH(B40,Patients!$A$2:$A$501,0))&amp;"",""))</f>
        <v/>
      </c>
      <c r="D40" s="1"/>
      <c r="E40" s="28"/>
      <c r="F40" s="1"/>
      <c r="G40" s="1"/>
      <c r="H40" s="29"/>
      <c r="I40" s="1"/>
      <c r="J40" s="20" t="str">
        <f aca="false">IF(D40="","",IFERROR(INDEX(Settings!$C$49:$C$54,MATCH(D40,Settings!$A$49:$A$54,0)),0))</f>
        <v/>
      </c>
      <c r="K40" s="20" t="str">
        <f aca="false">IF(J40="","",IF(G40="",J40,J40*(1-IF(H40="",Settings!$B$6,H40))))</f>
        <v/>
      </c>
      <c r="L40" s="20" t="str">
        <f aca="false">IF(OR(J40="",G40=""),"",J40-K40)</f>
        <v/>
      </c>
      <c r="M40" s="1"/>
    </row>
    <row r="41" customFormat="false" ht="15" hidden="false" customHeight="false" outlineLevel="0" collapsed="false">
      <c r="A41" s="27"/>
      <c r="B41" s="1"/>
      <c r="C41" s="24" t="str">
        <f aca="false">IF(B41="","",IFERROR(INDEX(Patients!$B$2:$B$501,MATCH(B41,Patients!$A$2:$A$501,0))&amp;"",""))</f>
        <v/>
      </c>
      <c r="D41" s="1"/>
      <c r="E41" s="28"/>
      <c r="F41" s="1"/>
      <c r="G41" s="1"/>
      <c r="H41" s="29"/>
      <c r="I41" s="1"/>
      <c r="J41" s="20" t="str">
        <f aca="false">IF(D41="","",IFERROR(INDEX(Settings!$C$49:$C$54,MATCH(D41,Settings!$A$49:$A$54,0)),0))</f>
        <v/>
      </c>
      <c r="K41" s="20" t="str">
        <f aca="false">IF(J41="","",IF(G41="",J41,J41*(1-IF(H41="",Settings!$B$6,H41))))</f>
        <v/>
      </c>
      <c r="L41" s="20" t="str">
        <f aca="false">IF(OR(J41="",G41=""),"",J41-K41)</f>
        <v/>
      </c>
      <c r="M41" s="1"/>
    </row>
    <row r="42" customFormat="false" ht="15" hidden="false" customHeight="false" outlineLevel="0" collapsed="false">
      <c r="A42" s="27"/>
      <c r="B42" s="1"/>
      <c r="C42" s="24" t="str">
        <f aca="false">IF(B42="","",IFERROR(INDEX(Patients!$B$2:$B$501,MATCH(B42,Patients!$A$2:$A$501,0))&amp;"",""))</f>
        <v/>
      </c>
      <c r="D42" s="1"/>
      <c r="E42" s="28"/>
      <c r="F42" s="1"/>
      <c r="G42" s="1"/>
      <c r="H42" s="29"/>
      <c r="I42" s="1"/>
      <c r="J42" s="20" t="str">
        <f aca="false">IF(D42="","",IFERROR(INDEX(Settings!$C$49:$C$54,MATCH(D42,Settings!$A$49:$A$54,0)),0))</f>
        <v/>
      </c>
      <c r="K42" s="20" t="str">
        <f aca="false">IF(J42="","",IF(G42="",J42,J42*(1-IF(H42="",Settings!$B$6,H42))))</f>
        <v/>
      </c>
      <c r="L42" s="20" t="str">
        <f aca="false">IF(OR(J42="",G42=""),"",J42-K42)</f>
        <v/>
      </c>
      <c r="M42" s="1"/>
    </row>
    <row r="43" customFormat="false" ht="15" hidden="false" customHeight="false" outlineLevel="0" collapsed="false">
      <c r="A43" s="27"/>
      <c r="B43" s="1"/>
      <c r="C43" s="24" t="str">
        <f aca="false">IF(B43="","",IFERROR(INDEX(Patients!$B$2:$B$501,MATCH(B43,Patients!$A$2:$A$501,0))&amp;"",""))</f>
        <v/>
      </c>
      <c r="D43" s="1"/>
      <c r="E43" s="28"/>
      <c r="F43" s="1"/>
      <c r="G43" s="1"/>
      <c r="H43" s="29"/>
      <c r="I43" s="1"/>
      <c r="J43" s="20" t="str">
        <f aca="false">IF(D43="","",IFERROR(INDEX(Settings!$C$49:$C$54,MATCH(D43,Settings!$A$49:$A$54,0)),0))</f>
        <v/>
      </c>
      <c r="K43" s="20" t="str">
        <f aca="false">IF(J43="","",IF(G43="",J43,J43*(1-IF(H43="",Settings!$B$6,H43))))</f>
        <v/>
      </c>
      <c r="L43" s="20" t="str">
        <f aca="false">IF(OR(J43="",G43=""),"",J43-K43)</f>
        <v/>
      </c>
      <c r="M43" s="1"/>
    </row>
    <row r="44" customFormat="false" ht="15" hidden="false" customHeight="false" outlineLevel="0" collapsed="false">
      <c r="A44" s="27"/>
      <c r="B44" s="1"/>
      <c r="C44" s="24" t="str">
        <f aca="false">IF(B44="","",IFERROR(INDEX(Patients!$B$2:$B$501,MATCH(B44,Patients!$A$2:$A$501,0))&amp;"",""))</f>
        <v/>
      </c>
      <c r="D44" s="1"/>
      <c r="E44" s="28"/>
      <c r="F44" s="1"/>
      <c r="G44" s="1"/>
      <c r="H44" s="29"/>
      <c r="I44" s="1"/>
      <c r="J44" s="20" t="str">
        <f aca="false">IF(D44="","",IFERROR(INDEX(Settings!$C$49:$C$54,MATCH(D44,Settings!$A$49:$A$54,0)),0))</f>
        <v/>
      </c>
      <c r="K44" s="20" t="str">
        <f aca="false">IF(J44="","",IF(G44="",J44,J44*(1-IF(H44="",Settings!$B$6,H44))))</f>
        <v/>
      </c>
      <c r="L44" s="20" t="str">
        <f aca="false">IF(OR(J44="",G44=""),"",J44-K44)</f>
        <v/>
      </c>
      <c r="M44" s="1"/>
    </row>
    <row r="45" customFormat="false" ht="15" hidden="false" customHeight="false" outlineLevel="0" collapsed="false">
      <c r="A45" s="27"/>
      <c r="B45" s="1"/>
      <c r="C45" s="24" t="str">
        <f aca="false">IF(B45="","",IFERROR(INDEX(Patients!$B$2:$B$501,MATCH(B45,Patients!$A$2:$A$501,0))&amp;"",""))</f>
        <v/>
      </c>
      <c r="D45" s="1"/>
      <c r="E45" s="28"/>
      <c r="F45" s="1"/>
      <c r="G45" s="1"/>
      <c r="H45" s="29"/>
      <c r="I45" s="1"/>
      <c r="J45" s="20" t="str">
        <f aca="false">IF(D45="","",IFERROR(INDEX(Settings!$C$49:$C$54,MATCH(D45,Settings!$A$49:$A$54,0)),0))</f>
        <v/>
      </c>
      <c r="K45" s="20" t="str">
        <f aca="false">IF(J45="","",IF(G45="",J45,J45*(1-IF(H45="",Settings!$B$6,H45))))</f>
        <v/>
      </c>
      <c r="L45" s="20" t="str">
        <f aca="false">IF(OR(J45="",G45=""),"",J45-K45)</f>
        <v/>
      </c>
      <c r="M45" s="1"/>
    </row>
    <row r="46" customFormat="false" ht="15" hidden="false" customHeight="false" outlineLevel="0" collapsed="false">
      <c r="A46" s="27"/>
      <c r="B46" s="1"/>
      <c r="C46" s="24" t="str">
        <f aca="false">IF(B46="","",IFERROR(INDEX(Patients!$B$2:$B$501,MATCH(B46,Patients!$A$2:$A$501,0))&amp;"",""))</f>
        <v/>
      </c>
      <c r="D46" s="1"/>
      <c r="E46" s="28"/>
      <c r="F46" s="1"/>
      <c r="G46" s="1"/>
      <c r="H46" s="29"/>
      <c r="I46" s="1"/>
      <c r="J46" s="20" t="str">
        <f aca="false">IF(D46="","",IFERROR(INDEX(Settings!$C$49:$C$54,MATCH(D46,Settings!$A$49:$A$54,0)),0))</f>
        <v/>
      </c>
      <c r="K46" s="20" t="str">
        <f aca="false">IF(J46="","",IF(G46="",J46,J46*(1-IF(H46="",Settings!$B$6,H46))))</f>
        <v/>
      </c>
      <c r="L46" s="20" t="str">
        <f aca="false">IF(OR(J46="",G46=""),"",J46-K46)</f>
        <v/>
      </c>
      <c r="M46" s="1"/>
    </row>
    <row r="47" customFormat="false" ht="15" hidden="false" customHeight="false" outlineLevel="0" collapsed="false">
      <c r="A47" s="27"/>
      <c r="B47" s="1"/>
      <c r="C47" s="24" t="str">
        <f aca="false">IF(B47="","",IFERROR(INDEX(Patients!$B$2:$B$501,MATCH(B47,Patients!$A$2:$A$501,0))&amp;"",""))</f>
        <v/>
      </c>
      <c r="D47" s="1"/>
      <c r="E47" s="28"/>
      <c r="F47" s="1"/>
      <c r="G47" s="1"/>
      <c r="H47" s="29"/>
      <c r="I47" s="1"/>
      <c r="J47" s="20" t="str">
        <f aca="false">IF(D47="","",IFERROR(INDEX(Settings!$C$49:$C$54,MATCH(D47,Settings!$A$49:$A$54,0)),0))</f>
        <v/>
      </c>
      <c r="K47" s="20" t="str">
        <f aca="false">IF(J47="","",IF(G47="",J47,J47*(1-IF(H47="",Settings!$B$6,H47))))</f>
        <v/>
      </c>
      <c r="L47" s="20" t="str">
        <f aca="false">IF(OR(J47="",G47=""),"",J47-K47)</f>
        <v/>
      </c>
      <c r="M47" s="1"/>
    </row>
    <row r="48" customFormat="false" ht="15" hidden="false" customHeight="false" outlineLevel="0" collapsed="false">
      <c r="A48" s="27"/>
      <c r="B48" s="1"/>
      <c r="C48" s="24" t="str">
        <f aca="false">IF(B48="","",IFERROR(INDEX(Patients!$B$2:$B$501,MATCH(B48,Patients!$A$2:$A$501,0))&amp;"",""))</f>
        <v/>
      </c>
      <c r="D48" s="1"/>
      <c r="E48" s="28"/>
      <c r="F48" s="1"/>
      <c r="G48" s="1"/>
      <c r="H48" s="29"/>
      <c r="I48" s="1"/>
      <c r="J48" s="20" t="str">
        <f aca="false">IF(D48="","",IFERROR(INDEX(Settings!$C$49:$C$54,MATCH(D48,Settings!$A$49:$A$54,0)),0))</f>
        <v/>
      </c>
      <c r="K48" s="20" t="str">
        <f aca="false">IF(J48="","",IF(G48="",J48,J48*(1-IF(H48="",Settings!$B$6,H48))))</f>
        <v/>
      </c>
      <c r="L48" s="20" t="str">
        <f aca="false">IF(OR(J48="",G48=""),"",J48-K48)</f>
        <v/>
      </c>
      <c r="M48" s="1"/>
    </row>
    <row r="49" customFormat="false" ht="15" hidden="false" customHeight="false" outlineLevel="0" collapsed="false">
      <c r="A49" s="27"/>
      <c r="B49" s="1"/>
      <c r="C49" s="24" t="str">
        <f aca="false">IF(B49="","",IFERROR(INDEX(Patients!$B$2:$B$501,MATCH(B49,Patients!$A$2:$A$501,0))&amp;"",""))</f>
        <v/>
      </c>
      <c r="D49" s="1"/>
      <c r="E49" s="28"/>
      <c r="F49" s="1"/>
      <c r="G49" s="1"/>
      <c r="H49" s="29"/>
      <c r="I49" s="1"/>
      <c r="J49" s="20" t="str">
        <f aca="false">IF(D49="","",IFERROR(INDEX(Settings!$C$49:$C$54,MATCH(D49,Settings!$A$49:$A$54,0)),0))</f>
        <v/>
      </c>
      <c r="K49" s="20" t="str">
        <f aca="false">IF(J49="","",IF(G49="",J49,J49*(1-IF(H49="",Settings!$B$6,H49))))</f>
        <v/>
      </c>
      <c r="L49" s="20" t="str">
        <f aca="false">IF(OR(J49="",G49=""),"",J49-K49)</f>
        <v/>
      </c>
      <c r="M49" s="1"/>
    </row>
    <row r="50" customFormat="false" ht="15" hidden="false" customHeight="false" outlineLevel="0" collapsed="false">
      <c r="A50" s="27"/>
      <c r="B50" s="1"/>
      <c r="C50" s="24" t="str">
        <f aca="false">IF(B50="","",IFERROR(INDEX(Patients!$B$2:$B$501,MATCH(B50,Patients!$A$2:$A$501,0))&amp;"",""))</f>
        <v/>
      </c>
      <c r="D50" s="1"/>
      <c r="E50" s="28"/>
      <c r="F50" s="1"/>
      <c r="G50" s="1"/>
      <c r="H50" s="29"/>
      <c r="I50" s="1"/>
      <c r="J50" s="20" t="str">
        <f aca="false">IF(D50="","",IFERROR(INDEX(Settings!$C$49:$C$54,MATCH(D50,Settings!$A$49:$A$54,0)),0))</f>
        <v/>
      </c>
      <c r="K50" s="20" t="str">
        <f aca="false">IF(J50="","",IF(G50="",J50,J50*(1-IF(H50="",Settings!$B$6,H50))))</f>
        <v/>
      </c>
      <c r="L50" s="20" t="str">
        <f aca="false">IF(OR(J50="",G50=""),"",J50-K50)</f>
        <v/>
      </c>
      <c r="M50" s="1"/>
    </row>
    <row r="51" customFormat="false" ht="15" hidden="false" customHeight="false" outlineLevel="0" collapsed="false">
      <c r="A51" s="27"/>
      <c r="B51" s="1"/>
      <c r="C51" s="24" t="str">
        <f aca="false">IF(B51="","",IFERROR(INDEX(Patients!$B$2:$B$501,MATCH(B51,Patients!$A$2:$A$501,0))&amp;"",""))</f>
        <v/>
      </c>
      <c r="D51" s="1"/>
      <c r="E51" s="28"/>
      <c r="F51" s="1"/>
      <c r="G51" s="1"/>
      <c r="H51" s="29"/>
      <c r="I51" s="1"/>
      <c r="J51" s="20" t="str">
        <f aca="false">IF(D51="","",IFERROR(INDEX(Settings!$C$49:$C$54,MATCH(D51,Settings!$A$49:$A$54,0)),0))</f>
        <v/>
      </c>
      <c r="K51" s="20" t="str">
        <f aca="false">IF(J51="","",IF(G51="",J51,J51*(1-IF(H51="",Settings!$B$6,H51))))</f>
        <v/>
      </c>
      <c r="L51" s="20" t="str">
        <f aca="false">IF(OR(J51="",G51=""),"",J51-K51)</f>
        <v/>
      </c>
      <c r="M51" s="1"/>
    </row>
    <row r="52" customFormat="false" ht="15" hidden="false" customHeight="false" outlineLevel="0" collapsed="false">
      <c r="A52" s="27"/>
      <c r="B52" s="1"/>
      <c r="C52" s="24" t="str">
        <f aca="false">IF(B52="","",IFERROR(INDEX(Patients!$B$2:$B$501,MATCH(B52,Patients!$A$2:$A$501,0))&amp;"",""))</f>
        <v/>
      </c>
      <c r="D52" s="1"/>
      <c r="E52" s="28"/>
      <c r="F52" s="1"/>
      <c r="G52" s="1"/>
      <c r="H52" s="29"/>
      <c r="I52" s="1"/>
      <c r="J52" s="20" t="str">
        <f aca="false">IF(D52="","",IFERROR(INDEX(Settings!$C$49:$C$54,MATCH(D52,Settings!$A$49:$A$54,0)),0))</f>
        <v/>
      </c>
      <c r="K52" s="20" t="str">
        <f aca="false">IF(J52="","",IF(G52="",J52,J52*(1-IF(H52="",Settings!$B$6,H52))))</f>
        <v/>
      </c>
      <c r="L52" s="20" t="str">
        <f aca="false">IF(OR(J52="",G52=""),"",J52-K52)</f>
        <v/>
      </c>
      <c r="M52" s="1"/>
    </row>
    <row r="53" customFormat="false" ht="15" hidden="false" customHeight="false" outlineLevel="0" collapsed="false">
      <c r="A53" s="27"/>
      <c r="B53" s="1"/>
      <c r="C53" s="24" t="str">
        <f aca="false">IF(B53="","",IFERROR(INDEX(Patients!$B$2:$B$501,MATCH(B53,Patients!$A$2:$A$501,0))&amp;"",""))</f>
        <v/>
      </c>
      <c r="D53" s="1"/>
      <c r="E53" s="28"/>
      <c r="F53" s="1"/>
      <c r="G53" s="1"/>
      <c r="H53" s="29"/>
      <c r="I53" s="1"/>
      <c r="J53" s="20" t="str">
        <f aca="false">IF(D53="","",IFERROR(INDEX(Settings!$C$49:$C$54,MATCH(D53,Settings!$A$49:$A$54,0)),0))</f>
        <v/>
      </c>
      <c r="K53" s="20" t="str">
        <f aca="false">IF(J53="","",IF(G53="",J53,J53*(1-IF(H53="",Settings!$B$6,H53))))</f>
        <v/>
      </c>
      <c r="L53" s="20" t="str">
        <f aca="false">IF(OR(J53="",G53=""),"",J53-K53)</f>
        <v/>
      </c>
      <c r="M53" s="1"/>
    </row>
    <row r="54" customFormat="false" ht="15" hidden="false" customHeight="false" outlineLevel="0" collapsed="false">
      <c r="A54" s="27"/>
      <c r="B54" s="1"/>
      <c r="C54" s="24" t="str">
        <f aca="false">IF(B54="","",IFERROR(INDEX(Patients!$B$2:$B$501,MATCH(B54,Patients!$A$2:$A$501,0))&amp;"",""))</f>
        <v/>
      </c>
      <c r="D54" s="1"/>
      <c r="E54" s="28"/>
      <c r="F54" s="1"/>
      <c r="G54" s="1"/>
      <c r="H54" s="29"/>
      <c r="I54" s="1"/>
      <c r="J54" s="20" t="str">
        <f aca="false">IF(D54="","",IFERROR(INDEX(Settings!$C$49:$C$54,MATCH(D54,Settings!$A$49:$A$54,0)),0))</f>
        <v/>
      </c>
      <c r="K54" s="20" t="str">
        <f aca="false">IF(J54="","",IF(G54="",J54,J54*(1-IF(H54="",Settings!$B$6,H54))))</f>
        <v/>
      </c>
      <c r="L54" s="20" t="str">
        <f aca="false">IF(OR(J54="",G54=""),"",J54-K54)</f>
        <v/>
      </c>
      <c r="M54" s="1"/>
    </row>
    <row r="55" customFormat="false" ht="15" hidden="false" customHeight="false" outlineLevel="0" collapsed="false">
      <c r="A55" s="27"/>
      <c r="B55" s="1"/>
      <c r="C55" s="24" t="str">
        <f aca="false">IF(B55="","",IFERROR(INDEX(Patients!$B$2:$B$501,MATCH(B55,Patients!$A$2:$A$501,0))&amp;"",""))</f>
        <v/>
      </c>
      <c r="D55" s="1"/>
      <c r="E55" s="28"/>
      <c r="F55" s="1"/>
      <c r="G55" s="1"/>
      <c r="H55" s="29"/>
      <c r="I55" s="1"/>
      <c r="J55" s="20" t="str">
        <f aca="false">IF(D55="","",IFERROR(INDEX(Settings!$C$49:$C$54,MATCH(D55,Settings!$A$49:$A$54,0)),0))</f>
        <v/>
      </c>
      <c r="K55" s="20" t="str">
        <f aca="false">IF(J55="","",IF(G55="",J55,J55*(1-IF(H55="",Settings!$B$6,H55))))</f>
        <v/>
      </c>
      <c r="L55" s="20" t="str">
        <f aca="false">IF(OR(J55="",G55=""),"",J55-K55)</f>
        <v/>
      </c>
      <c r="M55" s="1"/>
    </row>
    <row r="56" customFormat="false" ht="15" hidden="false" customHeight="false" outlineLevel="0" collapsed="false">
      <c r="A56" s="27"/>
      <c r="B56" s="1"/>
      <c r="C56" s="24" t="str">
        <f aca="false">IF(B56="","",IFERROR(INDEX(Patients!$B$2:$B$501,MATCH(B56,Patients!$A$2:$A$501,0))&amp;"",""))</f>
        <v/>
      </c>
      <c r="D56" s="1"/>
      <c r="E56" s="28"/>
      <c r="F56" s="1"/>
      <c r="G56" s="1"/>
      <c r="H56" s="29"/>
      <c r="I56" s="1"/>
      <c r="J56" s="20" t="str">
        <f aca="false">IF(D56="","",IFERROR(INDEX(Settings!$C$49:$C$54,MATCH(D56,Settings!$A$49:$A$54,0)),0))</f>
        <v/>
      </c>
      <c r="K56" s="20" t="str">
        <f aca="false">IF(J56="","",IF(G56="",J56,J56*(1-IF(H56="",Settings!$B$6,H56))))</f>
        <v/>
      </c>
      <c r="L56" s="20" t="str">
        <f aca="false">IF(OR(J56="",G56=""),"",J56-K56)</f>
        <v/>
      </c>
      <c r="M56" s="1"/>
    </row>
    <row r="57" customFormat="false" ht="15" hidden="false" customHeight="false" outlineLevel="0" collapsed="false">
      <c r="A57" s="27"/>
      <c r="B57" s="1"/>
      <c r="C57" s="24" t="str">
        <f aca="false">IF(B57="","",IFERROR(INDEX(Patients!$B$2:$B$501,MATCH(B57,Patients!$A$2:$A$501,0))&amp;"",""))</f>
        <v/>
      </c>
      <c r="D57" s="1"/>
      <c r="E57" s="28"/>
      <c r="F57" s="1"/>
      <c r="G57" s="1"/>
      <c r="H57" s="29"/>
      <c r="I57" s="1"/>
      <c r="J57" s="20" t="str">
        <f aca="false">IF(D57="","",IFERROR(INDEX(Settings!$C$49:$C$54,MATCH(D57,Settings!$A$49:$A$54,0)),0))</f>
        <v/>
      </c>
      <c r="K57" s="20" t="str">
        <f aca="false">IF(J57="","",IF(G57="",J57,J57*(1-IF(H57="",Settings!$B$6,H57))))</f>
        <v/>
      </c>
      <c r="L57" s="20" t="str">
        <f aca="false">IF(OR(J57="",G57=""),"",J57-K57)</f>
        <v/>
      </c>
      <c r="M57" s="1"/>
    </row>
    <row r="58" customFormat="false" ht="15" hidden="false" customHeight="false" outlineLevel="0" collapsed="false">
      <c r="A58" s="27"/>
      <c r="B58" s="1"/>
      <c r="C58" s="24" t="str">
        <f aca="false">IF(B58="","",IFERROR(INDEX(Patients!$B$2:$B$501,MATCH(B58,Patients!$A$2:$A$501,0))&amp;"",""))</f>
        <v/>
      </c>
      <c r="D58" s="1"/>
      <c r="E58" s="28"/>
      <c r="F58" s="1"/>
      <c r="G58" s="1"/>
      <c r="H58" s="29"/>
      <c r="I58" s="1"/>
      <c r="J58" s="20" t="str">
        <f aca="false">IF(D58="","",IFERROR(INDEX(Settings!$C$49:$C$54,MATCH(D58,Settings!$A$49:$A$54,0)),0))</f>
        <v/>
      </c>
      <c r="K58" s="20" t="str">
        <f aca="false">IF(J58="","",IF(G58="",J58,J58*(1-IF(H58="",Settings!$B$6,H58))))</f>
        <v/>
      </c>
      <c r="L58" s="20" t="str">
        <f aca="false">IF(OR(J58="",G58=""),"",J58-K58)</f>
        <v/>
      </c>
      <c r="M58" s="1"/>
    </row>
    <row r="59" customFormat="false" ht="15" hidden="false" customHeight="false" outlineLevel="0" collapsed="false">
      <c r="A59" s="27"/>
      <c r="B59" s="1"/>
      <c r="C59" s="24" t="str">
        <f aca="false">IF(B59="","",IFERROR(INDEX(Patients!$B$2:$B$501,MATCH(B59,Patients!$A$2:$A$501,0))&amp;"",""))</f>
        <v/>
      </c>
      <c r="D59" s="1"/>
      <c r="E59" s="28"/>
      <c r="F59" s="1"/>
      <c r="G59" s="1"/>
      <c r="H59" s="29"/>
      <c r="I59" s="1"/>
      <c r="J59" s="20" t="str">
        <f aca="false">IF(D59="","",IFERROR(INDEX(Settings!$C$49:$C$54,MATCH(D59,Settings!$A$49:$A$54,0)),0))</f>
        <v/>
      </c>
      <c r="K59" s="20" t="str">
        <f aca="false">IF(J59="","",IF(G59="",J59,J59*(1-IF(H59="",Settings!$B$6,H59))))</f>
        <v/>
      </c>
      <c r="L59" s="20" t="str">
        <f aca="false">IF(OR(J59="",G59=""),"",J59-K59)</f>
        <v/>
      </c>
      <c r="M59" s="1"/>
    </row>
    <row r="60" customFormat="false" ht="15" hidden="false" customHeight="false" outlineLevel="0" collapsed="false">
      <c r="A60" s="27"/>
      <c r="B60" s="1"/>
      <c r="C60" s="24" t="str">
        <f aca="false">IF(B60="","",IFERROR(INDEX(Patients!$B$2:$B$501,MATCH(B60,Patients!$A$2:$A$501,0))&amp;"",""))</f>
        <v/>
      </c>
      <c r="D60" s="1"/>
      <c r="E60" s="28"/>
      <c r="F60" s="1"/>
      <c r="G60" s="1"/>
      <c r="H60" s="29"/>
      <c r="I60" s="1"/>
      <c r="J60" s="20" t="str">
        <f aca="false">IF(D60="","",IFERROR(INDEX(Settings!$C$49:$C$54,MATCH(D60,Settings!$A$49:$A$54,0)),0))</f>
        <v/>
      </c>
      <c r="K60" s="20" t="str">
        <f aca="false">IF(J60="","",IF(G60="",J60,J60*(1-IF(H60="",Settings!$B$6,H60))))</f>
        <v/>
      </c>
      <c r="L60" s="20" t="str">
        <f aca="false">IF(OR(J60="",G60=""),"",J60-K60)</f>
        <v/>
      </c>
      <c r="M60" s="1"/>
    </row>
    <row r="61" customFormat="false" ht="15" hidden="false" customHeight="false" outlineLevel="0" collapsed="false">
      <c r="A61" s="27"/>
      <c r="B61" s="1"/>
      <c r="C61" s="24" t="str">
        <f aca="false">IF(B61="","",IFERROR(INDEX(Patients!$B$2:$B$501,MATCH(B61,Patients!$A$2:$A$501,0))&amp;"",""))</f>
        <v/>
      </c>
      <c r="D61" s="1"/>
      <c r="E61" s="28"/>
      <c r="F61" s="1"/>
      <c r="G61" s="1"/>
      <c r="H61" s="29"/>
      <c r="I61" s="1"/>
      <c r="J61" s="20" t="str">
        <f aca="false">IF(D61="","",IFERROR(INDEX(Settings!$C$49:$C$54,MATCH(D61,Settings!$A$49:$A$54,0)),0))</f>
        <v/>
      </c>
      <c r="K61" s="20" t="str">
        <f aca="false">IF(J61="","",IF(G61="",J61,J61*(1-IF(H61="",Settings!$B$6,H61))))</f>
        <v/>
      </c>
      <c r="L61" s="20" t="str">
        <f aca="false">IF(OR(J61="",G61=""),"",J61-K61)</f>
        <v/>
      </c>
      <c r="M61" s="1"/>
    </row>
    <row r="62" customFormat="false" ht="15" hidden="false" customHeight="false" outlineLevel="0" collapsed="false">
      <c r="A62" s="27"/>
      <c r="B62" s="1"/>
      <c r="C62" s="24" t="str">
        <f aca="false">IF(B62="","",IFERROR(INDEX(Patients!$B$2:$B$501,MATCH(B62,Patients!$A$2:$A$501,0))&amp;"",""))</f>
        <v/>
      </c>
      <c r="D62" s="1"/>
      <c r="E62" s="28"/>
      <c r="F62" s="1"/>
      <c r="G62" s="1"/>
      <c r="H62" s="29"/>
      <c r="I62" s="1"/>
      <c r="J62" s="20" t="str">
        <f aca="false">IF(D62="","",IFERROR(INDEX(Settings!$C$49:$C$54,MATCH(D62,Settings!$A$49:$A$54,0)),0))</f>
        <v/>
      </c>
      <c r="K62" s="20" t="str">
        <f aca="false">IF(J62="","",IF(G62="",J62,J62*(1-IF(H62="",Settings!$B$6,H62))))</f>
        <v/>
      </c>
      <c r="L62" s="20" t="str">
        <f aca="false">IF(OR(J62="",G62=""),"",J62-K62)</f>
        <v/>
      </c>
      <c r="M62" s="1"/>
    </row>
    <row r="63" customFormat="false" ht="15" hidden="false" customHeight="false" outlineLevel="0" collapsed="false">
      <c r="A63" s="27"/>
      <c r="B63" s="1"/>
      <c r="C63" s="24" t="str">
        <f aca="false">IF(B63="","",IFERROR(INDEX(Patients!$B$2:$B$501,MATCH(B63,Patients!$A$2:$A$501,0))&amp;"",""))</f>
        <v/>
      </c>
      <c r="D63" s="1"/>
      <c r="E63" s="28"/>
      <c r="F63" s="1"/>
      <c r="G63" s="1"/>
      <c r="H63" s="29"/>
      <c r="I63" s="1"/>
      <c r="J63" s="20" t="str">
        <f aca="false">IF(D63="","",IFERROR(INDEX(Settings!$C$49:$C$54,MATCH(D63,Settings!$A$49:$A$54,0)),0))</f>
        <v/>
      </c>
      <c r="K63" s="20" t="str">
        <f aca="false">IF(J63="","",IF(G63="",J63,J63*(1-IF(H63="",Settings!$B$6,H63))))</f>
        <v/>
      </c>
      <c r="L63" s="20" t="str">
        <f aca="false">IF(OR(J63="",G63=""),"",J63-K63)</f>
        <v/>
      </c>
      <c r="M63" s="1"/>
    </row>
    <row r="64" customFormat="false" ht="15" hidden="false" customHeight="false" outlineLevel="0" collapsed="false">
      <c r="A64" s="27"/>
      <c r="B64" s="1"/>
      <c r="C64" s="24" t="str">
        <f aca="false">IF(B64="","",IFERROR(INDEX(Patients!$B$2:$B$501,MATCH(B64,Patients!$A$2:$A$501,0))&amp;"",""))</f>
        <v/>
      </c>
      <c r="D64" s="1"/>
      <c r="E64" s="28"/>
      <c r="F64" s="1"/>
      <c r="G64" s="1"/>
      <c r="H64" s="29"/>
      <c r="I64" s="1"/>
      <c r="J64" s="20" t="str">
        <f aca="false">IF(D64="","",IFERROR(INDEX(Settings!$C$49:$C$54,MATCH(D64,Settings!$A$49:$A$54,0)),0))</f>
        <v/>
      </c>
      <c r="K64" s="20" t="str">
        <f aca="false">IF(J64="","",IF(G64="",J64,J64*(1-IF(H64="",Settings!$B$6,H64))))</f>
        <v/>
      </c>
      <c r="L64" s="20" t="str">
        <f aca="false">IF(OR(J64="",G64=""),"",J64-K64)</f>
        <v/>
      </c>
      <c r="M64" s="1"/>
    </row>
    <row r="65" customFormat="false" ht="15" hidden="false" customHeight="false" outlineLevel="0" collapsed="false">
      <c r="A65" s="27"/>
      <c r="B65" s="1"/>
      <c r="C65" s="24" t="str">
        <f aca="false">IF(B65="","",IFERROR(INDEX(Patients!$B$2:$B$501,MATCH(B65,Patients!$A$2:$A$501,0))&amp;"",""))</f>
        <v/>
      </c>
      <c r="D65" s="1"/>
      <c r="E65" s="28"/>
      <c r="F65" s="1"/>
      <c r="G65" s="1"/>
      <c r="H65" s="29"/>
      <c r="I65" s="1"/>
      <c r="J65" s="20" t="str">
        <f aca="false">IF(D65="","",IFERROR(INDEX(Settings!$C$49:$C$54,MATCH(D65,Settings!$A$49:$A$54,0)),0))</f>
        <v/>
      </c>
      <c r="K65" s="20" t="str">
        <f aca="false">IF(J65="","",IF(G65="",J65,J65*(1-IF(H65="",Settings!$B$6,H65))))</f>
        <v/>
      </c>
      <c r="L65" s="20" t="str">
        <f aca="false">IF(OR(J65="",G65=""),"",J65-K65)</f>
        <v/>
      </c>
      <c r="M65" s="1"/>
    </row>
    <row r="66" customFormat="false" ht="15" hidden="false" customHeight="false" outlineLevel="0" collapsed="false">
      <c r="A66" s="27"/>
      <c r="B66" s="1"/>
      <c r="C66" s="24" t="str">
        <f aca="false">IF(B66="","",IFERROR(INDEX(Patients!$B$2:$B$501,MATCH(B66,Patients!$A$2:$A$501,0))&amp;"",""))</f>
        <v/>
      </c>
      <c r="D66" s="1"/>
      <c r="E66" s="28"/>
      <c r="F66" s="1"/>
      <c r="G66" s="1"/>
      <c r="H66" s="29"/>
      <c r="I66" s="1"/>
      <c r="J66" s="20" t="str">
        <f aca="false">IF(D66="","",IFERROR(INDEX(Settings!$C$49:$C$54,MATCH(D66,Settings!$A$49:$A$54,0)),0))</f>
        <v/>
      </c>
      <c r="K66" s="20" t="str">
        <f aca="false">IF(J66="","",IF(G66="",J66,J66*(1-IF(H66="",Settings!$B$6,H66))))</f>
        <v/>
      </c>
      <c r="L66" s="20" t="str">
        <f aca="false">IF(OR(J66="",G66=""),"",J66-K66)</f>
        <v/>
      </c>
      <c r="M66" s="1"/>
    </row>
    <row r="67" customFormat="false" ht="15" hidden="false" customHeight="false" outlineLevel="0" collapsed="false">
      <c r="A67" s="27"/>
      <c r="B67" s="1"/>
      <c r="C67" s="24" t="str">
        <f aca="false">IF(B67="","",IFERROR(INDEX(Patients!$B$2:$B$501,MATCH(B67,Patients!$A$2:$A$501,0))&amp;"",""))</f>
        <v/>
      </c>
      <c r="D67" s="1"/>
      <c r="E67" s="28"/>
      <c r="F67" s="1"/>
      <c r="G67" s="1"/>
      <c r="H67" s="29"/>
      <c r="I67" s="1"/>
      <c r="J67" s="20" t="str">
        <f aca="false">IF(D67="","",IFERROR(INDEX(Settings!$C$49:$C$54,MATCH(D67,Settings!$A$49:$A$54,0)),0))</f>
        <v/>
      </c>
      <c r="K67" s="20" t="str">
        <f aca="false">IF(J67="","",IF(G67="",J67,J67*(1-IF(H67="",Settings!$B$6,H67))))</f>
        <v/>
      </c>
      <c r="L67" s="20" t="str">
        <f aca="false">IF(OR(J67="",G67=""),"",J67-K67)</f>
        <v/>
      </c>
      <c r="M67" s="1"/>
    </row>
    <row r="68" customFormat="false" ht="15" hidden="false" customHeight="false" outlineLevel="0" collapsed="false">
      <c r="A68" s="27"/>
      <c r="B68" s="1"/>
      <c r="C68" s="24" t="str">
        <f aca="false">IF(B68="","",IFERROR(INDEX(Patients!$B$2:$B$501,MATCH(B68,Patients!$A$2:$A$501,0))&amp;"",""))</f>
        <v/>
      </c>
      <c r="D68" s="1"/>
      <c r="E68" s="28"/>
      <c r="F68" s="1"/>
      <c r="G68" s="1"/>
      <c r="H68" s="29"/>
      <c r="I68" s="1"/>
      <c r="J68" s="20" t="str">
        <f aca="false">IF(D68="","",IFERROR(INDEX(Settings!$C$49:$C$54,MATCH(D68,Settings!$A$49:$A$54,0)),0))</f>
        <v/>
      </c>
      <c r="K68" s="20" t="str">
        <f aca="false">IF(J68="","",IF(G68="",J68,J68*(1-IF(H68="",Settings!$B$6,H68))))</f>
        <v/>
      </c>
      <c r="L68" s="20" t="str">
        <f aca="false">IF(OR(J68="",G68=""),"",J68-K68)</f>
        <v/>
      </c>
      <c r="M68" s="1"/>
    </row>
    <row r="69" customFormat="false" ht="15" hidden="false" customHeight="false" outlineLevel="0" collapsed="false">
      <c r="A69" s="27"/>
      <c r="B69" s="1"/>
      <c r="C69" s="24" t="str">
        <f aca="false">IF(B69="","",IFERROR(INDEX(Patients!$B$2:$B$501,MATCH(B69,Patients!$A$2:$A$501,0))&amp;"",""))</f>
        <v/>
      </c>
      <c r="D69" s="1"/>
      <c r="E69" s="28"/>
      <c r="F69" s="1"/>
      <c r="G69" s="1"/>
      <c r="H69" s="29"/>
      <c r="I69" s="1"/>
      <c r="J69" s="20" t="str">
        <f aca="false">IF(D69="","",IFERROR(INDEX(Settings!$C$49:$C$54,MATCH(D69,Settings!$A$49:$A$54,0)),0))</f>
        <v/>
      </c>
      <c r="K69" s="20" t="str">
        <f aca="false">IF(J69="","",IF(G69="",J69,J69*(1-IF(H69="",Settings!$B$6,H69))))</f>
        <v/>
      </c>
      <c r="L69" s="20" t="str">
        <f aca="false">IF(OR(J69="",G69=""),"",J69-K69)</f>
        <v/>
      </c>
      <c r="M69" s="1"/>
    </row>
    <row r="70" customFormat="false" ht="15" hidden="false" customHeight="false" outlineLevel="0" collapsed="false">
      <c r="A70" s="27"/>
      <c r="B70" s="1"/>
      <c r="C70" s="24" t="str">
        <f aca="false">IF(B70="","",IFERROR(INDEX(Patients!$B$2:$B$501,MATCH(B70,Patients!$A$2:$A$501,0))&amp;"",""))</f>
        <v/>
      </c>
      <c r="D70" s="1"/>
      <c r="E70" s="28"/>
      <c r="F70" s="1"/>
      <c r="G70" s="1"/>
      <c r="H70" s="29"/>
      <c r="I70" s="1"/>
      <c r="J70" s="20" t="str">
        <f aca="false">IF(D70="","",IFERROR(INDEX(Settings!$C$49:$C$54,MATCH(D70,Settings!$A$49:$A$54,0)),0))</f>
        <v/>
      </c>
      <c r="K70" s="20" t="str">
        <f aca="false">IF(J70="","",IF(G70="",J70,J70*(1-IF(H70="",Settings!$B$6,H70))))</f>
        <v/>
      </c>
      <c r="L70" s="20" t="str">
        <f aca="false">IF(OR(J70="",G70=""),"",J70-K70)</f>
        <v/>
      </c>
      <c r="M70" s="1"/>
    </row>
    <row r="71" customFormat="false" ht="15" hidden="false" customHeight="false" outlineLevel="0" collapsed="false">
      <c r="A71" s="27"/>
      <c r="B71" s="1"/>
      <c r="C71" s="24" t="str">
        <f aca="false">IF(B71="","",IFERROR(INDEX(Patients!$B$2:$B$501,MATCH(B71,Patients!$A$2:$A$501,0))&amp;"",""))</f>
        <v/>
      </c>
      <c r="D71" s="1"/>
      <c r="E71" s="28"/>
      <c r="F71" s="1"/>
      <c r="G71" s="1"/>
      <c r="H71" s="29"/>
      <c r="I71" s="1"/>
      <c r="J71" s="20" t="str">
        <f aca="false">IF(D71="","",IFERROR(INDEX(Settings!$C$49:$C$54,MATCH(D71,Settings!$A$49:$A$54,0)),0))</f>
        <v/>
      </c>
      <c r="K71" s="20" t="str">
        <f aca="false">IF(J71="","",IF(G71="",J71,J71*(1-IF(H71="",Settings!$B$6,H71))))</f>
        <v/>
      </c>
      <c r="L71" s="20" t="str">
        <f aca="false">IF(OR(J71="",G71=""),"",J71-K71)</f>
        <v/>
      </c>
      <c r="M71" s="1"/>
    </row>
    <row r="72" customFormat="false" ht="15" hidden="false" customHeight="false" outlineLevel="0" collapsed="false">
      <c r="A72" s="27"/>
      <c r="B72" s="1"/>
      <c r="C72" s="24" t="str">
        <f aca="false">IF(B72="","",IFERROR(INDEX(Patients!$B$2:$B$501,MATCH(B72,Patients!$A$2:$A$501,0))&amp;"",""))</f>
        <v/>
      </c>
      <c r="D72" s="1"/>
      <c r="E72" s="28"/>
      <c r="F72" s="1"/>
      <c r="G72" s="1"/>
      <c r="H72" s="29"/>
      <c r="I72" s="1"/>
      <c r="J72" s="20" t="str">
        <f aca="false">IF(D72="","",IFERROR(INDEX(Settings!$C$49:$C$54,MATCH(D72,Settings!$A$49:$A$54,0)),0))</f>
        <v/>
      </c>
      <c r="K72" s="20" t="str">
        <f aca="false">IF(J72="","",IF(G72="",J72,J72*(1-IF(H72="",Settings!$B$6,H72))))</f>
        <v/>
      </c>
      <c r="L72" s="20" t="str">
        <f aca="false">IF(OR(J72="",G72=""),"",J72-K72)</f>
        <v/>
      </c>
      <c r="M72" s="1"/>
    </row>
    <row r="73" customFormat="false" ht="15" hidden="false" customHeight="false" outlineLevel="0" collapsed="false">
      <c r="A73" s="27"/>
      <c r="B73" s="1"/>
      <c r="C73" s="24" t="str">
        <f aca="false">IF(B73="","",IFERROR(INDEX(Patients!$B$2:$B$501,MATCH(B73,Patients!$A$2:$A$501,0))&amp;"",""))</f>
        <v/>
      </c>
      <c r="D73" s="1"/>
      <c r="E73" s="28"/>
      <c r="F73" s="1"/>
      <c r="G73" s="1"/>
      <c r="H73" s="29"/>
      <c r="I73" s="1"/>
      <c r="J73" s="20" t="str">
        <f aca="false">IF(D73="","",IFERROR(INDEX(Settings!$C$49:$C$54,MATCH(D73,Settings!$A$49:$A$54,0)),0))</f>
        <v/>
      </c>
      <c r="K73" s="20" t="str">
        <f aca="false">IF(J73="","",IF(G73="",J73,J73*(1-IF(H73="",Settings!$B$6,H73))))</f>
        <v/>
      </c>
      <c r="L73" s="20" t="str">
        <f aca="false">IF(OR(J73="",G73=""),"",J73-K73)</f>
        <v/>
      </c>
      <c r="M73" s="1"/>
    </row>
    <row r="74" customFormat="false" ht="15" hidden="false" customHeight="false" outlineLevel="0" collapsed="false">
      <c r="A74" s="27"/>
      <c r="B74" s="1"/>
      <c r="C74" s="24" t="str">
        <f aca="false">IF(B74="","",IFERROR(INDEX(Patients!$B$2:$B$501,MATCH(B74,Patients!$A$2:$A$501,0))&amp;"",""))</f>
        <v/>
      </c>
      <c r="D74" s="1"/>
      <c r="E74" s="28"/>
      <c r="F74" s="1"/>
      <c r="G74" s="1"/>
      <c r="H74" s="29"/>
      <c r="I74" s="1"/>
      <c r="J74" s="20" t="str">
        <f aca="false">IF(D74="","",IFERROR(INDEX(Settings!$C$49:$C$54,MATCH(D74,Settings!$A$49:$A$54,0)),0))</f>
        <v/>
      </c>
      <c r="K74" s="20" t="str">
        <f aca="false">IF(J74="","",IF(G74="",J74,J74*(1-IF(H74="",Settings!$B$6,H74))))</f>
        <v/>
      </c>
      <c r="L74" s="20" t="str">
        <f aca="false">IF(OR(J74="",G74=""),"",J74-K74)</f>
        <v/>
      </c>
      <c r="M74" s="1"/>
    </row>
    <row r="75" customFormat="false" ht="15" hidden="false" customHeight="false" outlineLevel="0" collapsed="false">
      <c r="A75" s="27"/>
      <c r="B75" s="1"/>
      <c r="C75" s="24" t="str">
        <f aca="false">IF(B75="","",IFERROR(INDEX(Patients!$B$2:$B$501,MATCH(B75,Patients!$A$2:$A$501,0))&amp;"",""))</f>
        <v/>
      </c>
      <c r="D75" s="1"/>
      <c r="E75" s="28"/>
      <c r="F75" s="1"/>
      <c r="G75" s="1"/>
      <c r="H75" s="29"/>
      <c r="I75" s="1"/>
      <c r="J75" s="20" t="str">
        <f aca="false">IF(D75="","",IFERROR(INDEX(Settings!$C$49:$C$54,MATCH(D75,Settings!$A$49:$A$54,0)),0))</f>
        <v/>
      </c>
      <c r="K75" s="20" t="str">
        <f aca="false">IF(J75="","",IF(G75="",J75,J75*(1-IF(H75="",Settings!$B$6,H75))))</f>
        <v/>
      </c>
      <c r="L75" s="20" t="str">
        <f aca="false">IF(OR(J75="",G75=""),"",J75-K75)</f>
        <v/>
      </c>
      <c r="M75" s="1"/>
    </row>
    <row r="76" customFormat="false" ht="15" hidden="false" customHeight="false" outlineLevel="0" collapsed="false">
      <c r="A76" s="27"/>
      <c r="B76" s="1"/>
      <c r="C76" s="24" t="str">
        <f aca="false">IF(B76="","",IFERROR(INDEX(Patients!$B$2:$B$501,MATCH(B76,Patients!$A$2:$A$501,0))&amp;"",""))</f>
        <v/>
      </c>
      <c r="D76" s="1"/>
      <c r="E76" s="28"/>
      <c r="F76" s="1"/>
      <c r="G76" s="1"/>
      <c r="H76" s="29"/>
      <c r="I76" s="1"/>
      <c r="J76" s="20" t="str">
        <f aca="false">IF(D76="","",IFERROR(INDEX(Settings!$C$49:$C$54,MATCH(D76,Settings!$A$49:$A$54,0)),0))</f>
        <v/>
      </c>
      <c r="K76" s="20" t="str">
        <f aca="false">IF(J76="","",IF(G76="",J76,J76*(1-IF(H76="",Settings!$B$6,H76))))</f>
        <v/>
      </c>
      <c r="L76" s="20" t="str">
        <f aca="false">IF(OR(J76="",G76=""),"",J76-K76)</f>
        <v/>
      </c>
      <c r="M76" s="1"/>
    </row>
    <row r="77" customFormat="false" ht="15" hidden="false" customHeight="false" outlineLevel="0" collapsed="false">
      <c r="A77" s="27"/>
      <c r="B77" s="1"/>
      <c r="C77" s="24" t="str">
        <f aca="false">IF(B77="","",IFERROR(INDEX(Patients!$B$2:$B$501,MATCH(B77,Patients!$A$2:$A$501,0))&amp;"",""))</f>
        <v/>
      </c>
      <c r="D77" s="1"/>
      <c r="E77" s="28"/>
      <c r="F77" s="1"/>
      <c r="G77" s="1"/>
      <c r="H77" s="29"/>
      <c r="I77" s="1"/>
      <c r="J77" s="20" t="str">
        <f aca="false">IF(D77="","",IFERROR(INDEX(Settings!$C$49:$C$54,MATCH(D77,Settings!$A$49:$A$54,0)),0))</f>
        <v/>
      </c>
      <c r="K77" s="20" t="str">
        <f aca="false">IF(J77="","",IF(G77="",J77,J77*(1-IF(H77="",Settings!$B$6,H77))))</f>
        <v/>
      </c>
      <c r="L77" s="20" t="str">
        <f aca="false">IF(OR(J77="",G77=""),"",J77-K77)</f>
        <v/>
      </c>
      <c r="M77" s="1"/>
    </row>
    <row r="78" customFormat="false" ht="15" hidden="false" customHeight="false" outlineLevel="0" collapsed="false">
      <c r="A78" s="27"/>
      <c r="B78" s="1"/>
      <c r="C78" s="24" t="str">
        <f aca="false">IF(B78="","",IFERROR(INDEX(Patients!$B$2:$B$501,MATCH(B78,Patients!$A$2:$A$501,0))&amp;"",""))</f>
        <v/>
      </c>
      <c r="D78" s="1"/>
      <c r="E78" s="28"/>
      <c r="F78" s="1"/>
      <c r="G78" s="1"/>
      <c r="H78" s="29"/>
      <c r="I78" s="1"/>
      <c r="J78" s="20" t="str">
        <f aca="false">IF(D78="","",IFERROR(INDEX(Settings!$C$49:$C$54,MATCH(D78,Settings!$A$49:$A$54,0)),0))</f>
        <v/>
      </c>
      <c r="K78" s="20" t="str">
        <f aca="false">IF(J78="","",IF(G78="",J78,J78*(1-IF(H78="",Settings!$B$6,H78))))</f>
        <v/>
      </c>
      <c r="L78" s="20" t="str">
        <f aca="false">IF(OR(J78="",G78=""),"",J78-K78)</f>
        <v/>
      </c>
      <c r="M78" s="1"/>
    </row>
    <row r="79" customFormat="false" ht="15" hidden="false" customHeight="false" outlineLevel="0" collapsed="false">
      <c r="A79" s="27"/>
      <c r="B79" s="1"/>
      <c r="C79" s="24" t="str">
        <f aca="false">IF(B79="","",IFERROR(INDEX(Patients!$B$2:$B$501,MATCH(B79,Patients!$A$2:$A$501,0))&amp;"",""))</f>
        <v/>
      </c>
      <c r="D79" s="1"/>
      <c r="E79" s="28"/>
      <c r="F79" s="1"/>
      <c r="G79" s="1"/>
      <c r="H79" s="29"/>
      <c r="I79" s="1"/>
      <c r="J79" s="20" t="str">
        <f aca="false">IF(D79="","",IFERROR(INDEX(Settings!$C$49:$C$54,MATCH(D79,Settings!$A$49:$A$54,0)),0))</f>
        <v/>
      </c>
      <c r="K79" s="20" t="str">
        <f aca="false">IF(J79="","",IF(G79="",J79,J79*(1-IF(H79="",Settings!$B$6,H79))))</f>
        <v/>
      </c>
      <c r="L79" s="20" t="str">
        <f aca="false">IF(OR(J79="",G79=""),"",J79-K79)</f>
        <v/>
      </c>
      <c r="M79" s="1"/>
    </row>
    <row r="80" customFormat="false" ht="15" hidden="false" customHeight="false" outlineLevel="0" collapsed="false">
      <c r="A80" s="27"/>
      <c r="B80" s="1"/>
      <c r="C80" s="24" t="str">
        <f aca="false">IF(B80="","",IFERROR(INDEX(Patients!$B$2:$B$501,MATCH(B80,Patients!$A$2:$A$501,0))&amp;"",""))</f>
        <v/>
      </c>
      <c r="D80" s="1"/>
      <c r="E80" s="28"/>
      <c r="F80" s="1"/>
      <c r="G80" s="1"/>
      <c r="H80" s="29"/>
      <c r="I80" s="1"/>
      <c r="J80" s="20" t="str">
        <f aca="false">IF(D80="","",IFERROR(INDEX(Settings!$C$49:$C$54,MATCH(D80,Settings!$A$49:$A$54,0)),0))</f>
        <v/>
      </c>
      <c r="K80" s="20" t="str">
        <f aca="false">IF(J80="","",IF(G80="",J80,J80*(1-IF(H80="",Settings!$B$6,H80))))</f>
        <v/>
      </c>
      <c r="L80" s="20" t="str">
        <f aca="false">IF(OR(J80="",G80=""),"",J80-K80)</f>
        <v/>
      </c>
      <c r="M80" s="1"/>
    </row>
    <row r="81" customFormat="false" ht="15" hidden="false" customHeight="false" outlineLevel="0" collapsed="false">
      <c r="A81" s="27"/>
      <c r="B81" s="1"/>
      <c r="C81" s="24" t="str">
        <f aca="false">IF(B81="","",IFERROR(INDEX(Patients!$B$2:$B$501,MATCH(B81,Patients!$A$2:$A$501,0))&amp;"",""))</f>
        <v/>
      </c>
      <c r="D81" s="1"/>
      <c r="E81" s="28"/>
      <c r="F81" s="1"/>
      <c r="G81" s="1"/>
      <c r="H81" s="29"/>
      <c r="I81" s="1"/>
      <c r="J81" s="20" t="str">
        <f aca="false">IF(D81="","",IFERROR(INDEX(Settings!$C$49:$C$54,MATCH(D81,Settings!$A$49:$A$54,0)),0))</f>
        <v/>
      </c>
      <c r="K81" s="20" t="str">
        <f aca="false">IF(J81="","",IF(G81="",J81,J81*(1-IF(H81="",Settings!$B$6,H81))))</f>
        <v/>
      </c>
      <c r="L81" s="20" t="str">
        <f aca="false">IF(OR(J81="",G81=""),"",J81-K81)</f>
        <v/>
      </c>
      <c r="M81" s="1"/>
    </row>
    <row r="82" customFormat="false" ht="15" hidden="false" customHeight="false" outlineLevel="0" collapsed="false">
      <c r="A82" s="27"/>
      <c r="B82" s="1"/>
      <c r="C82" s="24" t="str">
        <f aca="false">IF(B82="","",IFERROR(INDEX(Patients!$B$2:$B$501,MATCH(B82,Patients!$A$2:$A$501,0))&amp;"",""))</f>
        <v/>
      </c>
      <c r="D82" s="1"/>
      <c r="E82" s="28"/>
      <c r="F82" s="1"/>
      <c r="G82" s="1"/>
      <c r="H82" s="29"/>
      <c r="I82" s="1"/>
      <c r="J82" s="20" t="str">
        <f aca="false">IF(D82="","",IFERROR(INDEX(Settings!$C$49:$C$54,MATCH(D82,Settings!$A$49:$A$54,0)),0))</f>
        <v/>
      </c>
      <c r="K82" s="20" t="str">
        <f aca="false">IF(J82="","",IF(G82="",J82,J82*(1-IF(H82="",Settings!$B$6,H82))))</f>
        <v/>
      </c>
      <c r="L82" s="20" t="str">
        <f aca="false">IF(OR(J82="",G82=""),"",J82-K82)</f>
        <v/>
      </c>
      <c r="M82" s="1"/>
    </row>
    <row r="83" customFormat="false" ht="15" hidden="false" customHeight="false" outlineLevel="0" collapsed="false">
      <c r="A83" s="27"/>
      <c r="B83" s="1"/>
      <c r="C83" s="24" t="str">
        <f aca="false">IF(B83="","",IFERROR(INDEX(Patients!$B$2:$B$501,MATCH(B83,Patients!$A$2:$A$501,0))&amp;"",""))</f>
        <v/>
      </c>
      <c r="D83" s="1"/>
      <c r="E83" s="28"/>
      <c r="F83" s="1"/>
      <c r="G83" s="1"/>
      <c r="H83" s="29"/>
      <c r="I83" s="1"/>
      <c r="J83" s="20" t="str">
        <f aca="false">IF(D83="","",IFERROR(INDEX(Settings!$C$49:$C$54,MATCH(D83,Settings!$A$49:$A$54,0)),0))</f>
        <v/>
      </c>
      <c r="K83" s="20" t="str">
        <f aca="false">IF(J83="","",IF(G83="",J83,J83*(1-IF(H83="",Settings!$B$6,H83))))</f>
        <v/>
      </c>
      <c r="L83" s="20" t="str">
        <f aca="false">IF(OR(J83="",G83=""),"",J83-K83)</f>
        <v/>
      </c>
      <c r="M83" s="1"/>
    </row>
    <row r="84" customFormat="false" ht="15" hidden="false" customHeight="false" outlineLevel="0" collapsed="false">
      <c r="A84" s="27"/>
      <c r="B84" s="1"/>
      <c r="C84" s="24" t="str">
        <f aca="false">IF(B84="","",IFERROR(INDEX(Patients!$B$2:$B$501,MATCH(B84,Patients!$A$2:$A$501,0))&amp;"",""))</f>
        <v/>
      </c>
      <c r="D84" s="1"/>
      <c r="E84" s="28"/>
      <c r="F84" s="1"/>
      <c r="G84" s="1"/>
      <c r="H84" s="29"/>
      <c r="I84" s="1"/>
      <c r="J84" s="20" t="str">
        <f aca="false">IF(D84="","",IFERROR(INDEX(Settings!$C$49:$C$54,MATCH(D84,Settings!$A$49:$A$54,0)),0))</f>
        <v/>
      </c>
      <c r="K84" s="20" t="str">
        <f aca="false">IF(J84="","",IF(G84="",J84,J84*(1-IF(H84="",Settings!$B$6,H84))))</f>
        <v/>
      </c>
      <c r="L84" s="20" t="str">
        <f aca="false">IF(OR(J84="",G84=""),"",J84-K84)</f>
        <v/>
      </c>
      <c r="M84" s="1"/>
    </row>
    <row r="85" customFormat="false" ht="15" hidden="false" customHeight="false" outlineLevel="0" collapsed="false">
      <c r="A85" s="27"/>
      <c r="B85" s="1"/>
      <c r="C85" s="24" t="str">
        <f aca="false">IF(B85="","",IFERROR(INDEX(Patients!$B$2:$B$501,MATCH(B85,Patients!$A$2:$A$501,0))&amp;"",""))</f>
        <v/>
      </c>
      <c r="D85" s="1"/>
      <c r="E85" s="28"/>
      <c r="F85" s="1"/>
      <c r="G85" s="1"/>
      <c r="H85" s="29"/>
      <c r="I85" s="1"/>
      <c r="J85" s="20" t="str">
        <f aca="false">IF(D85="","",IFERROR(INDEX(Settings!$C$49:$C$54,MATCH(D85,Settings!$A$49:$A$54,0)),0))</f>
        <v/>
      </c>
      <c r="K85" s="20" t="str">
        <f aca="false">IF(J85="","",IF(G85="",J85,J85*(1-IF(H85="",Settings!$B$6,H85))))</f>
        <v/>
      </c>
      <c r="L85" s="20" t="str">
        <f aca="false">IF(OR(J85="",G85=""),"",J85-K85)</f>
        <v/>
      </c>
      <c r="M85" s="1"/>
    </row>
    <row r="86" customFormat="false" ht="15" hidden="false" customHeight="false" outlineLevel="0" collapsed="false">
      <c r="A86" s="27"/>
      <c r="B86" s="1"/>
      <c r="C86" s="24" t="str">
        <f aca="false">IF(B86="","",IFERROR(INDEX(Patients!$B$2:$B$501,MATCH(B86,Patients!$A$2:$A$501,0))&amp;"",""))</f>
        <v/>
      </c>
      <c r="D86" s="1"/>
      <c r="E86" s="28"/>
      <c r="F86" s="1"/>
      <c r="G86" s="1"/>
      <c r="H86" s="29"/>
      <c r="I86" s="1"/>
      <c r="J86" s="20" t="str">
        <f aca="false">IF(D86="","",IFERROR(INDEX(Settings!$C$49:$C$54,MATCH(D86,Settings!$A$49:$A$54,0)),0))</f>
        <v/>
      </c>
      <c r="K86" s="20" t="str">
        <f aca="false">IF(J86="","",IF(G86="",J86,J86*(1-IF(H86="",Settings!$B$6,H86))))</f>
        <v/>
      </c>
      <c r="L86" s="20" t="str">
        <f aca="false">IF(OR(J86="",G86=""),"",J86-K86)</f>
        <v/>
      </c>
      <c r="M86" s="1"/>
    </row>
    <row r="87" customFormat="false" ht="15" hidden="false" customHeight="false" outlineLevel="0" collapsed="false">
      <c r="A87" s="27"/>
      <c r="B87" s="1"/>
      <c r="C87" s="24" t="str">
        <f aca="false">IF(B87="","",IFERROR(INDEX(Patients!$B$2:$B$501,MATCH(B87,Patients!$A$2:$A$501,0))&amp;"",""))</f>
        <v/>
      </c>
      <c r="D87" s="1"/>
      <c r="E87" s="28"/>
      <c r="F87" s="1"/>
      <c r="G87" s="1"/>
      <c r="H87" s="29"/>
      <c r="I87" s="1"/>
      <c r="J87" s="20" t="str">
        <f aca="false">IF(D87="","",IFERROR(INDEX(Settings!$C$49:$C$54,MATCH(D87,Settings!$A$49:$A$54,0)),0))</f>
        <v/>
      </c>
      <c r="K87" s="20" t="str">
        <f aca="false">IF(J87="","",IF(G87="",J87,J87*(1-IF(H87="",Settings!$B$6,H87))))</f>
        <v/>
      </c>
      <c r="L87" s="20" t="str">
        <f aca="false">IF(OR(J87="",G87=""),"",J87-K87)</f>
        <v/>
      </c>
      <c r="M87" s="1"/>
    </row>
    <row r="88" customFormat="false" ht="15" hidden="false" customHeight="false" outlineLevel="0" collapsed="false">
      <c r="A88" s="27"/>
      <c r="B88" s="1"/>
      <c r="C88" s="24" t="str">
        <f aca="false">IF(B88="","",IFERROR(INDEX(Patients!$B$2:$B$501,MATCH(B88,Patients!$A$2:$A$501,0))&amp;"",""))</f>
        <v/>
      </c>
      <c r="D88" s="1"/>
      <c r="E88" s="28"/>
      <c r="F88" s="1"/>
      <c r="G88" s="1"/>
      <c r="H88" s="29"/>
      <c r="I88" s="1"/>
      <c r="J88" s="20" t="str">
        <f aca="false">IF(D88="","",IFERROR(INDEX(Settings!$C$49:$C$54,MATCH(D88,Settings!$A$49:$A$54,0)),0))</f>
        <v/>
      </c>
      <c r="K88" s="20" t="str">
        <f aca="false">IF(J88="","",IF(G88="",J88,J88*(1-IF(H88="",Settings!$B$6,H88))))</f>
        <v/>
      </c>
      <c r="L88" s="20" t="str">
        <f aca="false">IF(OR(J88="",G88=""),"",J88-K88)</f>
        <v/>
      </c>
      <c r="M88" s="1"/>
    </row>
    <row r="89" customFormat="false" ht="15" hidden="false" customHeight="false" outlineLevel="0" collapsed="false">
      <c r="A89" s="27"/>
      <c r="B89" s="1"/>
      <c r="C89" s="24" t="str">
        <f aca="false">IF(B89="","",IFERROR(INDEX(Patients!$B$2:$B$501,MATCH(B89,Patients!$A$2:$A$501,0))&amp;"",""))</f>
        <v/>
      </c>
      <c r="D89" s="1"/>
      <c r="E89" s="28"/>
      <c r="F89" s="1"/>
      <c r="G89" s="1"/>
      <c r="H89" s="29"/>
      <c r="I89" s="1"/>
      <c r="J89" s="20" t="str">
        <f aca="false">IF(D89="","",IFERROR(INDEX(Settings!$C$49:$C$54,MATCH(D89,Settings!$A$49:$A$54,0)),0))</f>
        <v/>
      </c>
      <c r="K89" s="20" t="str">
        <f aca="false">IF(J89="","",IF(G89="",J89,J89*(1-IF(H89="",Settings!$B$6,H89))))</f>
        <v/>
      </c>
      <c r="L89" s="20" t="str">
        <f aca="false">IF(OR(J89="",G89=""),"",J89-K89)</f>
        <v/>
      </c>
      <c r="M89" s="1"/>
    </row>
    <row r="90" customFormat="false" ht="15" hidden="false" customHeight="false" outlineLevel="0" collapsed="false">
      <c r="A90" s="27"/>
      <c r="B90" s="1"/>
      <c r="C90" s="24" t="str">
        <f aca="false">IF(B90="","",IFERROR(INDEX(Patients!$B$2:$B$501,MATCH(B90,Patients!$A$2:$A$501,0))&amp;"",""))</f>
        <v/>
      </c>
      <c r="D90" s="1"/>
      <c r="E90" s="28"/>
      <c r="F90" s="1"/>
      <c r="G90" s="1"/>
      <c r="H90" s="29"/>
      <c r="I90" s="1"/>
      <c r="J90" s="20" t="str">
        <f aca="false">IF(D90="","",IFERROR(INDEX(Settings!$C$49:$C$54,MATCH(D90,Settings!$A$49:$A$54,0)),0))</f>
        <v/>
      </c>
      <c r="K90" s="20" t="str">
        <f aca="false">IF(J90="","",IF(G90="",J90,J90*(1-IF(H90="",Settings!$B$6,H90))))</f>
        <v/>
      </c>
      <c r="L90" s="20" t="str">
        <f aca="false">IF(OR(J90="",G90=""),"",J90-K90)</f>
        <v/>
      </c>
      <c r="M90" s="1"/>
    </row>
    <row r="91" customFormat="false" ht="15" hidden="false" customHeight="false" outlineLevel="0" collapsed="false">
      <c r="A91" s="27"/>
      <c r="B91" s="1"/>
      <c r="C91" s="24" t="str">
        <f aca="false">IF(B91="","",IFERROR(INDEX(Patients!$B$2:$B$501,MATCH(B91,Patients!$A$2:$A$501,0))&amp;"",""))</f>
        <v/>
      </c>
      <c r="D91" s="1"/>
      <c r="E91" s="28"/>
      <c r="F91" s="1"/>
      <c r="G91" s="1"/>
      <c r="H91" s="29"/>
      <c r="I91" s="1"/>
      <c r="J91" s="20" t="str">
        <f aca="false">IF(D91="","",IFERROR(INDEX(Settings!$C$49:$C$54,MATCH(D91,Settings!$A$49:$A$54,0)),0))</f>
        <v/>
      </c>
      <c r="K91" s="20" t="str">
        <f aca="false">IF(J91="","",IF(G91="",J91,J91*(1-IF(H91="",Settings!$B$6,H91))))</f>
        <v/>
      </c>
      <c r="L91" s="20" t="str">
        <f aca="false">IF(OR(J91="",G91=""),"",J91-K91)</f>
        <v/>
      </c>
      <c r="M91" s="1"/>
    </row>
    <row r="92" customFormat="false" ht="15" hidden="false" customHeight="false" outlineLevel="0" collapsed="false">
      <c r="A92" s="27"/>
      <c r="B92" s="1"/>
      <c r="C92" s="24" t="str">
        <f aca="false">IF(B92="","",IFERROR(INDEX(Patients!$B$2:$B$501,MATCH(B92,Patients!$A$2:$A$501,0))&amp;"",""))</f>
        <v/>
      </c>
      <c r="D92" s="1"/>
      <c r="E92" s="28"/>
      <c r="F92" s="1"/>
      <c r="G92" s="1"/>
      <c r="H92" s="29"/>
      <c r="I92" s="1"/>
      <c r="J92" s="20" t="str">
        <f aca="false">IF(D92="","",IFERROR(INDEX(Settings!$C$49:$C$54,MATCH(D92,Settings!$A$49:$A$54,0)),0))</f>
        <v/>
      </c>
      <c r="K92" s="20" t="str">
        <f aca="false">IF(J92="","",IF(G92="",J92,J92*(1-IF(H92="",Settings!$B$6,H92))))</f>
        <v/>
      </c>
      <c r="L92" s="20" t="str">
        <f aca="false">IF(OR(J92="",G92=""),"",J92-K92)</f>
        <v/>
      </c>
      <c r="M92" s="1"/>
    </row>
    <row r="93" customFormat="false" ht="15" hidden="false" customHeight="false" outlineLevel="0" collapsed="false">
      <c r="A93" s="27"/>
      <c r="B93" s="1"/>
      <c r="C93" s="24" t="str">
        <f aca="false">IF(B93="","",IFERROR(INDEX(Patients!$B$2:$B$501,MATCH(B93,Patients!$A$2:$A$501,0))&amp;"",""))</f>
        <v/>
      </c>
      <c r="D93" s="1"/>
      <c r="E93" s="28"/>
      <c r="F93" s="1"/>
      <c r="G93" s="1"/>
      <c r="H93" s="29"/>
      <c r="I93" s="1"/>
      <c r="J93" s="20" t="str">
        <f aca="false">IF(D93="","",IFERROR(INDEX(Settings!$C$49:$C$54,MATCH(D93,Settings!$A$49:$A$54,0)),0))</f>
        <v/>
      </c>
      <c r="K93" s="20" t="str">
        <f aca="false">IF(J93="","",IF(G93="",J93,J93*(1-IF(H93="",Settings!$B$6,H93))))</f>
        <v/>
      </c>
      <c r="L93" s="20" t="str">
        <f aca="false">IF(OR(J93="",G93=""),"",J93-K93)</f>
        <v/>
      </c>
      <c r="M93" s="1"/>
    </row>
    <row r="94" customFormat="false" ht="15" hidden="false" customHeight="false" outlineLevel="0" collapsed="false">
      <c r="A94" s="27"/>
      <c r="B94" s="1"/>
      <c r="C94" s="24" t="str">
        <f aca="false">IF(B94="","",IFERROR(INDEX(Patients!$B$2:$B$501,MATCH(B94,Patients!$A$2:$A$501,0))&amp;"",""))</f>
        <v/>
      </c>
      <c r="D94" s="1"/>
      <c r="E94" s="28"/>
      <c r="F94" s="1"/>
      <c r="G94" s="1"/>
      <c r="H94" s="29"/>
      <c r="I94" s="1"/>
      <c r="J94" s="20" t="str">
        <f aca="false">IF(D94="","",IFERROR(INDEX(Settings!$C$49:$C$54,MATCH(D94,Settings!$A$49:$A$54,0)),0))</f>
        <v/>
      </c>
      <c r="K94" s="20" t="str">
        <f aca="false">IF(J94="","",IF(G94="",J94,J94*(1-IF(H94="",Settings!$B$6,H94))))</f>
        <v/>
      </c>
      <c r="L94" s="20" t="str">
        <f aca="false">IF(OR(J94="",G94=""),"",J94-K94)</f>
        <v/>
      </c>
      <c r="M94" s="1"/>
    </row>
    <row r="95" customFormat="false" ht="15" hidden="false" customHeight="false" outlineLevel="0" collapsed="false">
      <c r="A95" s="27"/>
      <c r="B95" s="1"/>
      <c r="C95" s="24" t="str">
        <f aca="false">IF(B95="","",IFERROR(INDEX(Patients!$B$2:$B$501,MATCH(B95,Patients!$A$2:$A$501,0))&amp;"",""))</f>
        <v/>
      </c>
      <c r="D95" s="1"/>
      <c r="E95" s="28"/>
      <c r="F95" s="1"/>
      <c r="G95" s="1"/>
      <c r="H95" s="29"/>
      <c r="I95" s="1"/>
      <c r="J95" s="20" t="str">
        <f aca="false">IF(D95="","",IFERROR(INDEX(Settings!$C$49:$C$54,MATCH(D95,Settings!$A$49:$A$54,0)),0))</f>
        <v/>
      </c>
      <c r="K95" s="20" t="str">
        <f aca="false">IF(J95="","",IF(G95="",J95,J95*(1-IF(H95="",Settings!$B$6,H95))))</f>
        <v/>
      </c>
      <c r="L95" s="20" t="str">
        <f aca="false">IF(OR(J95="",G95=""),"",J95-K95)</f>
        <v/>
      </c>
      <c r="M95" s="1"/>
    </row>
    <row r="96" customFormat="false" ht="15" hidden="false" customHeight="false" outlineLevel="0" collapsed="false">
      <c r="A96" s="27"/>
      <c r="B96" s="1"/>
      <c r="C96" s="24" t="str">
        <f aca="false">IF(B96="","",IFERROR(INDEX(Patients!$B$2:$B$501,MATCH(B96,Patients!$A$2:$A$501,0))&amp;"",""))</f>
        <v/>
      </c>
      <c r="D96" s="1"/>
      <c r="E96" s="28"/>
      <c r="F96" s="1"/>
      <c r="G96" s="1"/>
      <c r="H96" s="29"/>
      <c r="I96" s="1"/>
      <c r="J96" s="20" t="str">
        <f aca="false">IF(D96="","",IFERROR(INDEX(Settings!$C$49:$C$54,MATCH(D96,Settings!$A$49:$A$54,0)),0))</f>
        <v/>
      </c>
      <c r="K96" s="20" t="str">
        <f aca="false">IF(J96="","",IF(G96="",J96,J96*(1-IF(H96="",Settings!$B$6,H96))))</f>
        <v/>
      </c>
      <c r="L96" s="20" t="str">
        <f aca="false">IF(OR(J96="",G96=""),"",J96-K96)</f>
        <v/>
      </c>
      <c r="M96" s="1"/>
    </row>
    <row r="97" customFormat="false" ht="15" hidden="false" customHeight="false" outlineLevel="0" collapsed="false">
      <c r="A97" s="27"/>
      <c r="B97" s="1"/>
      <c r="C97" s="24" t="str">
        <f aca="false">IF(B97="","",IFERROR(INDEX(Patients!$B$2:$B$501,MATCH(B97,Patients!$A$2:$A$501,0))&amp;"",""))</f>
        <v/>
      </c>
      <c r="D97" s="1"/>
      <c r="E97" s="28"/>
      <c r="F97" s="1"/>
      <c r="G97" s="1"/>
      <c r="H97" s="29"/>
      <c r="I97" s="1"/>
      <c r="J97" s="20" t="str">
        <f aca="false">IF(D97="","",IFERROR(INDEX(Settings!$C$49:$C$54,MATCH(D97,Settings!$A$49:$A$54,0)),0))</f>
        <v/>
      </c>
      <c r="K97" s="20" t="str">
        <f aca="false">IF(J97="","",IF(G97="",J97,J97*(1-IF(H97="",Settings!$B$6,H97))))</f>
        <v/>
      </c>
      <c r="L97" s="20" t="str">
        <f aca="false">IF(OR(J97="",G97=""),"",J97-K97)</f>
        <v/>
      </c>
      <c r="M97" s="1"/>
    </row>
    <row r="98" customFormat="false" ht="15" hidden="false" customHeight="false" outlineLevel="0" collapsed="false">
      <c r="A98" s="27"/>
      <c r="B98" s="1"/>
      <c r="C98" s="24" t="str">
        <f aca="false">IF(B98="","",IFERROR(INDEX(Patients!$B$2:$B$501,MATCH(B98,Patients!$A$2:$A$501,0))&amp;"",""))</f>
        <v/>
      </c>
      <c r="D98" s="1"/>
      <c r="E98" s="28"/>
      <c r="F98" s="1"/>
      <c r="G98" s="1"/>
      <c r="H98" s="29"/>
      <c r="I98" s="1"/>
      <c r="J98" s="20" t="str">
        <f aca="false">IF(D98="","",IFERROR(INDEX(Settings!$C$49:$C$54,MATCH(D98,Settings!$A$49:$A$54,0)),0))</f>
        <v/>
      </c>
      <c r="K98" s="20" t="str">
        <f aca="false">IF(J98="","",IF(G98="",J98,J98*(1-IF(H98="",Settings!$B$6,H98))))</f>
        <v/>
      </c>
      <c r="L98" s="20" t="str">
        <f aca="false">IF(OR(J98="",G98=""),"",J98-K98)</f>
        <v/>
      </c>
      <c r="M98" s="1"/>
    </row>
    <row r="99" customFormat="false" ht="15" hidden="false" customHeight="false" outlineLevel="0" collapsed="false">
      <c r="A99" s="27"/>
      <c r="B99" s="1"/>
      <c r="C99" s="24" t="str">
        <f aca="false">IF(B99="","",IFERROR(INDEX(Patients!$B$2:$B$501,MATCH(B99,Patients!$A$2:$A$501,0))&amp;"",""))</f>
        <v/>
      </c>
      <c r="D99" s="1"/>
      <c r="E99" s="28"/>
      <c r="F99" s="1"/>
      <c r="G99" s="1"/>
      <c r="H99" s="29"/>
      <c r="I99" s="1"/>
      <c r="J99" s="20" t="str">
        <f aca="false">IF(D99="","",IFERROR(INDEX(Settings!$C$49:$C$54,MATCH(D99,Settings!$A$49:$A$54,0)),0))</f>
        <v/>
      </c>
      <c r="K99" s="20" t="str">
        <f aca="false">IF(J99="","",IF(G99="",J99,J99*(1-IF(H99="",Settings!$B$6,H99))))</f>
        <v/>
      </c>
      <c r="L99" s="20" t="str">
        <f aca="false">IF(OR(J99="",G99=""),"",J99-K99)</f>
        <v/>
      </c>
      <c r="M99" s="1"/>
    </row>
    <row r="100" customFormat="false" ht="15" hidden="false" customHeight="false" outlineLevel="0" collapsed="false">
      <c r="A100" s="27"/>
      <c r="B100" s="1"/>
      <c r="C100" s="24" t="str">
        <f aca="false">IF(B100="","",IFERROR(INDEX(Patients!$B$2:$B$501,MATCH(B100,Patients!$A$2:$A$501,0))&amp;"",""))</f>
        <v/>
      </c>
      <c r="D100" s="1"/>
      <c r="E100" s="28"/>
      <c r="F100" s="1"/>
      <c r="G100" s="1"/>
      <c r="H100" s="29"/>
      <c r="I100" s="1"/>
      <c r="J100" s="20" t="str">
        <f aca="false">IF(D100="","",IFERROR(INDEX(Settings!$C$49:$C$54,MATCH(D100,Settings!$A$49:$A$54,0)),0))</f>
        <v/>
      </c>
      <c r="K100" s="20" t="str">
        <f aca="false">IF(J100="","",IF(G100="",J100,J100*(1-IF(H100="",Settings!$B$6,H100))))</f>
        <v/>
      </c>
      <c r="L100" s="20" t="str">
        <f aca="false">IF(OR(J100="",G100=""),"",J100-K100)</f>
        <v/>
      </c>
      <c r="M100" s="1"/>
    </row>
    <row r="101" customFormat="false" ht="15" hidden="false" customHeight="false" outlineLevel="0" collapsed="false">
      <c r="A101" s="27"/>
      <c r="B101" s="1"/>
      <c r="C101" s="24" t="str">
        <f aca="false">IF(B101="","",IFERROR(INDEX(Patients!$B$2:$B$501,MATCH(B101,Patients!$A$2:$A$501,0))&amp;"",""))</f>
        <v/>
      </c>
      <c r="D101" s="1"/>
      <c r="E101" s="28"/>
      <c r="F101" s="1"/>
      <c r="G101" s="1"/>
      <c r="H101" s="29"/>
      <c r="I101" s="1"/>
      <c r="J101" s="20" t="str">
        <f aca="false">IF(D101="","",IFERROR(INDEX(Settings!$C$49:$C$54,MATCH(D101,Settings!$A$49:$A$54,0)),0))</f>
        <v/>
      </c>
      <c r="K101" s="20" t="str">
        <f aca="false">IF(J101="","",IF(G101="",J101,J101*(1-IF(H101="",Settings!$B$6,H101))))</f>
        <v/>
      </c>
      <c r="L101" s="20" t="str">
        <f aca="false">IF(OR(J101="",G101=""),"",J101-K101)</f>
        <v/>
      </c>
      <c r="M101" s="1"/>
    </row>
    <row r="102" customFormat="false" ht="15" hidden="false" customHeight="false" outlineLevel="0" collapsed="false">
      <c r="A102" s="27"/>
      <c r="B102" s="1"/>
      <c r="C102" s="24" t="str">
        <f aca="false">IF(B102="","",IFERROR(INDEX(Patients!$B$2:$B$501,MATCH(B102,Patients!$A$2:$A$501,0))&amp;"",""))</f>
        <v/>
      </c>
      <c r="D102" s="1"/>
      <c r="E102" s="28"/>
      <c r="F102" s="1"/>
      <c r="G102" s="1"/>
      <c r="H102" s="29"/>
      <c r="I102" s="1"/>
      <c r="J102" s="20" t="str">
        <f aca="false">IF(D102="","",IFERROR(INDEX(Settings!$C$49:$C$54,MATCH(D102,Settings!$A$49:$A$54,0)),0))</f>
        <v/>
      </c>
      <c r="K102" s="20" t="str">
        <f aca="false">IF(J102="","",IF(G102="",J102,J102*(1-IF(H102="",Settings!$B$6,H102))))</f>
        <v/>
      </c>
      <c r="L102" s="20" t="str">
        <f aca="false">IF(OR(J102="",G102=""),"",J102-K102)</f>
        <v/>
      </c>
      <c r="M102" s="1"/>
    </row>
    <row r="103" customFormat="false" ht="15" hidden="false" customHeight="false" outlineLevel="0" collapsed="false">
      <c r="A103" s="27"/>
      <c r="B103" s="1"/>
      <c r="C103" s="24" t="str">
        <f aca="false">IF(B103="","",IFERROR(INDEX(Patients!$B$2:$B$501,MATCH(B103,Patients!$A$2:$A$501,0))&amp;"",""))</f>
        <v/>
      </c>
      <c r="D103" s="1"/>
      <c r="E103" s="28"/>
      <c r="F103" s="1"/>
      <c r="G103" s="1"/>
      <c r="H103" s="29"/>
      <c r="I103" s="1"/>
      <c r="J103" s="20" t="str">
        <f aca="false">IF(D103="","",IFERROR(INDEX(Settings!$C$49:$C$54,MATCH(D103,Settings!$A$49:$A$54,0)),0))</f>
        <v/>
      </c>
      <c r="K103" s="20" t="str">
        <f aca="false">IF(J103="","",IF(G103="",J103,J103*(1-IF(H103="",Settings!$B$6,H103))))</f>
        <v/>
      </c>
      <c r="L103" s="20" t="str">
        <f aca="false">IF(OR(J103="",G103=""),"",J103-K103)</f>
        <v/>
      </c>
      <c r="M103" s="1"/>
    </row>
    <row r="104" customFormat="false" ht="15" hidden="false" customHeight="false" outlineLevel="0" collapsed="false">
      <c r="A104" s="27"/>
      <c r="B104" s="1"/>
      <c r="C104" s="24" t="str">
        <f aca="false">IF(B104="","",IFERROR(INDEX(Patients!$B$2:$B$501,MATCH(B104,Patients!$A$2:$A$501,0))&amp;"",""))</f>
        <v/>
      </c>
      <c r="D104" s="1"/>
      <c r="E104" s="28"/>
      <c r="F104" s="1"/>
      <c r="G104" s="1"/>
      <c r="H104" s="29"/>
      <c r="I104" s="1"/>
      <c r="J104" s="20" t="str">
        <f aca="false">IF(D104="","",IFERROR(INDEX(Settings!$C$49:$C$54,MATCH(D104,Settings!$A$49:$A$54,0)),0))</f>
        <v/>
      </c>
      <c r="K104" s="20" t="str">
        <f aca="false">IF(J104="","",IF(G104="",J104,J104*(1-IF(H104="",Settings!$B$6,H104))))</f>
        <v/>
      </c>
      <c r="L104" s="20" t="str">
        <f aca="false">IF(OR(J104="",G104=""),"",J104-K104)</f>
        <v/>
      </c>
      <c r="M104" s="1"/>
    </row>
    <row r="105" customFormat="false" ht="15" hidden="false" customHeight="false" outlineLevel="0" collapsed="false">
      <c r="A105" s="27"/>
      <c r="B105" s="1"/>
      <c r="C105" s="24" t="str">
        <f aca="false">IF(B105="","",IFERROR(INDEX(Patients!$B$2:$B$501,MATCH(B105,Patients!$A$2:$A$501,0))&amp;"",""))</f>
        <v/>
      </c>
      <c r="D105" s="1"/>
      <c r="E105" s="28"/>
      <c r="F105" s="1"/>
      <c r="G105" s="1"/>
      <c r="H105" s="29"/>
      <c r="I105" s="1"/>
      <c r="J105" s="20" t="str">
        <f aca="false">IF(D105="","",IFERROR(INDEX(Settings!$C$49:$C$54,MATCH(D105,Settings!$A$49:$A$54,0)),0))</f>
        <v/>
      </c>
      <c r="K105" s="20" t="str">
        <f aca="false">IF(J105="","",IF(G105="",J105,J105*(1-IF(H105="",Settings!$B$6,H105))))</f>
        <v/>
      </c>
      <c r="L105" s="20" t="str">
        <f aca="false">IF(OR(J105="",G105=""),"",J105-K105)</f>
        <v/>
      </c>
      <c r="M105" s="1"/>
    </row>
    <row r="106" customFormat="false" ht="15" hidden="false" customHeight="false" outlineLevel="0" collapsed="false">
      <c r="A106" s="27"/>
      <c r="B106" s="1"/>
      <c r="C106" s="24" t="str">
        <f aca="false">IF(B106="","",IFERROR(INDEX(Patients!$B$2:$B$501,MATCH(B106,Patients!$A$2:$A$501,0))&amp;"",""))</f>
        <v/>
      </c>
      <c r="D106" s="1"/>
      <c r="E106" s="28"/>
      <c r="F106" s="1"/>
      <c r="G106" s="1"/>
      <c r="H106" s="29"/>
      <c r="I106" s="1"/>
      <c r="J106" s="20" t="str">
        <f aca="false">IF(D106="","",IFERROR(INDEX(Settings!$C$49:$C$54,MATCH(D106,Settings!$A$49:$A$54,0)),0))</f>
        <v/>
      </c>
      <c r="K106" s="20" t="str">
        <f aca="false">IF(J106="","",IF(G106="",J106,J106*(1-IF(H106="",Settings!$B$6,H106))))</f>
        <v/>
      </c>
      <c r="L106" s="20" t="str">
        <f aca="false">IF(OR(J106="",G106=""),"",J106-K106)</f>
        <v/>
      </c>
      <c r="M106" s="1"/>
    </row>
    <row r="107" customFormat="false" ht="15" hidden="false" customHeight="false" outlineLevel="0" collapsed="false">
      <c r="A107" s="27"/>
      <c r="B107" s="1"/>
      <c r="C107" s="24" t="str">
        <f aca="false">IF(B107="","",IFERROR(INDEX(Patients!$B$2:$B$501,MATCH(B107,Patients!$A$2:$A$501,0))&amp;"",""))</f>
        <v/>
      </c>
      <c r="D107" s="1"/>
      <c r="E107" s="28"/>
      <c r="F107" s="1"/>
      <c r="G107" s="1"/>
      <c r="H107" s="29"/>
      <c r="I107" s="1"/>
      <c r="J107" s="20" t="str">
        <f aca="false">IF(D107="","",IFERROR(INDEX(Settings!$C$49:$C$54,MATCH(D107,Settings!$A$49:$A$54,0)),0))</f>
        <v/>
      </c>
      <c r="K107" s="20" t="str">
        <f aca="false">IF(J107="","",IF(G107="",J107,J107*(1-IF(H107="",Settings!$B$6,H107))))</f>
        <v/>
      </c>
      <c r="L107" s="20" t="str">
        <f aca="false">IF(OR(J107="",G107=""),"",J107-K107)</f>
        <v/>
      </c>
      <c r="M107" s="1"/>
    </row>
    <row r="108" customFormat="false" ht="15" hidden="false" customHeight="false" outlineLevel="0" collapsed="false">
      <c r="A108" s="27"/>
      <c r="B108" s="1"/>
      <c r="C108" s="24" t="str">
        <f aca="false">IF(B108="","",IFERROR(INDEX(Patients!$B$2:$B$501,MATCH(B108,Patients!$A$2:$A$501,0))&amp;"",""))</f>
        <v/>
      </c>
      <c r="D108" s="1"/>
      <c r="E108" s="28"/>
      <c r="F108" s="1"/>
      <c r="G108" s="1"/>
      <c r="H108" s="29"/>
      <c r="I108" s="1"/>
      <c r="J108" s="20" t="str">
        <f aca="false">IF(D108="","",IFERROR(INDEX(Settings!$C$49:$C$54,MATCH(D108,Settings!$A$49:$A$54,0)),0))</f>
        <v/>
      </c>
      <c r="K108" s="20" t="str">
        <f aca="false">IF(J108="","",IF(G108="",J108,J108*(1-IF(H108="",Settings!$B$6,H108))))</f>
        <v/>
      </c>
      <c r="L108" s="20" t="str">
        <f aca="false">IF(OR(J108="",G108=""),"",J108-K108)</f>
        <v/>
      </c>
      <c r="M108" s="1"/>
    </row>
    <row r="109" customFormat="false" ht="15" hidden="false" customHeight="false" outlineLevel="0" collapsed="false">
      <c r="A109" s="27"/>
      <c r="B109" s="1"/>
      <c r="C109" s="24" t="str">
        <f aca="false">IF(B109="","",IFERROR(INDEX(Patients!$B$2:$B$501,MATCH(B109,Patients!$A$2:$A$501,0))&amp;"",""))</f>
        <v/>
      </c>
      <c r="D109" s="1"/>
      <c r="E109" s="28"/>
      <c r="F109" s="1"/>
      <c r="G109" s="1"/>
      <c r="H109" s="29"/>
      <c r="I109" s="1"/>
      <c r="J109" s="20" t="str">
        <f aca="false">IF(D109="","",IFERROR(INDEX(Settings!$C$49:$C$54,MATCH(D109,Settings!$A$49:$A$54,0)),0))</f>
        <v/>
      </c>
      <c r="K109" s="20" t="str">
        <f aca="false">IF(J109="","",IF(G109="",J109,J109*(1-IF(H109="",Settings!$B$6,H109))))</f>
        <v/>
      </c>
      <c r="L109" s="20" t="str">
        <f aca="false">IF(OR(J109="",G109=""),"",J109-K109)</f>
        <v/>
      </c>
      <c r="M109" s="1"/>
    </row>
    <row r="110" customFormat="false" ht="15" hidden="false" customHeight="false" outlineLevel="0" collapsed="false">
      <c r="A110" s="27"/>
      <c r="B110" s="1"/>
      <c r="C110" s="24" t="str">
        <f aca="false">IF(B110="","",IFERROR(INDEX(Patients!$B$2:$B$501,MATCH(B110,Patients!$A$2:$A$501,0))&amp;"",""))</f>
        <v/>
      </c>
      <c r="D110" s="1"/>
      <c r="E110" s="28"/>
      <c r="F110" s="1"/>
      <c r="G110" s="1"/>
      <c r="H110" s="29"/>
      <c r="I110" s="1"/>
      <c r="J110" s="20" t="str">
        <f aca="false">IF(D110="","",IFERROR(INDEX(Settings!$C$49:$C$54,MATCH(D110,Settings!$A$49:$A$54,0)),0))</f>
        <v/>
      </c>
      <c r="K110" s="20" t="str">
        <f aca="false">IF(J110="","",IF(G110="",J110,J110*(1-IF(H110="",Settings!$B$6,H110))))</f>
        <v/>
      </c>
      <c r="L110" s="20" t="str">
        <f aca="false">IF(OR(J110="",G110=""),"",J110-K110)</f>
        <v/>
      </c>
      <c r="M110" s="1"/>
    </row>
    <row r="111" customFormat="false" ht="15" hidden="false" customHeight="false" outlineLevel="0" collapsed="false">
      <c r="A111" s="27"/>
      <c r="B111" s="1"/>
      <c r="C111" s="24" t="str">
        <f aca="false">IF(B111="","",IFERROR(INDEX(Patients!$B$2:$B$501,MATCH(B111,Patients!$A$2:$A$501,0))&amp;"",""))</f>
        <v/>
      </c>
      <c r="D111" s="1"/>
      <c r="E111" s="28"/>
      <c r="F111" s="1"/>
      <c r="G111" s="1"/>
      <c r="H111" s="29"/>
      <c r="I111" s="1"/>
      <c r="J111" s="20" t="str">
        <f aca="false">IF(D111="","",IFERROR(INDEX(Settings!$C$49:$C$54,MATCH(D111,Settings!$A$49:$A$54,0)),0))</f>
        <v/>
      </c>
      <c r="K111" s="20" t="str">
        <f aca="false">IF(J111="","",IF(G111="",J111,J111*(1-IF(H111="",Settings!$B$6,H111))))</f>
        <v/>
      </c>
      <c r="L111" s="20" t="str">
        <f aca="false">IF(OR(J111="",G111=""),"",J111-K111)</f>
        <v/>
      </c>
      <c r="M111" s="1"/>
    </row>
    <row r="112" customFormat="false" ht="15" hidden="false" customHeight="false" outlineLevel="0" collapsed="false">
      <c r="A112" s="27"/>
      <c r="B112" s="1"/>
      <c r="C112" s="24" t="str">
        <f aca="false">IF(B112="","",IFERROR(INDEX(Patients!$B$2:$B$501,MATCH(B112,Patients!$A$2:$A$501,0))&amp;"",""))</f>
        <v/>
      </c>
      <c r="D112" s="1"/>
      <c r="E112" s="28"/>
      <c r="F112" s="1"/>
      <c r="G112" s="1"/>
      <c r="H112" s="29"/>
      <c r="I112" s="1"/>
      <c r="J112" s="20" t="str">
        <f aca="false">IF(D112="","",IFERROR(INDEX(Settings!$C$49:$C$54,MATCH(D112,Settings!$A$49:$A$54,0)),0))</f>
        <v/>
      </c>
      <c r="K112" s="20" t="str">
        <f aca="false">IF(J112="","",IF(G112="",J112,J112*(1-IF(H112="",Settings!$B$6,H112))))</f>
        <v/>
      </c>
      <c r="L112" s="20" t="str">
        <f aca="false">IF(OR(J112="",G112=""),"",J112-K112)</f>
        <v/>
      </c>
      <c r="M112" s="1"/>
    </row>
    <row r="113" customFormat="false" ht="15" hidden="false" customHeight="false" outlineLevel="0" collapsed="false">
      <c r="A113" s="27"/>
      <c r="B113" s="1"/>
      <c r="C113" s="24" t="str">
        <f aca="false">IF(B113="","",IFERROR(INDEX(Patients!$B$2:$B$501,MATCH(B113,Patients!$A$2:$A$501,0))&amp;"",""))</f>
        <v/>
      </c>
      <c r="D113" s="1"/>
      <c r="E113" s="28"/>
      <c r="F113" s="1"/>
      <c r="G113" s="1"/>
      <c r="H113" s="29"/>
      <c r="I113" s="1"/>
      <c r="J113" s="20" t="str">
        <f aca="false">IF(D113="","",IFERROR(INDEX(Settings!$C$49:$C$54,MATCH(D113,Settings!$A$49:$A$54,0)),0))</f>
        <v/>
      </c>
      <c r="K113" s="20" t="str">
        <f aca="false">IF(J113="","",IF(G113="",J113,J113*(1-IF(H113="",Settings!$B$6,H113))))</f>
        <v/>
      </c>
      <c r="L113" s="20" t="str">
        <f aca="false">IF(OR(J113="",G113=""),"",J113-K113)</f>
        <v/>
      </c>
      <c r="M113" s="1"/>
    </row>
    <row r="114" customFormat="false" ht="15" hidden="false" customHeight="false" outlineLevel="0" collapsed="false">
      <c r="A114" s="27"/>
      <c r="B114" s="1"/>
      <c r="C114" s="24" t="str">
        <f aca="false">IF(B114="","",IFERROR(INDEX(Patients!$B$2:$B$501,MATCH(B114,Patients!$A$2:$A$501,0))&amp;"",""))</f>
        <v/>
      </c>
      <c r="D114" s="1"/>
      <c r="E114" s="28"/>
      <c r="F114" s="1"/>
      <c r="G114" s="1"/>
      <c r="H114" s="29"/>
      <c r="I114" s="1"/>
      <c r="J114" s="20" t="str">
        <f aca="false">IF(D114="","",IFERROR(INDEX(Settings!$C$49:$C$54,MATCH(D114,Settings!$A$49:$A$54,0)),0))</f>
        <v/>
      </c>
      <c r="K114" s="20" t="str">
        <f aca="false">IF(J114="","",IF(G114="",J114,J114*(1-IF(H114="",Settings!$B$6,H114))))</f>
        <v/>
      </c>
      <c r="L114" s="20" t="str">
        <f aca="false">IF(OR(J114="",G114=""),"",J114-K114)</f>
        <v/>
      </c>
      <c r="M114" s="1"/>
    </row>
    <row r="115" customFormat="false" ht="15" hidden="false" customHeight="false" outlineLevel="0" collapsed="false">
      <c r="A115" s="27"/>
      <c r="B115" s="1"/>
      <c r="C115" s="24" t="str">
        <f aca="false">IF(B115="","",IFERROR(INDEX(Patients!$B$2:$B$501,MATCH(B115,Patients!$A$2:$A$501,0))&amp;"",""))</f>
        <v/>
      </c>
      <c r="D115" s="1"/>
      <c r="E115" s="28"/>
      <c r="F115" s="1"/>
      <c r="G115" s="1"/>
      <c r="H115" s="29"/>
      <c r="I115" s="1"/>
      <c r="J115" s="20" t="str">
        <f aca="false">IF(D115="","",IFERROR(INDEX(Settings!$C$49:$C$54,MATCH(D115,Settings!$A$49:$A$54,0)),0))</f>
        <v/>
      </c>
      <c r="K115" s="20" t="str">
        <f aca="false">IF(J115="","",IF(G115="",J115,J115*(1-IF(H115="",Settings!$B$6,H115))))</f>
        <v/>
      </c>
      <c r="L115" s="20" t="str">
        <f aca="false">IF(OR(J115="",G115=""),"",J115-K115)</f>
        <v/>
      </c>
      <c r="M115" s="1"/>
    </row>
    <row r="116" customFormat="false" ht="15" hidden="false" customHeight="false" outlineLevel="0" collapsed="false">
      <c r="A116" s="27"/>
      <c r="B116" s="1"/>
      <c r="C116" s="24" t="str">
        <f aca="false">IF(B116="","",IFERROR(INDEX(Patients!$B$2:$B$501,MATCH(B116,Patients!$A$2:$A$501,0))&amp;"",""))</f>
        <v/>
      </c>
      <c r="D116" s="1"/>
      <c r="E116" s="28"/>
      <c r="F116" s="1"/>
      <c r="G116" s="1"/>
      <c r="H116" s="29"/>
      <c r="I116" s="1"/>
      <c r="J116" s="20" t="str">
        <f aca="false">IF(D116="","",IFERROR(INDEX(Settings!$C$49:$C$54,MATCH(D116,Settings!$A$49:$A$54,0)),0))</f>
        <v/>
      </c>
      <c r="K116" s="20" t="str">
        <f aca="false">IF(J116="","",IF(G116="",J116,J116*(1-IF(H116="",Settings!$B$6,H116))))</f>
        <v/>
      </c>
      <c r="L116" s="20" t="str">
        <f aca="false">IF(OR(J116="",G116=""),"",J116-K116)</f>
        <v/>
      </c>
      <c r="M116" s="1"/>
    </row>
    <row r="117" customFormat="false" ht="15" hidden="false" customHeight="false" outlineLevel="0" collapsed="false">
      <c r="A117" s="27"/>
      <c r="B117" s="1"/>
      <c r="C117" s="24" t="str">
        <f aca="false">IF(B117="","",IFERROR(INDEX(Patients!$B$2:$B$501,MATCH(B117,Patients!$A$2:$A$501,0))&amp;"",""))</f>
        <v/>
      </c>
      <c r="D117" s="1"/>
      <c r="E117" s="28"/>
      <c r="F117" s="1"/>
      <c r="G117" s="1"/>
      <c r="H117" s="29"/>
      <c r="I117" s="1"/>
      <c r="J117" s="20" t="str">
        <f aca="false">IF(D117="","",IFERROR(INDEX(Settings!$C$49:$C$54,MATCH(D117,Settings!$A$49:$A$54,0)),0))</f>
        <v/>
      </c>
      <c r="K117" s="20" t="str">
        <f aca="false">IF(J117="","",IF(G117="",J117,J117*(1-IF(H117="",Settings!$B$6,H117))))</f>
        <v/>
      </c>
      <c r="L117" s="20" t="str">
        <f aca="false">IF(OR(J117="",G117=""),"",J117-K117)</f>
        <v/>
      </c>
      <c r="M117" s="1"/>
    </row>
    <row r="118" customFormat="false" ht="15" hidden="false" customHeight="false" outlineLevel="0" collapsed="false">
      <c r="A118" s="27"/>
      <c r="B118" s="1"/>
      <c r="C118" s="24" t="str">
        <f aca="false">IF(B118="","",IFERROR(INDEX(Patients!$B$2:$B$501,MATCH(B118,Patients!$A$2:$A$501,0))&amp;"",""))</f>
        <v/>
      </c>
      <c r="D118" s="1"/>
      <c r="E118" s="28"/>
      <c r="F118" s="1"/>
      <c r="G118" s="1"/>
      <c r="H118" s="29"/>
      <c r="I118" s="1"/>
      <c r="J118" s="20" t="str">
        <f aca="false">IF(D118="","",IFERROR(INDEX(Settings!$C$49:$C$54,MATCH(D118,Settings!$A$49:$A$54,0)),0))</f>
        <v/>
      </c>
      <c r="K118" s="20" t="str">
        <f aca="false">IF(J118="","",IF(G118="",J118,J118*(1-IF(H118="",Settings!$B$6,H118))))</f>
        <v/>
      </c>
      <c r="L118" s="20" t="str">
        <f aca="false">IF(OR(J118="",G118=""),"",J118-K118)</f>
        <v/>
      </c>
      <c r="M118" s="1"/>
    </row>
    <row r="119" customFormat="false" ht="15" hidden="false" customHeight="false" outlineLevel="0" collapsed="false">
      <c r="A119" s="27"/>
      <c r="B119" s="1"/>
      <c r="C119" s="24" t="str">
        <f aca="false">IF(B119="","",IFERROR(INDEX(Patients!$B$2:$B$501,MATCH(B119,Patients!$A$2:$A$501,0))&amp;"",""))</f>
        <v/>
      </c>
      <c r="D119" s="1"/>
      <c r="E119" s="28"/>
      <c r="F119" s="1"/>
      <c r="G119" s="1"/>
      <c r="H119" s="29"/>
      <c r="I119" s="1"/>
      <c r="J119" s="20" t="str">
        <f aca="false">IF(D119="","",IFERROR(INDEX(Settings!$C$49:$C$54,MATCH(D119,Settings!$A$49:$A$54,0)),0))</f>
        <v/>
      </c>
      <c r="K119" s="20" t="str">
        <f aca="false">IF(J119="","",IF(G119="",J119,J119*(1-IF(H119="",Settings!$B$6,H119))))</f>
        <v/>
      </c>
      <c r="L119" s="20" t="str">
        <f aca="false">IF(OR(J119="",G119=""),"",J119-K119)</f>
        <v/>
      </c>
      <c r="M119" s="1"/>
    </row>
    <row r="120" customFormat="false" ht="15" hidden="false" customHeight="false" outlineLevel="0" collapsed="false">
      <c r="A120" s="27"/>
      <c r="B120" s="1"/>
      <c r="C120" s="24" t="str">
        <f aca="false">IF(B120="","",IFERROR(INDEX(Patients!$B$2:$B$501,MATCH(B120,Patients!$A$2:$A$501,0))&amp;"",""))</f>
        <v/>
      </c>
      <c r="D120" s="1"/>
      <c r="E120" s="28"/>
      <c r="F120" s="1"/>
      <c r="G120" s="1"/>
      <c r="H120" s="29"/>
      <c r="I120" s="1"/>
      <c r="J120" s="20" t="str">
        <f aca="false">IF(D120="","",IFERROR(INDEX(Settings!$C$49:$C$54,MATCH(D120,Settings!$A$49:$A$54,0)),0))</f>
        <v/>
      </c>
      <c r="K120" s="20" t="str">
        <f aca="false">IF(J120="","",IF(G120="",J120,J120*(1-IF(H120="",Settings!$B$6,H120))))</f>
        <v/>
      </c>
      <c r="L120" s="20" t="str">
        <f aca="false">IF(OR(J120="",G120=""),"",J120-K120)</f>
        <v/>
      </c>
      <c r="M120" s="1"/>
    </row>
    <row r="121" customFormat="false" ht="15" hidden="false" customHeight="false" outlineLevel="0" collapsed="false">
      <c r="A121" s="27"/>
      <c r="B121" s="1"/>
      <c r="C121" s="24" t="str">
        <f aca="false">IF(B121="","",IFERROR(INDEX(Patients!$B$2:$B$501,MATCH(B121,Patients!$A$2:$A$501,0))&amp;"",""))</f>
        <v/>
      </c>
      <c r="D121" s="1"/>
      <c r="E121" s="28"/>
      <c r="F121" s="1"/>
      <c r="G121" s="1"/>
      <c r="H121" s="29"/>
      <c r="I121" s="1"/>
      <c r="J121" s="20" t="str">
        <f aca="false">IF(D121="","",IFERROR(INDEX(Settings!$C$49:$C$54,MATCH(D121,Settings!$A$49:$A$54,0)),0))</f>
        <v/>
      </c>
      <c r="K121" s="20" t="str">
        <f aca="false">IF(J121="","",IF(G121="",J121,J121*(1-IF(H121="",Settings!$B$6,H121))))</f>
        <v/>
      </c>
      <c r="L121" s="20" t="str">
        <f aca="false">IF(OR(J121="",G121=""),"",J121-K121)</f>
        <v/>
      </c>
      <c r="M121" s="1"/>
    </row>
    <row r="122" customFormat="false" ht="15" hidden="false" customHeight="false" outlineLevel="0" collapsed="false">
      <c r="A122" s="27"/>
      <c r="B122" s="1"/>
      <c r="C122" s="24" t="str">
        <f aca="false">IF(B122="","",IFERROR(INDEX(Patients!$B$2:$B$501,MATCH(B122,Patients!$A$2:$A$501,0))&amp;"",""))</f>
        <v/>
      </c>
      <c r="D122" s="1"/>
      <c r="E122" s="28"/>
      <c r="F122" s="1"/>
      <c r="G122" s="1"/>
      <c r="H122" s="29"/>
      <c r="I122" s="1"/>
      <c r="J122" s="20" t="str">
        <f aca="false">IF(D122="","",IFERROR(INDEX(Settings!$C$49:$C$54,MATCH(D122,Settings!$A$49:$A$54,0)),0))</f>
        <v/>
      </c>
      <c r="K122" s="20" t="str">
        <f aca="false">IF(J122="","",IF(G122="",J122,J122*(1-IF(H122="",Settings!$B$6,H122))))</f>
        <v/>
      </c>
      <c r="L122" s="20" t="str">
        <f aca="false">IF(OR(J122="",G122=""),"",J122-K122)</f>
        <v/>
      </c>
      <c r="M122" s="1"/>
    </row>
    <row r="123" customFormat="false" ht="15" hidden="false" customHeight="false" outlineLevel="0" collapsed="false">
      <c r="A123" s="27"/>
      <c r="B123" s="1"/>
      <c r="C123" s="24" t="str">
        <f aca="false">IF(B123="","",IFERROR(INDEX(Patients!$B$2:$B$501,MATCH(B123,Patients!$A$2:$A$501,0))&amp;"",""))</f>
        <v/>
      </c>
      <c r="D123" s="1"/>
      <c r="E123" s="28"/>
      <c r="F123" s="1"/>
      <c r="G123" s="1"/>
      <c r="H123" s="29"/>
      <c r="I123" s="1"/>
      <c r="J123" s="20" t="str">
        <f aca="false">IF(D123="","",IFERROR(INDEX(Settings!$C$49:$C$54,MATCH(D123,Settings!$A$49:$A$54,0)),0))</f>
        <v/>
      </c>
      <c r="K123" s="20" t="str">
        <f aca="false">IF(J123="","",IF(G123="",J123,J123*(1-IF(H123="",Settings!$B$6,H123))))</f>
        <v/>
      </c>
      <c r="L123" s="20" t="str">
        <f aca="false">IF(OR(J123="",G123=""),"",J123-K123)</f>
        <v/>
      </c>
      <c r="M123" s="1"/>
    </row>
    <row r="124" customFormat="false" ht="15" hidden="false" customHeight="false" outlineLevel="0" collapsed="false">
      <c r="A124" s="27"/>
      <c r="B124" s="1"/>
      <c r="C124" s="24" t="str">
        <f aca="false">IF(B124="","",IFERROR(INDEX(Patients!$B$2:$B$501,MATCH(B124,Patients!$A$2:$A$501,0))&amp;"",""))</f>
        <v/>
      </c>
      <c r="D124" s="1"/>
      <c r="E124" s="28"/>
      <c r="F124" s="1"/>
      <c r="G124" s="1"/>
      <c r="H124" s="29"/>
      <c r="I124" s="1"/>
      <c r="J124" s="20" t="str">
        <f aca="false">IF(D124="","",IFERROR(INDEX(Settings!$C$49:$C$54,MATCH(D124,Settings!$A$49:$A$54,0)),0))</f>
        <v/>
      </c>
      <c r="K124" s="20" t="str">
        <f aca="false">IF(J124="","",IF(G124="",J124,J124*(1-IF(H124="",Settings!$B$6,H124))))</f>
        <v/>
      </c>
      <c r="L124" s="20" t="str">
        <f aca="false">IF(OR(J124="",G124=""),"",J124-K124)</f>
        <v/>
      </c>
      <c r="M124" s="1"/>
    </row>
    <row r="125" customFormat="false" ht="15" hidden="false" customHeight="false" outlineLevel="0" collapsed="false">
      <c r="A125" s="27"/>
      <c r="B125" s="1"/>
      <c r="C125" s="24" t="str">
        <f aca="false">IF(B125="","",IFERROR(INDEX(Patients!$B$2:$B$501,MATCH(B125,Patients!$A$2:$A$501,0))&amp;"",""))</f>
        <v/>
      </c>
      <c r="D125" s="1"/>
      <c r="E125" s="28"/>
      <c r="F125" s="1"/>
      <c r="G125" s="1"/>
      <c r="H125" s="29"/>
      <c r="I125" s="1"/>
      <c r="J125" s="20" t="str">
        <f aca="false">IF(D125="","",IFERROR(INDEX(Settings!$C$49:$C$54,MATCH(D125,Settings!$A$49:$A$54,0)),0))</f>
        <v/>
      </c>
      <c r="K125" s="20" t="str">
        <f aca="false">IF(J125="","",IF(G125="",J125,J125*(1-IF(H125="",Settings!$B$6,H125))))</f>
        <v/>
      </c>
      <c r="L125" s="20" t="str">
        <f aca="false">IF(OR(J125="",G125=""),"",J125-K125)</f>
        <v/>
      </c>
      <c r="M125" s="1"/>
    </row>
    <row r="126" customFormat="false" ht="15" hidden="false" customHeight="false" outlineLevel="0" collapsed="false">
      <c r="A126" s="27"/>
      <c r="B126" s="1"/>
      <c r="C126" s="24" t="str">
        <f aca="false">IF(B126="","",IFERROR(INDEX(Patients!$B$2:$B$501,MATCH(B126,Patients!$A$2:$A$501,0))&amp;"",""))</f>
        <v/>
      </c>
      <c r="D126" s="1"/>
      <c r="E126" s="28"/>
      <c r="F126" s="1"/>
      <c r="G126" s="1"/>
      <c r="H126" s="29"/>
      <c r="I126" s="1"/>
      <c r="J126" s="20" t="str">
        <f aca="false">IF(D126="","",IFERROR(INDEX(Settings!$C$49:$C$54,MATCH(D126,Settings!$A$49:$A$54,0)),0))</f>
        <v/>
      </c>
      <c r="K126" s="20" t="str">
        <f aca="false">IF(J126="","",IF(G126="",J126,J126*(1-IF(H126="",Settings!$B$6,H126))))</f>
        <v/>
      </c>
      <c r="L126" s="20" t="str">
        <f aca="false">IF(OR(J126="",G126=""),"",J126-K126)</f>
        <v/>
      </c>
      <c r="M126" s="1"/>
    </row>
    <row r="127" customFormat="false" ht="15" hidden="false" customHeight="false" outlineLevel="0" collapsed="false">
      <c r="A127" s="27"/>
      <c r="B127" s="1"/>
      <c r="C127" s="24" t="str">
        <f aca="false">IF(B127="","",IFERROR(INDEX(Patients!$B$2:$B$501,MATCH(B127,Patients!$A$2:$A$501,0))&amp;"",""))</f>
        <v/>
      </c>
      <c r="D127" s="1"/>
      <c r="E127" s="28"/>
      <c r="F127" s="1"/>
      <c r="G127" s="1"/>
      <c r="H127" s="29"/>
      <c r="I127" s="1"/>
      <c r="J127" s="20" t="str">
        <f aca="false">IF(D127="","",IFERROR(INDEX(Settings!$C$49:$C$54,MATCH(D127,Settings!$A$49:$A$54,0)),0))</f>
        <v/>
      </c>
      <c r="K127" s="20" t="str">
        <f aca="false">IF(J127="","",IF(G127="",J127,J127*(1-IF(H127="",Settings!$B$6,H127))))</f>
        <v/>
      </c>
      <c r="L127" s="20" t="str">
        <f aca="false">IF(OR(J127="",G127=""),"",J127-K127)</f>
        <v/>
      </c>
      <c r="M127" s="1"/>
    </row>
    <row r="128" customFormat="false" ht="15" hidden="false" customHeight="false" outlineLevel="0" collapsed="false">
      <c r="A128" s="27"/>
      <c r="B128" s="1"/>
      <c r="C128" s="24" t="str">
        <f aca="false">IF(B128="","",IFERROR(INDEX(Patients!$B$2:$B$501,MATCH(B128,Patients!$A$2:$A$501,0))&amp;"",""))</f>
        <v/>
      </c>
      <c r="D128" s="1"/>
      <c r="E128" s="28"/>
      <c r="F128" s="1"/>
      <c r="G128" s="1"/>
      <c r="H128" s="29"/>
      <c r="I128" s="1"/>
      <c r="J128" s="20" t="str">
        <f aca="false">IF(D128="","",IFERROR(INDEX(Settings!$C$49:$C$54,MATCH(D128,Settings!$A$49:$A$54,0)),0))</f>
        <v/>
      </c>
      <c r="K128" s="20" t="str">
        <f aca="false">IF(J128="","",IF(G128="",J128,J128*(1-IF(H128="",Settings!$B$6,H128))))</f>
        <v/>
      </c>
      <c r="L128" s="20" t="str">
        <f aca="false">IF(OR(J128="",G128=""),"",J128-K128)</f>
        <v/>
      </c>
      <c r="M128" s="1"/>
    </row>
    <row r="129" customFormat="false" ht="15" hidden="false" customHeight="false" outlineLevel="0" collapsed="false">
      <c r="A129" s="27"/>
      <c r="B129" s="1"/>
      <c r="C129" s="24" t="str">
        <f aca="false">IF(B129="","",IFERROR(INDEX(Patients!$B$2:$B$501,MATCH(B129,Patients!$A$2:$A$501,0))&amp;"",""))</f>
        <v/>
      </c>
      <c r="D129" s="1"/>
      <c r="E129" s="28"/>
      <c r="F129" s="1"/>
      <c r="G129" s="1"/>
      <c r="H129" s="29"/>
      <c r="I129" s="1"/>
      <c r="J129" s="20" t="str">
        <f aca="false">IF(D129="","",IFERROR(INDEX(Settings!$C$49:$C$54,MATCH(D129,Settings!$A$49:$A$54,0)),0))</f>
        <v/>
      </c>
      <c r="K129" s="20" t="str">
        <f aca="false">IF(J129="","",IF(G129="",J129,J129*(1-IF(H129="",Settings!$B$6,H129))))</f>
        <v/>
      </c>
      <c r="L129" s="20" t="str">
        <f aca="false">IF(OR(J129="",G129=""),"",J129-K129)</f>
        <v/>
      </c>
      <c r="M129" s="1"/>
    </row>
    <row r="130" customFormat="false" ht="15" hidden="false" customHeight="false" outlineLevel="0" collapsed="false">
      <c r="A130" s="27"/>
      <c r="B130" s="1"/>
      <c r="C130" s="24" t="str">
        <f aca="false">IF(B130="","",IFERROR(INDEX(Patients!$B$2:$B$501,MATCH(B130,Patients!$A$2:$A$501,0))&amp;"",""))</f>
        <v/>
      </c>
      <c r="D130" s="1"/>
      <c r="E130" s="28"/>
      <c r="F130" s="1"/>
      <c r="G130" s="1"/>
      <c r="H130" s="29"/>
      <c r="I130" s="1"/>
      <c r="J130" s="20" t="str">
        <f aca="false">IF(D130="","",IFERROR(INDEX(Settings!$C$49:$C$54,MATCH(D130,Settings!$A$49:$A$54,0)),0))</f>
        <v/>
      </c>
      <c r="K130" s="20" t="str">
        <f aca="false">IF(J130="","",IF(G130="",J130,J130*(1-IF(H130="",Settings!$B$6,H130))))</f>
        <v/>
      </c>
      <c r="L130" s="20" t="str">
        <f aca="false">IF(OR(J130="",G130=""),"",J130-K130)</f>
        <v/>
      </c>
      <c r="M130" s="1"/>
    </row>
    <row r="131" customFormat="false" ht="15" hidden="false" customHeight="false" outlineLevel="0" collapsed="false">
      <c r="A131" s="27"/>
      <c r="B131" s="1"/>
      <c r="C131" s="24" t="str">
        <f aca="false">IF(B131="","",IFERROR(INDEX(Patients!$B$2:$B$501,MATCH(B131,Patients!$A$2:$A$501,0))&amp;"",""))</f>
        <v/>
      </c>
      <c r="D131" s="1"/>
      <c r="E131" s="28"/>
      <c r="F131" s="1"/>
      <c r="G131" s="1"/>
      <c r="H131" s="29"/>
      <c r="I131" s="1"/>
      <c r="J131" s="20" t="str">
        <f aca="false">IF(D131="","",IFERROR(INDEX(Settings!$C$49:$C$54,MATCH(D131,Settings!$A$49:$A$54,0)),0))</f>
        <v/>
      </c>
      <c r="K131" s="20" t="str">
        <f aca="false">IF(J131="","",IF(G131="",J131,J131*(1-IF(H131="",Settings!$B$6,H131))))</f>
        <v/>
      </c>
      <c r="L131" s="20" t="str">
        <f aca="false">IF(OR(J131="",G131=""),"",J131-K131)</f>
        <v/>
      </c>
      <c r="M131" s="1"/>
    </row>
    <row r="132" customFormat="false" ht="15" hidden="false" customHeight="false" outlineLevel="0" collapsed="false">
      <c r="A132" s="27"/>
      <c r="B132" s="1"/>
      <c r="C132" s="24" t="str">
        <f aca="false">IF(B132="","",IFERROR(INDEX(Patients!$B$2:$B$501,MATCH(B132,Patients!$A$2:$A$501,0))&amp;"",""))</f>
        <v/>
      </c>
      <c r="D132" s="1"/>
      <c r="E132" s="28"/>
      <c r="F132" s="1"/>
      <c r="G132" s="1"/>
      <c r="H132" s="29"/>
      <c r="I132" s="1"/>
      <c r="J132" s="20" t="str">
        <f aca="false">IF(D132="","",IFERROR(INDEX(Settings!$C$49:$C$54,MATCH(D132,Settings!$A$49:$A$54,0)),0))</f>
        <v/>
      </c>
      <c r="K132" s="20" t="str">
        <f aca="false">IF(J132="","",IF(G132="",J132,J132*(1-IF(H132="",Settings!$B$6,H132))))</f>
        <v/>
      </c>
      <c r="L132" s="20" t="str">
        <f aca="false">IF(OR(J132="",G132=""),"",J132-K132)</f>
        <v/>
      </c>
      <c r="M132" s="1"/>
    </row>
    <row r="133" customFormat="false" ht="15" hidden="false" customHeight="false" outlineLevel="0" collapsed="false">
      <c r="A133" s="27"/>
      <c r="B133" s="1"/>
      <c r="C133" s="24" t="str">
        <f aca="false">IF(B133="","",IFERROR(INDEX(Patients!$B$2:$B$501,MATCH(B133,Patients!$A$2:$A$501,0))&amp;"",""))</f>
        <v/>
      </c>
      <c r="D133" s="1"/>
      <c r="E133" s="28"/>
      <c r="F133" s="1"/>
      <c r="G133" s="1"/>
      <c r="H133" s="29"/>
      <c r="I133" s="1"/>
      <c r="J133" s="20" t="str">
        <f aca="false">IF(D133="","",IFERROR(INDEX(Settings!$C$49:$C$54,MATCH(D133,Settings!$A$49:$A$54,0)),0))</f>
        <v/>
      </c>
      <c r="K133" s="20" t="str">
        <f aca="false">IF(J133="","",IF(G133="",J133,J133*(1-IF(H133="",Settings!$B$6,H133))))</f>
        <v/>
      </c>
      <c r="L133" s="20" t="str">
        <f aca="false">IF(OR(J133="",G133=""),"",J133-K133)</f>
        <v/>
      </c>
      <c r="M133" s="1"/>
    </row>
    <row r="134" customFormat="false" ht="15" hidden="false" customHeight="false" outlineLevel="0" collapsed="false">
      <c r="A134" s="27"/>
      <c r="B134" s="1"/>
      <c r="C134" s="24" t="str">
        <f aca="false">IF(B134="","",IFERROR(INDEX(Patients!$B$2:$B$501,MATCH(B134,Patients!$A$2:$A$501,0))&amp;"",""))</f>
        <v/>
      </c>
      <c r="D134" s="1"/>
      <c r="E134" s="28"/>
      <c r="F134" s="1"/>
      <c r="G134" s="1"/>
      <c r="H134" s="29"/>
      <c r="I134" s="1"/>
      <c r="J134" s="20" t="str">
        <f aca="false">IF(D134="","",IFERROR(INDEX(Settings!$C$49:$C$54,MATCH(D134,Settings!$A$49:$A$54,0)),0))</f>
        <v/>
      </c>
      <c r="K134" s="20" t="str">
        <f aca="false">IF(J134="","",IF(G134="",J134,J134*(1-IF(H134="",Settings!$B$6,H134))))</f>
        <v/>
      </c>
      <c r="L134" s="20" t="str">
        <f aca="false">IF(OR(J134="",G134=""),"",J134-K134)</f>
        <v/>
      </c>
      <c r="M134" s="1"/>
    </row>
    <row r="135" customFormat="false" ht="15" hidden="false" customHeight="false" outlineLevel="0" collapsed="false">
      <c r="A135" s="27"/>
      <c r="B135" s="1"/>
      <c r="C135" s="24" t="str">
        <f aca="false">IF(B135="","",IFERROR(INDEX(Patients!$B$2:$B$501,MATCH(B135,Patients!$A$2:$A$501,0))&amp;"",""))</f>
        <v/>
      </c>
      <c r="D135" s="1"/>
      <c r="E135" s="28"/>
      <c r="F135" s="1"/>
      <c r="G135" s="1"/>
      <c r="H135" s="29"/>
      <c r="I135" s="1"/>
      <c r="J135" s="20" t="str">
        <f aca="false">IF(D135="","",IFERROR(INDEX(Settings!$C$49:$C$54,MATCH(D135,Settings!$A$49:$A$54,0)),0))</f>
        <v/>
      </c>
      <c r="K135" s="20" t="str">
        <f aca="false">IF(J135="","",IF(G135="",J135,J135*(1-IF(H135="",Settings!$B$6,H135))))</f>
        <v/>
      </c>
      <c r="L135" s="20" t="str">
        <f aca="false">IF(OR(J135="",G135=""),"",J135-K135)</f>
        <v/>
      </c>
      <c r="M135" s="1"/>
    </row>
    <row r="136" customFormat="false" ht="15" hidden="false" customHeight="false" outlineLevel="0" collapsed="false">
      <c r="A136" s="27"/>
      <c r="B136" s="1"/>
      <c r="C136" s="24" t="str">
        <f aca="false">IF(B136="","",IFERROR(INDEX(Patients!$B$2:$B$501,MATCH(B136,Patients!$A$2:$A$501,0))&amp;"",""))</f>
        <v/>
      </c>
      <c r="D136" s="1"/>
      <c r="E136" s="28"/>
      <c r="F136" s="1"/>
      <c r="G136" s="1"/>
      <c r="H136" s="29"/>
      <c r="I136" s="1"/>
      <c r="J136" s="20" t="str">
        <f aca="false">IF(D136="","",IFERROR(INDEX(Settings!$C$49:$C$54,MATCH(D136,Settings!$A$49:$A$54,0)),0))</f>
        <v/>
      </c>
      <c r="K136" s="20" t="str">
        <f aca="false">IF(J136="","",IF(G136="",J136,J136*(1-IF(H136="",Settings!$B$6,H136))))</f>
        <v/>
      </c>
      <c r="L136" s="20" t="str">
        <f aca="false">IF(OR(J136="",G136=""),"",J136-K136)</f>
        <v/>
      </c>
      <c r="M136" s="1"/>
    </row>
    <row r="137" customFormat="false" ht="15" hidden="false" customHeight="false" outlineLevel="0" collapsed="false">
      <c r="A137" s="27"/>
      <c r="B137" s="1"/>
      <c r="C137" s="24" t="str">
        <f aca="false">IF(B137="","",IFERROR(INDEX(Patients!$B$2:$B$501,MATCH(B137,Patients!$A$2:$A$501,0))&amp;"",""))</f>
        <v/>
      </c>
      <c r="D137" s="1"/>
      <c r="E137" s="28"/>
      <c r="F137" s="1"/>
      <c r="G137" s="1"/>
      <c r="H137" s="29"/>
      <c r="I137" s="1"/>
      <c r="J137" s="20" t="str">
        <f aca="false">IF(D137="","",IFERROR(INDEX(Settings!$C$49:$C$54,MATCH(D137,Settings!$A$49:$A$54,0)),0))</f>
        <v/>
      </c>
      <c r="K137" s="20" t="str">
        <f aca="false">IF(J137="","",IF(G137="",J137,J137*(1-IF(H137="",Settings!$B$6,H137))))</f>
        <v/>
      </c>
      <c r="L137" s="20" t="str">
        <f aca="false">IF(OR(J137="",G137=""),"",J137-K137)</f>
        <v/>
      </c>
      <c r="M137" s="1"/>
    </row>
    <row r="138" customFormat="false" ht="15" hidden="false" customHeight="false" outlineLevel="0" collapsed="false">
      <c r="A138" s="27"/>
      <c r="B138" s="1"/>
      <c r="C138" s="24" t="str">
        <f aca="false">IF(B138="","",IFERROR(INDEX(Patients!$B$2:$B$501,MATCH(B138,Patients!$A$2:$A$501,0))&amp;"",""))</f>
        <v/>
      </c>
      <c r="D138" s="1"/>
      <c r="E138" s="28"/>
      <c r="F138" s="1"/>
      <c r="G138" s="1"/>
      <c r="H138" s="29"/>
      <c r="I138" s="1"/>
      <c r="J138" s="20" t="str">
        <f aca="false">IF(D138="","",IFERROR(INDEX(Settings!$C$49:$C$54,MATCH(D138,Settings!$A$49:$A$54,0)),0))</f>
        <v/>
      </c>
      <c r="K138" s="20" t="str">
        <f aca="false">IF(J138="","",IF(G138="",J138,J138*(1-IF(H138="",Settings!$B$6,H138))))</f>
        <v/>
      </c>
      <c r="L138" s="20" t="str">
        <f aca="false">IF(OR(J138="",G138=""),"",J138-K138)</f>
        <v/>
      </c>
      <c r="M138" s="1"/>
    </row>
    <row r="139" customFormat="false" ht="15" hidden="false" customHeight="false" outlineLevel="0" collapsed="false">
      <c r="A139" s="27"/>
      <c r="B139" s="1"/>
      <c r="C139" s="24" t="str">
        <f aca="false">IF(B139="","",IFERROR(INDEX(Patients!$B$2:$B$501,MATCH(B139,Patients!$A$2:$A$501,0))&amp;"",""))</f>
        <v/>
      </c>
      <c r="D139" s="1"/>
      <c r="E139" s="28"/>
      <c r="F139" s="1"/>
      <c r="G139" s="1"/>
      <c r="H139" s="29"/>
      <c r="I139" s="1"/>
      <c r="J139" s="20" t="str">
        <f aca="false">IF(D139="","",IFERROR(INDEX(Settings!$C$49:$C$54,MATCH(D139,Settings!$A$49:$A$54,0)),0))</f>
        <v/>
      </c>
      <c r="K139" s="20" t="str">
        <f aca="false">IF(J139="","",IF(G139="",J139,J139*(1-IF(H139="",Settings!$B$6,H139))))</f>
        <v/>
      </c>
      <c r="L139" s="20" t="str">
        <f aca="false">IF(OR(J139="",G139=""),"",J139-K139)</f>
        <v/>
      </c>
      <c r="M139" s="1"/>
    </row>
    <row r="140" customFormat="false" ht="15" hidden="false" customHeight="false" outlineLevel="0" collapsed="false">
      <c r="A140" s="27"/>
      <c r="B140" s="1"/>
      <c r="C140" s="24" t="str">
        <f aca="false">IF(B140="","",IFERROR(INDEX(Patients!$B$2:$B$501,MATCH(B140,Patients!$A$2:$A$501,0))&amp;"",""))</f>
        <v/>
      </c>
      <c r="D140" s="1"/>
      <c r="E140" s="28"/>
      <c r="F140" s="1"/>
      <c r="G140" s="1"/>
      <c r="H140" s="29"/>
      <c r="I140" s="1"/>
      <c r="J140" s="20" t="str">
        <f aca="false">IF(D140="","",IFERROR(INDEX(Settings!$C$49:$C$54,MATCH(D140,Settings!$A$49:$A$54,0)),0))</f>
        <v/>
      </c>
      <c r="K140" s="20" t="str">
        <f aca="false">IF(J140="","",IF(G140="",J140,J140*(1-IF(H140="",Settings!$B$6,H140))))</f>
        <v/>
      </c>
      <c r="L140" s="20" t="str">
        <f aca="false">IF(OR(J140="",G140=""),"",J140-K140)</f>
        <v/>
      </c>
      <c r="M140" s="1"/>
    </row>
    <row r="141" customFormat="false" ht="15" hidden="false" customHeight="false" outlineLevel="0" collapsed="false">
      <c r="A141" s="27"/>
      <c r="B141" s="1"/>
      <c r="C141" s="24" t="str">
        <f aca="false">IF(B141="","",IFERROR(INDEX(Patients!$B$2:$B$501,MATCH(B141,Patients!$A$2:$A$501,0))&amp;"",""))</f>
        <v/>
      </c>
      <c r="D141" s="1"/>
      <c r="E141" s="28"/>
      <c r="F141" s="1"/>
      <c r="G141" s="1"/>
      <c r="H141" s="29"/>
      <c r="I141" s="1"/>
      <c r="J141" s="20" t="str">
        <f aca="false">IF(D141="","",IFERROR(INDEX(Settings!$C$49:$C$54,MATCH(D141,Settings!$A$49:$A$54,0)),0))</f>
        <v/>
      </c>
      <c r="K141" s="20" t="str">
        <f aca="false">IF(J141="","",IF(G141="",J141,J141*(1-IF(H141="",Settings!$B$6,H141))))</f>
        <v/>
      </c>
      <c r="L141" s="20" t="str">
        <f aca="false">IF(OR(J141="",G141=""),"",J141-K141)</f>
        <v/>
      </c>
      <c r="M141" s="1"/>
    </row>
    <row r="142" customFormat="false" ht="15" hidden="false" customHeight="false" outlineLevel="0" collapsed="false">
      <c r="A142" s="27"/>
      <c r="B142" s="1"/>
      <c r="C142" s="24" t="str">
        <f aca="false">IF(B142="","",IFERROR(INDEX(Patients!$B$2:$B$501,MATCH(B142,Patients!$A$2:$A$501,0))&amp;"",""))</f>
        <v/>
      </c>
      <c r="D142" s="1"/>
      <c r="E142" s="28"/>
      <c r="F142" s="1"/>
      <c r="G142" s="1"/>
      <c r="H142" s="29"/>
      <c r="I142" s="1"/>
      <c r="J142" s="20" t="str">
        <f aca="false">IF(D142="","",IFERROR(INDEX(Settings!$C$49:$C$54,MATCH(D142,Settings!$A$49:$A$54,0)),0))</f>
        <v/>
      </c>
      <c r="K142" s="20" t="str">
        <f aca="false">IF(J142="","",IF(G142="",J142,J142*(1-IF(H142="",Settings!$B$6,H142))))</f>
        <v/>
      </c>
      <c r="L142" s="20" t="str">
        <f aca="false">IF(OR(J142="",G142=""),"",J142-K142)</f>
        <v/>
      </c>
      <c r="M142" s="1"/>
    </row>
    <row r="143" customFormat="false" ht="15" hidden="false" customHeight="false" outlineLevel="0" collapsed="false">
      <c r="A143" s="27"/>
      <c r="B143" s="1"/>
      <c r="C143" s="24" t="str">
        <f aca="false">IF(B143="","",IFERROR(INDEX(Patients!$B$2:$B$501,MATCH(B143,Patients!$A$2:$A$501,0))&amp;"",""))</f>
        <v/>
      </c>
      <c r="D143" s="1"/>
      <c r="E143" s="28"/>
      <c r="F143" s="1"/>
      <c r="G143" s="1"/>
      <c r="H143" s="29"/>
      <c r="I143" s="1"/>
      <c r="J143" s="20" t="str">
        <f aca="false">IF(D143="","",IFERROR(INDEX(Settings!$C$49:$C$54,MATCH(D143,Settings!$A$49:$A$54,0)),0))</f>
        <v/>
      </c>
      <c r="K143" s="20" t="str">
        <f aca="false">IF(J143="","",IF(G143="",J143,J143*(1-IF(H143="",Settings!$B$6,H143))))</f>
        <v/>
      </c>
      <c r="L143" s="20" t="str">
        <f aca="false">IF(OR(J143="",G143=""),"",J143-K143)</f>
        <v/>
      </c>
      <c r="M143" s="1"/>
    </row>
    <row r="144" customFormat="false" ht="15" hidden="false" customHeight="false" outlineLevel="0" collapsed="false">
      <c r="A144" s="27"/>
      <c r="B144" s="1"/>
      <c r="C144" s="24" t="str">
        <f aca="false">IF(B144="","",IFERROR(INDEX(Patients!$B$2:$B$501,MATCH(B144,Patients!$A$2:$A$501,0))&amp;"",""))</f>
        <v/>
      </c>
      <c r="D144" s="1"/>
      <c r="E144" s="28"/>
      <c r="F144" s="1"/>
      <c r="G144" s="1"/>
      <c r="H144" s="29"/>
      <c r="I144" s="1"/>
      <c r="J144" s="20" t="str">
        <f aca="false">IF(D144="","",IFERROR(INDEX(Settings!$C$49:$C$54,MATCH(D144,Settings!$A$49:$A$54,0)),0))</f>
        <v/>
      </c>
      <c r="K144" s="20" t="str">
        <f aca="false">IF(J144="","",IF(G144="",J144,J144*(1-IF(H144="",Settings!$B$6,H144))))</f>
        <v/>
      </c>
      <c r="L144" s="20" t="str">
        <f aca="false">IF(OR(J144="",G144=""),"",J144-K144)</f>
        <v/>
      </c>
      <c r="M144" s="1"/>
    </row>
    <row r="145" customFormat="false" ht="15" hidden="false" customHeight="false" outlineLevel="0" collapsed="false">
      <c r="A145" s="27"/>
      <c r="B145" s="1"/>
      <c r="C145" s="24" t="str">
        <f aca="false">IF(B145="","",IFERROR(INDEX(Patients!$B$2:$B$501,MATCH(B145,Patients!$A$2:$A$501,0))&amp;"",""))</f>
        <v/>
      </c>
      <c r="D145" s="1"/>
      <c r="E145" s="28"/>
      <c r="F145" s="1"/>
      <c r="G145" s="1"/>
      <c r="H145" s="29"/>
      <c r="I145" s="1"/>
      <c r="J145" s="20" t="str">
        <f aca="false">IF(D145="","",IFERROR(INDEX(Settings!$C$49:$C$54,MATCH(D145,Settings!$A$49:$A$54,0)),0))</f>
        <v/>
      </c>
      <c r="K145" s="20" t="str">
        <f aca="false">IF(J145="","",IF(G145="",J145,J145*(1-IF(H145="",Settings!$B$6,H145))))</f>
        <v/>
      </c>
      <c r="L145" s="20" t="str">
        <f aca="false">IF(OR(J145="",G145=""),"",J145-K145)</f>
        <v/>
      </c>
      <c r="M145" s="1"/>
    </row>
    <row r="146" customFormat="false" ht="15" hidden="false" customHeight="false" outlineLevel="0" collapsed="false">
      <c r="A146" s="27"/>
      <c r="B146" s="1"/>
      <c r="C146" s="24" t="str">
        <f aca="false">IF(B146="","",IFERROR(INDEX(Patients!$B$2:$B$501,MATCH(B146,Patients!$A$2:$A$501,0))&amp;"",""))</f>
        <v/>
      </c>
      <c r="D146" s="1"/>
      <c r="E146" s="28"/>
      <c r="F146" s="1"/>
      <c r="G146" s="1"/>
      <c r="H146" s="29"/>
      <c r="I146" s="1"/>
      <c r="J146" s="20" t="str">
        <f aca="false">IF(D146="","",IFERROR(INDEX(Settings!$C$49:$C$54,MATCH(D146,Settings!$A$49:$A$54,0)),0))</f>
        <v/>
      </c>
      <c r="K146" s="20" t="str">
        <f aca="false">IF(J146="","",IF(G146="",J146,J146*(1-IF(H146="",Settings!$B$6,H146))))</f>
        <v/>
      </c>
      <c r="L146" s="20" t="str">
        <f aca="false">IF(OR(J146="",G146=""),"",J146-K146)</f>
        <v/>
      </c>
      <c r="M146" s="1"/>
    </row>
    <row r="147" customFormat="false" ht="15" hidden="false" customHeight="false" outlineLevel="0" collapsed="false">
      <c r="A147" s="27"/>
      <c r="B147" s="1"/>
      <c r="C147" s="24" t="str">
        <f aca="false">IF(B147="","",IFERROR(INDEX(Patients!$B$2:$B$501,MATCH(B147,Patients!$A$2:$A$501,0))&amp;"",""))</f>
        <v/>
      </c>
      <c r="D147" s="1"/>
      <c r="E147" s="28"/>
      <c r="F147" s="1"/>
      <c r="G147" s="1"/>
      <c r="H147" s="29"/>
      <c r="I147" s="1"/>
      <c r="J147" s="20" t="str">
        <f aca="false">IF(D147="","",IFERROR(INDEX(Settings!$C$49:$C$54,MATCH(D147,Settings!$A$49:$A$54,0)),0))</f>
        <v/>
      </c>
      <c r="K147" s="20" t="str">
        <f aca="false">IF(J147="","",IF(G147="",J147,J147*(1-IF(H147="",Settings!$B$6,H147))))</f>
        <v/>
      </c>
      <c r="L147" s="20" t="str">
        <f aca="false">IF(OR(J147="",G147=""),"",J147-K147)</f>
        <v/>
      </c>
      <c r="M147" s="1"/>
    </row>
    <row r="148" customFormat="false" ht="15" hidden="false" customHeight="false" outlineLevel="0" collapsed="false">
      <c r="A148" s="27"/>
      <c r="B148" s="1"/>
      <c r="C148" s="24" t="str">
        <f aca="false">IF(B148="","",IFERROR(INDEX(Patients!$B$2:$B$501,MATCH(B148,Patients!$A$2:$A$501,0))&amp;"",""))</f>
        <v/>
      </c>
      <c r="D148" s="1"/>
      <c r="E148" s="28"/>
      <c r="F148" s="1"/>
      <c r="G148" s="1"/>
      <c r="H148" s="29"/>
      <c r="I148" s="1"/>
      <c r="J148" s="20" t="str">
        <f aca="false">IF(D148="","",IFERROR(INDEX(Settings!$C$49:$C$54,MATCH(D148,Settings!$A$49:$A$54,0)),0))</f>
        <v/>
      </c>
      <c r="K148" s="20" t="str">
        <f aca="false">IF(J148="","",IF(G148="",J148,J148*(1-IF(H148="",Settings!$B$6,H148))))</f>
        <v/>
      </c>
      <c r="L148" s="20" t="str">
        <f aca="false">IF(OR(J148="",G148=""),"",J148-K148)</f>
        <v/>
      </c>
      <c r="M148" s="1"/>
    </row>
    <row r="149" customFormat="false" ht="15" hidden="false" customHeight="false" outlineLevel="0" collapsed="false">
      <c r="A149" s="27"/>
      <c r="B149" s="1"/>
      <c r="C149" s="24" t="str">
        <f aca="false">IF(B149="","",IFERROR(INDEX(Patients!$B$2:$B$501,MATCH(B149,Patients!$A$2:$A$501,0))&amp;"",""))</f>
        <v/>
      </c>
      <c r="D149" s="1"/>
      <c r="E149" s="28"/>
      <c r="F149" s="1"/>
      <c r="G149" s="1"/>
      <c r="H149" s="29"/>
      <c r="I149" s="1"/>
      <c r="J149" s="20" t="str">
        <f aca="false">IF(D149="","",IFERROR(INDEX(Settings!$C$49:$C$54,MATCH(D149,Settings!$A$49:$A$54,0)),0))</f>
        <v/>
      </c>
      <c r="K149" s="20" t="str">
        <f aca="false">IF(J149="","",IF(G149="",J149,J149*(1-IF(H149="",Settings!$B$6,H149))))</f>
        <v/>
      </c>
      <c r="L149" s="20" t="str">
        <f aca="false">IF(OR(J149="",G149=""),"",J149-K149)</f>
        <v/>
      </c>
      <c r="M149" s="1"/>
    </row>
    <row r="150" customFormat="false" ht="15" hidden="false" customHeight="false" outlineLevel="0" collapsed="false">
      <c r="A150" s="27"/>
      <c r="B150" s="1"/>
      <c r="C150" s="24" t="str">
        <f aca="false">IF(B150="","",IFERROR(INDEX(Patients!$B$2:$B$501,MATCH(B150,Patients!$A$2:$A$501,0))&amp;"",""))</f>
        <v/>
      </c>
      <c r="D150" s="1"/>
      <c r="E150" s="28"/>
      <c r="F150" s="1"/>
      <c r="G150" s="1"/>
      <c r="H150" s="29"/>
      <c r="I150" s="1"/>
      <c r="J150" s="20" t="str">
        <f aca="false">IF(D150="","",IFERROR(INDEX(Settings!$C$49:$C$54,MATCH(D150,Settings!$A$49:$A$54,0)),0))</f>
        <v/>
      </c>
      <c r="K150" s="20" t="str">
        <f aca="false">IF(J150="","",IF(G150="",J150,J150*(1-IF(H150="",Settings!$B$6,H150))))</f>
        <v/>
      </c>
      <c r="L150" s="20" t="str">
        <f aca="false">IF(OR(J150="",G150=""),"",J150-K150)</f>
        <v/>
      </c>
      <c r="M150" s="1"/>
    </row>
    <row r="151" customFormat="false" ht="15" hidden="false" customHeight="false" outlineLevel="0" collapsed="false">
      <c r="A151" s="27"/>
      <c r="B151" s="1"/>
      <c r="C151" s="24" t="str">
        <f aca="false">IF(B151="","",IFERROR(INDEX(Patients!$B$2:$B$501,MATCH(B151,Patients!$A$2:$A$501,0))&amp;"",""))</f>
        <v/>
      </c>
      <c r="D151" s="1"/>
      <c r="E151" s="28"/>
      <c r="F151" s="1"/>
      <c r="G151" s="1"/>
      <c r="H151" s="29"/>
      <c r="I151" s="1"/>
      <c r="J151" s="20" t="str">
        <f aca="false">IF(D151="","",IFERROR(INDEX(Settings!$C$49:$C$54,MATCH(D151,Settings!$A$49:$A$54,0)),0))</f>
        <v/>
      </c>
      <c r="K151" s="20" t="str">
        <f aca="false">IF(J151="","",IF(G151="",J151,J151*(1-IF(H151="",Settings!$B$6,H151))))</f>
        <v/>
      </c>
      <c r="L151" s="20" t="str">
        <f aca="false">IF(OR(J151="",G151=""),"",J151-K151)</f>
        <v/>
      </c>
      <c r="M151" s="1"/>
    </row>
    <row r="152" customFormat="false" ht="15" hidden="false" customHeight="false" outlineLevel="0" collapsed="false">
      <c r="A152" s="27"/>
      <c r="B152" s="1"/>
      <c r="C152" s="24" t="str">
        <f aca="false">IF(B152="","",IFERROR(INDEX(Patients!$B$2:$B$501,MATCH(B152,Patients!$A$2:$A$501,0))&amp;"",""))</f>
        <v/>
      </c>
      <c r="D152" s="1"/>
      <c r="E152" s="28"/>
      <c r="F152" s="1"/>
      <c r="G152" s="1"/>
      <c r="H152" s="29"/>
      <c r="I152" s="1"/>
      <c r="J152" s="20" t="str">
        <f aca="false">IF(D152="","",IFERROR(INDEX(Settings!$C$49:$C$54,MATCH(D152,Settings!$A$49:$A$54,0)),0))</f>
        <v/>
      </c>
      <c r="K152" s="20" t="str">
        <f aca="false">IF(J152="","",IF(G152="",J152,J152*(1-IF(H152="",Settings!$B$6,H152))))</f>
        <v/>
      </c>
      <c r="L152" s="20" t="str">
        <f aca="false">IF(OR(J152="",G152=""),"",J152-K152)</f>
        <v/>
      </c>
      <c r="M152" s="1"/>
    </row>
    <row r="153" customFormat="false" ht="15" hidden="false" customHeight="false" outlineLevel="0" collapsed="false">
      <c r="A153" s="27"/>
      <c r="B153" s="1"/>
      <c r="C153" s="24" t="str">
        <f aca="false">IF(B153="","",IFERROR(INDEX(Patients!$B$2:$B$501,MATCH(B153,Patients!$A$2:$A$501,0))&amp;"",""))</f>
        <v/>
      </c>
      <c r="D153" s="1"/>
      <c r="E153" s="28"/>
      <c r="F153" s="1"/>
      <c r="G153" s="1"/>
      <c r="H153" s="29"/>
      <c r="I153" s="1"/>
      <c r="J153" s="20" t="str">
        <f aca="false">IF(D153="","",IFERROR(INDEX(Settings!$C$49:$C$54,MATCH(D153,Settings!$A$49:$A$54,0)),0))</f>
        <v/>
      </c>
      <c r="K153" s="20" t="str">
        <f aca="false">IF(J153="","",IF(G153="",J153,J153*(1-IF(H153="",Settings!$B$6,H153))))</f>
        <v/>
      </c>
      <c r="L153" s="20" t="str">
        <f aca="false">IF(OR(J153="",G153=""),"",J153-K153)</f>
        <v/>
      </c>
      <c r="M153" s="1"/>
    </row>
    <row r="154" customFormat="false" ht="15" hidden="false" customHeight="false" outlineLevel="0" collapsed="false">
      <c r="A154" s="27"/>
      <c r="B154" s="1"/>
      <c r="C154" s="24" t="str">
        <f aca="false">IF(B154="","",IFERROR(INDEX(Patients!$B$2:$B$501,MATCH(B154,Patients!$A$2:$A$501,0))&amp;"",""))</f>
        <v/>
      </c>
      <c r="D154" s="1"/>
      <c r="E154" s="28"/>
      <c r="F154" s="1"/>
      <c r="G154" s="1"/>
      <c r="H154" s="29"/>
      <c r="I154" s="1"/>
      <c r="J154" s="20" t="str">
        <f aca="false">IF(D154="","",IFERROR(INDEX(Settings!$C$49:$C$54,MATCH(D154,Settings!$A$49:$A$54,0)),0))</f>
        <v/>
      </c>
      <c r="K154" s="20" t="str">
        <f aca="false">IF(J154="","",IF(G154="",J154,J154*(1-IF(H154="",Settings!$B$6,H154))))</f>
        <v/>
      </c>
      <c r="L154" s="20" t="str">
        <f aca="false">IF(OR(J154="",G154=""),"",J154-K154)</f>
        <v/>
      </c>
      <c r="M154" s="1"/>
    </row>
    <row r="155" customFormat="false" ht="15" hidden="false" customHeight="false" outlineLevel="0" collapsed="false">
      <c r="A155" s="27"/>
      <c r="B155" s="1"/>
      <c r="C155" s="24" t="str">
        <f aca="false">IF(B155="","",IFERROR(INDEX(Patients!$B$2:$B$501,MATCH(B155,Patients!$A$2:$A$501,0))&amp;"",""))</f>
        <v/>
      </c>
      <c r="D155" s="1"/>
      <c r="E155" s="28"/>
      <c r="F155" s="1"/>
      <c r="G155" s="1"/>
      <c r="H155" s="29"/>
      <c r="I155" s="1"/>
      <c r="J155" s="20" t="str">
        <f aca="false">IF(D155="","",IFERROR(INDEX(Settings!$C$49:$C$54,MATCH(D155,Settings!$A$49:$A$54,0)),0))</f>
        <v/>
      </c>
      <c r="K155" s="20" t="str">
        <f aca="false">IF(J155="","",IF(G155="",J155,J155*(1-IF(H155="",Settings!$B$6,H155))))</f>
        <v/>
      </c>
      <c r="L155" s="20" t="str">
        <f aca="false">IF(OR(J155="",G155=""),"",J155-K155)</f>
        <v/>
      </c>
      <c r="M155" s="1"/>
    </row>
    <row r="156" customFormat="false" ht="15" hidden="false" customHeight="false" outlineLevel="0" collapsed="false">
      <c r="A156" s="27"/>
      <c r="B156" s="1"/>
      <c r="C156" s="24" t="str">
        <f aca="false">IF(B156="","",IFERROR(INDEX(Patients!$B$2:$B$501,MATCH(B156,Patients!$A$2:$A$501,0))&amp;"",""))</f>
        <v/>
      </c>
      <c r="D156" s="1"/>
      <c r="E156" s="28"/>
      <c r="F156" s="1"/>
      <c r="G156" s="1"/>
      <c r="H156" s="29"/>
      <c r="I156" s="1"/>
      <c r="J156" s="20" t="str">
        <f aca="false">IF(D156="","",IFERROR(INDEX(Settings!$C$49:$C$54,MATCH(D156,Settings!$A$49:$A$54,0)),0))</f>
        <v/>
      </c>
      <c r="K156" s="20" t="str">
        <f aca="false">IF(J156="","",IF(G156="",J156,J156*(1-IF(H156="",Settings!$B$6,H156))))</f>
        <v/>
      </c>
      <c r="L156" s="20" t="str">
        <f aca="false">IF(OR(J156="",G156=""),"",J156-K156)</f>
        <v/>
      </c>
      <c r="M156" s="1"/>
    </row>
    <row r="157" customFormat="false" ht="15" hidden="false" customHeight="false" outlineLevel="0" collapsed="false">
      <c r="A157" s="27"/>
      <c r="B157" s="1"/>
      <c r="C157" s="24" t="str">
        <f aca="false">IF(B157="","",IFERROR(INDEX(Patients!$B$2:$B$501,MATCH(B157,Patients!$A$2:$A$501,0))&amp;"",""))</f>
        <v/>
      </c>
      <c r="D157" s="1"/>
      <c r="E157" s="28"/>
      <c r="F157" s="1"/>
      <c r="G157" s="1"/>
      <c r="H157" s="29"/>
      <c r="I157" s="1"/>
      <c r="J157" s="20" t="str">
        <f aca="false">IF(D157="","",IFERROR(INDEX(Settings!$C$49:$C$54,MATCH(D157,Settings!$A$49:$A$54,0)),0))</f>
        <v/>
      </c>
      <c r="K157" s="20" t="str">
        <f aca="false">IF(J157="","",IF(G157="",J157,J157*(1-IF(H157="",Settings!$B$6,H157))))</f>
        <v/>
      </c>
      <c r="L157" s="20" t="str">
        <f aca="false">IF(OR(J157="",G157=""),"",J157-K157)</f>
        <v/>
      </c>
      <c r="M157" s="1"/>
    </row>
    <row r="158" customFormat="false" ht="15" hidden="false" customHeight="false" outlineLevel="0" collapsed="false">
      <c r="A158" s="27"/>
      <c r="B158" s="1"/>
      <c r="C158" s="24" t="str">
        <f aca="false">IF(B158="","",IFERROR(INDEX(Patients!$B$2:$B$501,MATCH(B158,Patients!$A$2:$A$501,0))&amp;"",""))</f>
        <v/>
      </c>
      <c r="D158" s="1"/>
      <c r="E158" s="28"/>
      <c r="F158" s="1"/>
      <c r="G158" s="1"/>
      <c r="H158" s="29"/>
      <c r="I158" s="1"/>
      <c r="J158" s="20" t="str">
        <f aca="false">IF(D158="","",IFERROR(INDEX(Settings!$C$49:$C$54,MATCH(D158,Settings!$A$49:$A$54,0)),0))</f>
        <v/>
      </c>
      <c r="K158" s="20" t="str">
        <f aca="false">IF(J158="","",IF(G158="",J158,J158*(1-IF(H158="",Settings!$B$6,H158))))</f>
        <v/>
      </c>
      <c r="L158" s="20" t="str">
        <f aca="false">IF(OR(J158="",G158=""),"",J158-K158)</f>
        <v/>
      </c>
      <c r="M158" s="1"/>
    </row>
    <row r="159" customFormat="false" ht="15" hidden="false" customHeight="false" outlineLevel="0" collapsed="false">
      <c r="A159" s="27"/>
      <c r="B159" s="1"/>
      <c r="C159" s="24" t="str">
        <f aca="false">IF(B159="","",IFERROR(INDEX(Patients!$B$2:$B$501,MATCH(B159,Patients!$A$2:$A$501,0))&amp;"",""))</f>
        <v/>
      </c>
      <c r="D159" s="1"/>
      <c r="E159" s="28"/>
      <c r="F159" s="1"/>
      <c r="G159" s="1"/>
      <c r="H159" s="29"/>
      <c r="I159" s="1"/>
      <c r="J159" s="20" t="str">
        <f aca="false">IF(D159="","",IFERROR(INDEX(Settings!$C$49:$C$54,MATCH(D159,Settings!$A$49:$A$54,0)),0))</f>
        <v/>
      </c>
      <c r="K159" s="20" t="str">
        <f aca="false">IF(J159="","",IF(G159="",J159,J159*(1-IF(H159="",Settings!$B$6,H159))))</f>
        <v/>
      </c>
      <c r="L159" s="20" t="str">
        <f aca="false">IF(OR(J159="",G159=""),"",J159-K159)</f>
        <v/>
      </c>
      <c r="M159" s="1"/>
    </row>
    <row r="160" customFormat="false" ht="15" hidden="false" customHeight="false" outlineLevel="0" collapsed="false">
      <c r="A160" s="27"/>
      <c r="B160" s="1"/>
      <c r="C160" s="24" t="str">
        <f aca="false">IF(B160="","",IFERROR(INDEX(Patients!$B$2:$B$501,MATCH(B160,Patients!$A$2:$A$501,0))&amp;"",""))</f>
        <v/>
      </c>
      <c r="D160" s="1"/>
      <c r="E160" s="28"/>
      <c r="F160" s="1"/>
      <c r="G160" s="1"/>
      <c r="H160" s="29"/>
      <c r="I160" s="1"/>
      <c r="J160" s="20" t="str">
        <f aca="false">IF(D160="","",IFERROR(INDEX(Settings!$C$49:$C$54,MATCH(D160,Settings!$A$49:$A$54,0)),0))</f>
        <v/>
      </c>
      <c r="K160" s="20" t="str">
        <f aca="false">IF(J160="","",IF(G160="",J160,J160*(1-IF(H160="",Settings!$B$6,H160))))</f>
        <v/>
      </c>
      <c r="L160" s="20" t="str">
        <f aca="false">IF(OR(J160="",G160=""),"",J160-K160)</f>
        <v/>
      </c>
      <c r="M160" s="1"/>
    </row>
    <row r="161" customFormat="false" ht="15" hidden="false" customHeight="false" outlineLevel="0" collapsed="false">
      <c r="A161" s="27"/>
      <c r="B161" s="1"/>
      <c r="C161" s="24" t="str">
        <f aca="false">IF(B161="","",IFERROR(INDEX(Patients!$B$2:$B$501,MATCH(B161,Patients!$A$2:$A$501,0))&amp;"",""))</f>
        <v/>
      </c>
      <c r="D161" s="1"/>
      <c r="E161" s="28"/>
      <c r="F161" s="1"/>
      <c r="G161" s="1"/>
      <c r="H161" s="29"/>
      <c r="I161" s="1"/>
      <c r="J161" s="20" t="str">
        <f aca="false">IF(D161="","",IFERROR(INDEX(Settings!$C$49:$C$54,MATCH(D161,Settings!$A$49:$A$54,0)),0))</f>
        <v/>
      </c>
      <c r="K161" s="20" t="str">
        <f aca="false">IF(J161="","",IF(G161="",J161,J161*(1-IF(H161="",Settings!$B$6,H161))))</f>
        <v/>
      </c>
      <c r="L161" s="20" t="str">
        <f aca="false">IF(OR(J161="",G161=""),"",J161-K161)</f>
        <v/>
      </c>
      <c r="M161" s="1"/>
    </row>
    <row r="162" customFormat="false" ht="15" hidden="false" customHeight="false" outlineLevel="0" collapsed="false">
      <c r="A162" s="27"/>
      <c r="B162" s="1"/>
      <c r="C162" s="24" t="str">
        <f aca="false">IF(B162="","",IFERROR(INDEX(Patients!$B$2:$B$501,MATCH(B162,Patients!$A$2:$A$501,0))&amp;"",""))</f>
        <v/>
      </c>
      <c r="D162" s="1"/>
      <c r="E162" s="28"/>
      <c r="F162" s="1"/>
      <c r="G162" s="1"/>
      <c r="H162" s="29"/>
      <c r="I162" s="1"/>
      <c r="J162" s="20" t="str">
        <f aca="false">IF(D162="","",IFERROR(INDEX(Settings!$C$49:$C$54,MATCH(D162,Settings!$A$49:$A$54,0)),0))</f>
        <v/>
      </c>
      <c r="K162" s="20" t="str">
        <f aca="false">IF(J162="","",IF(G162="",J162,J162*(1-IF(H162="",Settings!$B$6,H162))))</f>
        <v/>
      </c>
      <c r="L162" s="20" t="str">
        <f aca="false">IF(OR(J162="",G162=""),"",J162-K162)</f>
        <v/>
      </c>
      <c r="M162" s="1"/>
    </row>
    <row r="163" customFormat="false" ht="15" hidden="false" customHeight="false" outlineLevel="0" collapsed="false">
      <c r="A163" s="27"/>
      <c r="B163" s="1"/>
      <c r="C163" s="24" t="str">
        <f aca="false">IF(B163="","",IFERROR(INDEX(Patients!$B$2:$B$501,MATCH(B163,Patients!$A$2:$A$501,0))&amp;"",""))</f>
        <v/>
      </c>
      <c r="D163" s="1"/>
      <c r="E163" s="28"/>
      <c r="F163" s="1"/>
      <c r="G163" s="1"/>
      <c r="H163" s="29"/>
      <c r="I163" s="1"/>
      <c r="J163" s="20" t="str">
        <f aca="false">IF(D163="","",IFERROR(INDEX(Settings!$C$49:$C$54,MATCH(D163,Settings!$A$49:$A$54,0)),0))</f>
        <v/>
      </c>
      <c r="K163" s="20" t="str">
        <f aca="false">IF(J163="","",IF(G163="",J163,J163*(1-IF(H163="",Settings!$B$6,H163))))</f>
        <v/>
      </c>
      <c r="L163" s="20" t="str">
        <f aca="false">IF(OR(J163="",G163=""),"",J163-K163)</f>
        <v/>
      </c>
      <c r="M163" s="1"/>
    </row>
    <row r="164" customFormat="false" ht="15" hidden="false" customHeight="false" outlineLevel="0" collapsed="false">
      <c r="A164" s="27"/>
      <c r="B164" s="1"/>
      <c r="C164" s="24" t="str">
        <f aca="false">IF(B164="","",IFERROR(INDEX(Patients!$B$2:$B$501,MATCH(B164,Patients!$A$2:$A$501,0))&amp;"",""))</f>
        <v/>
      </c>
      <c r="D164" s="1"/>
      <c r="E164" s="28"/>
      <c r="F164" s="1"/>
      <c r="G164" s="1"/>
      <c r="H164" s="29"/>
      <c r="I164" s="1"/>
      <c r="J164" s="20" t="str">
        <f aca="false">IF(D164="","",IFERROR(INDEX(Settings!$C$49:$C$54,MATCH(D164,Settings!$A$49:$A$54,0)),0))</f>
        <v/>
      </c>
      <c r="K164" s="20" t="str">
        <f aca="false">IF(J164="","",IF(G164="",J164,J164*(1-IF(H164="",Settings!$B$6,H164))))</f>
        <v/>
      </c>
      <c r="L164" s="20" t="str">
        <f aca="false">IF(OR(J164="",G164=""),"",J164-K164)</f>
        <v/>
      </c>
      <c r="M164" s="1"/>
    </row>
    <row r="165" customFormat="false" ht="15" hidden="false" customHeight="false" outlineLevel="0" collapsed="false">
      <c r="A165" s="27"/>
      <c r="B165" s="1"/>
      <c r="C165" s="24" t="str">
        <f aca="false">IF(B165="","",IFERROR(INDEX(Patients!$B$2:$B$501,MATCH(B165,Patients!$A$2:$A$501,0))&amp;"",""))</f>
        <v/>
      </c>
      <c r="D165" s="1"/>
      <c r="E165" s="28"/>
      <c r="F165" s="1"/>
      <c r="G165" s="1"/>
      <c r="H165" s="29"/>
      <c r="I165" s="1"/>
      <c r="J165" s="20" t="str">
        <f aca="false">IF(D165="","",IFERROR(INDEX(Settings!$C$49:$C$54,MATCH(D165,Settings!$A$49:$A$54,0)),0))</f>
        <v/>
      </c>
      <c r="K165" s="20" t="str">
        <f aca="false">IF(J165="","",IF(G165="",J165,J165*(1-IF(H165="",Settings!$B$6,H165))))</f>
        <v/>
      </c>
      <c r="L165" s="20" t="str">
        <f aca="false">IF(OR(J165="",G165=""),"",J165-K165)</f>
        <v/>
      </c>
      <c r="M165" s="1"/>
    </row>
    <row r="166" customFormat="false" ht="15" hidden="false" customHeight="false" outlineLevel="0" collapsed="false">
      <c r="A166" s="27"/>
      <c r="B166" s="1"/>
      <c r="C166" s="24" t="str">
        <f aca="false">IF(B166="","",IFERROR(INDEX(Patients!$B$2:$B$501,MATCH(B166,Patients!$A$2:$A$501,0))&amp;"",""))</f>
        <v/>
      </c>
      <c r="D166" s="1"/>
      <c r="E166" s="28"/>
      <c r="F166" s="1"/>
      <c r="G166" s="1"/>
      <c r="H166" s="29"/>
      <c r="I166" s="1"/>
      <c r="J166" s="20" t="str">
        <f aca="false">IF(D166="","",IFERROR(INDEX(Settings!$C$49:$C$54,MATCH(D166,Settings!$A$49:$A$54,0)),0))</f>
        <v/>
      </c>
      <c r="K166" s="20" t="str">
        <f aca="false">IF(J166="","",IF(G166="",J166,J166*(1-IF(H166="",Settings!$B$6,H166))))</f>
        <v/>
      </c>
      <c r="L166" s="20" t="str">
        <f aca="false">IF(OR(J166="",G166=""),"",J166-K166)</f>
        <v/>
      </c>
      <c r="M166" s="1"/>
    </row>
    <row r="167" customFormat="false" ht="15" hidden="false" customHeight="false" outlineLevel="0" collapsed="false">
      <c r="A167" s="27"/>
      <c r="B167" s="1"/>
      <c r="C167" s="24" t="str">
        <f aca="false">IF(B167="","",IFERROR(INDEX(Patients!$B$2:$B$501,MATCH(B167,Patients!$A$2:$A$501,0))&amp;"",""))</f>
        <v/>
      </c>
      <c r="D167" s="1"/>
      <c r="E167" s="28"/>
      <c r="F167" s="1"/>
      <c r="G167" s="1"/>
      <c r="H167" s="29"/>
      <c r="I167" s="1"/>
      <c r="J167" s="20" t="str">
        <f aca="false">IF(D167="","",IFERROR(INDEX(Settings!$C$49:$C$54,MATCH(D167,Settings!$A$49:$A$54,0)),0))</f>
        <v/>
      </c>
      <c r="K167" s="20" t="str">
        <f aca="false">IF(J167="","",IF(G167="",J167,J167*(1-IF(H167="",Settings!$B$6,H167))))</f>
        <v/>
      </c>
      <c r="L167" s="20" t="str">
        <f aca="false">IF(OR(J167="",G167=""),"",J167-K167)</f>
        <v/>
      </c>
      <c r="M167" s="1"/>
    </row>
    <row r="168" customFormat="false" ht="15" hidden="false" customHeight="false" outlineLevel="0" collapsed="false">
      <c r="A168" s="27"/>
      <c r="B168" s="1"/>
      <c r="C168" s="24" t="str">
        <f aca="false">IF(B168="","",IFERROR(INDEX(Patients!$B$2:$B$501,MATCH(B168,Patients!$A$2:$A$501,0))&amp;"",""))</f>
        <v/>
      </c>
      <c r="D168" s="1"/>
      <c r="E168" s="28"/>
      <c r="F168" s="1"/>
      <c r="G168" s="1"/>
      <c r="H168" s="29"/>
      <c r="I168" s="1"/>
      <c r="J168" s="20" t="str">
        <f aca="false">IF(D168="","",IFERROR(INDEX(Settings!$C$49:$C$54,MATCH(D168,Settings!$A$49:$A$54,0)),0))</f>
        <v/>
      </c>
      <c r="K168" s="20" t="str">
        <f aca="false">IF(J168="","",IF(G168="",J168,J168*(1-IF(H168="",Settings!$B$6,H168))))</f>
        <v/>
      </c>
      <c r="L168" s="20" t="str">
        <f aca="false">IF(OR(J168="",G168=""),"",J168-K168)</f>
        <v/>
      </c>
      <c r="M168" s="1"/>
    </row>
    <row r="169" customFormat="false" ht="15" hidden="false" customHeight="false" outlineLevel="0" collapsed="false">
      <c r="A169" s="27"/>
      <c r="B169" s="1"/>
      <c r="C169" s="24" t="str">
        <f aca="false">IF(B169="","",IFERROR(INDEX(Patients!$B$2:$B$501,MATCH(B169,Patients!$A$2:$A$501,0))&amp;"",""))</f>
        <v/>
      </c>
      <c r="D169" s="1"/>
      <c r="E169" s="28"/>
      <c r="F169" s="1"/>
      <c r="G169" s="1"/>
      <c r="H169" s="29"/>
      <c r="I169" s="1"/>
      <c r="J169" s="20" t="str">
        <f aca="false">IF(D169="","",IFERROR(INDEX(Settings!$C$49:$C$54,MATCH(D169,Settings!$A$49:$A$54,0)),0))</f>
        <v/>
      </c>
      <c r="K169" s="20" t="str">
        <f aca="false">IF(J169="","",IF(G169="",J169,J169*(1-IF(H169="",Settings!$B$6,H169))))</f>
        <v/>
      </c>
      <c r="L169" s="20" t="str">
        <f aca="false">IF(OR(J169="",G169=""),"",J169-K169)</f>
        <v/>
      </c>
      <c r="M169" s="1"/>
    </row>
    <row r="170" customFormat="false" ht="15" hidden="false" customHeight="false" outlineLevel="0" collapsed="false">
      <c r="A170" s="27"/>
      <c r="B170" s="1"/>
      <c r="C170" s="24" t="str">
        <f aca="false">IF(B170="","",IFERROR(INDEX(Patients!$B$2:$B$501,MATCH(B170,Patients!$A$2:$A$501,0))&amp;"",""))</f>
        <v/>
      </c>
      <c r="D170" s="1"/>
      <c r="E170" s="28"/>
      <c r="F170" s="1"/>
      <c r="G170" s="1"/>
      <c r="H170" s="29"/>
      <c r="I170" s="1"/>
      <c r="J170" s="20" t="str">
        <f aca="false">IF(D170="","",IFERROR(INDEX(Settings!$C$49:$C$54,MATCH(D170,Settings!$A$49:$A$54,0)),0))</f>
        <v/>
      </c>
      <c r="K170" s="20" t="str">
        <f aca="false">IF(J170="","",IF(G170="",J170,J170*(1-IF(H170="",Settings!$B$6,H170))))</f>
        <v/>
      </c>
      <c r="L170" s="20" t="str">
        <f aca="false">IF(OR(J170="",G170=""),"",J170-K170)</f>
        <v/>
      </c>
      <c r="M170" s="1"/>
    </row>
    <row r="171" customFormat="false" ht="15" hidden="false" customHeight="false" outlineLevel="0" collapsed="false">
      <c r="A171" s="27"/>
      <c r="B171" s="1"/>
      <c r="C171" s="24" t="str">
        <f aca="false">IF(B171="","",IFERROR(INDEX(Patients!$B$2:$B$501,MATCH(B171,Patients!$A$2:$A$501,0))&amp;"",""))</f>
        <v/>
      </c>
      <c r="D171" s="1"/>
      <c r="E171" s="28"/>
      <c r="F171" s="1"/>
      <c r="G171" s="1"/>
      <c r="H171" s="29"/>
      <c r="I171" s="1"/>
      <c r="J171" s="20" t="str">
        <f aca="false">IF(D171="","",IFERROR(INDEX(Settings!$C$49:$C$54,MATCH(D171,Settings!$A$49:$A$54,0)),0))</f>
        <v/>
      </c>
      <c r="K171" s="20" t="str">
        <f aca="false">IF(J171="","",IF(G171="",J171,J171*(1-IF(H171="",Settings!$B$6,H171))))</f>
        <v/>
      </c>
      <c r="L171" s="20" t="str">
        <f aca="false">IF(OR(J171="",G171=""),"",J171-K171)</f>
        <v/>
      </c>
      <c r="M171" s="1"/>
    </row>
    <row r="172" customFormat="false" ht="15" hidden="false" customHeight="false" outlineLevel="0" collapsed="false">
      <c r="A172" s="27"/>
      <c r="B172" s="1"/>
      <c r="C172" s="24" t="str">
        <f aca="false">IF(B172="","",IFERROR(INDEX(Patients!$B$2:$B$501,MATCH(B172,Patients!$A$2:$A$501,0))&amp;"",""))</f>
        <v/>
      </c>
      <c r="D172" s="1"/>
      <c r="E172" s="28"/>
      <c r="F172" s="1"/>
      <c r="G172" s="1"/>
      <c r="H172" s="29"/>
      <c r="I172" s="1"/>
      <c r="J172" s="20" t="str">
        <f aca="false">IF(D172="","",IFERROR(INDEX(Settings!$C$49:$C$54,MATCH(D172,Settings!$A$49:$A$54,0)),0))</f>
        <v/>
      </c>
      <c r="K172" s="20" t="str">
        <f aca="false">IF(J172="","",IF(G172="",J172,J172*(1-IF(H172="",Settings!$B$6,H172))))</f>
        <v/>
      </c>
      <c r="L172" s="20" t="str">
        <f aca="false">IF(OR(J172="",G172=""),"",J172-K172)</f>
        <v/>
      </c>
      <c r="M172" s="1"/>
    </row>
    <row r="173" customFormat="false" ht="15" hidden="false" customHeight="false" outlineLevel="0" collapsed="false">
      <c r="A173" s="27"/>
      <c r="B173" s="1"/>
      <c r="C173" s="24" t="str">
        <f aca="false">IF(B173="","",IFERROR(INDEX(Patients!$B$2:$B$501,MATCH(B173,Patients!$A$2:$A$501,0))&amp;"",""))</f>
        <v/>
      </c>
      <c r="D173" s="1"/>
      <c r="E173" s="28"/>
      <c r="F173" s="1"/>
      <c r="G173" s="1"/>
      <c r="H173" s="29"/>
      <c r="I173" s="1"/>
      <c r="J173" s="20" t="str">
        <f aca="false">IF(D173="","",IFERROR(INDEX(Settings!$C$49:$C$54,MATCH(D173,Settings!$A$49:$A$54,0)),0))</f>
        <v/>
      </c>
      <c r="K173" s="20" t="str">
        <f aca="false">IF(J173="","",IF(G173="",J173,J173*(1-IF(H173="",Settings!$B$6,H173))))</f>
        <v/>
      </c>
      <c r="L173" s="20" t="str">
        <f aca="false">IF(OR(J173="",G173=""),"",J173-K173)</f>
        <v/>
      </c>
      <c r="M173" s="1"/>
    </row>
    <row r="174" customFormat="false" ht="15" hidden="false" customHeight="false" outlineLevel="0" collapsed="false">
      <c r="A174" s="27"/>
      <c r="B174" s="1"/>
      <c r="C174" s="24" t="str">
        <f aca="false">IF(B174="","",IFERROR(INDEX(Patients!$B$2:$B$501,MATCH(B174,Patients!$A$2:$A$501,0))&amp;"",""))</f>
        <v/>
      </c>
      <c r="D174" s="1"/>
      <c r="E174" s="28"/>
      <c r="F174" s="1"/>
      <c r="G174" s="1"/>
      <c r="H174" s="29"/>
      <c r="I174" s="1"/>
      <c r="J174" s="20" t="str">
        <f aca="false">IF(D174="","",IFERROR(INDEX(Settings!$C$49:$C$54,MATCH(D174,Settings!$A$49:$A$54,0)),0))</f>
        <v/>
      </c>
      <c r="K174" s="20" t="str">
        <f aca="false">IF(J174="","",IF(G174="",J174,J174*(1-IF(H174="",Settings!$B$6,H174))))</f>
        <v/>
      </c>
      <c r="L174" s="20" t="str">
        <f aca="false">IF(OR(J174="",G174=""),"",J174-K174)</f>
        <v/>
      </c>
      <c r="M174" s="1"/>
    </row>
    <row r="175" customFormat="false" ht="15" hidden="false" customHeight="false" outlineLevel="0" collapsed="false">
      <c r="A175" s="27"/>
      <c r="B175" s="1"/>
      <c r="C175" s="24" t="str">
        <f aca="false">IF(B175="","",IFERROR(INDEX(Patients!$B$2:$B$501,MATCH(B175,Patients!$A$2:$A$501,0))&amp;"",""))</f>
        <v/>
      </c>
      <c r="D175" s="1"/>
      <c r="E175" s="28"/>
      <c r="F175" s="1"/>
      <c r="G175" s="1"/>
      <c r="H175" s="29"/>
      <c r="I175" s="1"/>
      <c r="J175" s="20" t="str">
        <f aca="false">IF(D175="","",IFERROR(INDEX(Settings!$C$49:$C$54,MATCH(D175,Settings!$A$49:$A$54,0)),0))</f>
        <v/>
      </c>
      <c r="K175" s="20" t="str">
        <f aca="false">IF(J175="","",IF(G175="",J175,J175*(1-IF(H175="",Settings!$B$6,H175))))</f>
        <v/>
      </c>
      <c r="L175" s="20" t="str">
        <f aca="false">IF(OR(J175="",G175=""),"",J175-K175)</f>
        <v/>
      </c>
      <c r="M175" s="1"/>
    </row>
    <row r="176" customFormat="false" ht="15" hidden="false" customHeight="false" outlineLevel="0" collapsed="false">
      <c r="A176" s="27"/>
      <c r="B176" s="1"/>
      <c r="C176" s="24" t="str">
        <f aca="false">IF(B176="","",IFERROR(INDEX(Patients!$B$2:$B$501,MATCH(B176,Patients!$A$2:$A$501,0))&amp;"",""))</f>
        <v/>
      </c>
      <c r="D176" s="1"/>
      <c r="E176" s="28"/>
      <c r="F176" s="1"/>
      <c r="G176" s="1"/>
      <c r="H176" s="29"/>
      <c r="I176" s="1"/>
      <c r="J176" s="20" t="str">
        <f aca="false">IF(D176="","",IFERROR(INDEX(Settings!$C$49:$C$54,MATCH(D176,Settings!$A$49:$A$54,0)),0))</f>
        <v/>
      </c>
      <c r="K176" s="20" t="str">
        <f aca="false">IF(J176="","",IF(G176="",J176,J176*(1-IF(H176="",Settings!$B$6,H176))))</f>
        <v/>
      </c>
      <c r="L176" s="20" t="str">
        <f aca="false">IF(OR(J176="",G176=""),"",J176-K176)</f>
        <v/>
      </c>
      <c r="M176" s="1"/>
    </row>
    <row r="177" customFormat="false" ht="15" hidden="false" customHeight="false" outlineLevel="0" collapsed="false">
      <c r="A177" s="27"/>
      <c r="B177" s="1"/>
      <c r="C177" s="24" t="str">
        <f aca="false">IF(B177="","",IFERROR(INDEX(Patients!$B$2:$B$501,MATCH(B177,Patients!$A$2:$A$501,0))&amp;"",""))</f>
        <v/>
      </c>
      <c r="D177" s="1"/>
      <c r="E177" s="28"/>
      <c r="F177" s="1"/>
      <c r="G177" s="1"/>
      <c r="H177" s="29"/>
      <c r="I177" s="1"/>
      <c r="J177" s="20" t="str">
        <f aca="false">IF(D177="","",IFERROR(INDEX(Settings!$C$49:$C$54,MATCH(D177,Settings!$A$49:$A$54,0)),0))</f>
        <v/>
      </c>
      <c r="K177" s="20" t="str">
        <f aca="false">IF(J177="","",IF(G177="",J177,J177*(1-IF(H177="",Settings!$B$6,H177))))</f>
        <v/>
      </c>
      <c r="L177" s="20" t="str">
        <f aca="false">IF(OR(J177="",G177=""),"",J177-K177)</f>
        <v/>
      </c>
      <c r="M177" s="1"/>
    </row>
    <row r="178" customFormat="false" ht="15" hidden="false" customHeight="false" outlineLevel="0" collapsed="false">
      <c r="A178" s="27"/>
      <c r="B178" s="1"/>
      <c r="C178" s="24" t="str">
        <f aca="false">IF(B178="","",IFERROR(INDEX(Patients!$B$2:$B$501,MATCH(B178,Patients!$A$2:$A$501,0))&amp;"",""))</f>
        <v/>
      </c>
      <c r="D178" s="1"/>
      <c r="E178" s="28"/>
      <c r="F178" s="1"/>
      <c r="G178" s="1"/>
      <c r="H178" s="29"/>
      <c r="I178" s="1"/>
      <c r="J178" s="20" t="str">
        <f aca="false">IF(D178="","",IFERROR(INDEX(Settings!$C$49:$C$54,MATCH(D178,Settings!$A$49:$A$54,0)),0))</f>
        <v/>
      </c>
      <c r="K178" s="20" t="str">
        <f aca="false">IF(J178="","",IF(G178="",J178,J178*(1-IF(H178="",Settings!$B$6,H178))))</f>
        <v/>
      </c>
      <c r="L178" s="20" t="str">
        <f aca="false">IF(OR(J178="",G178=""),"",J178-K178)</f>
        <v/>
      </c>
      <c r="M178" s="1"/>
    </row>
    <row r="179" customFormat="false" ht="15" hidden="false" customHeight="false" outlineLevel="0" collapsed="false">
      <c r="A179" s="27"/>
      <c r="B179" s="1"/>
      <c r="C179" s="24" t="str">
        <f aca="false">IF(B179="","",IFERROR(INDEX(Patients!$B$2:$B$501,MATCH(B179,Patients!$A$2:$A$501,0))&amp;"",""))</f>
        <v/>
      </c>
      <c r="D179" s="1"/>
      <c r="E179" s="28"/>
      <c r="F179" s="1"/>
      <c r="G179" s="1"/>
      <c r="H179" s="29"/>
      <c r="I179" s="1"/>
      <c r="J179" s="20" t="str">
        <f aca="false">IF(D179="","",IFERROR(INDEX(Settings!$C$49:$C$54,MATCH(D179,Settings!$A$49:$A$54,0)),0))</f>
        <v/>
      </c>
      <c r="K179" s="20" t="str">
        <f aca="false">IF(J179="","",IF(G179="",J179,J179*(1-IF(H179="",Settings!$B$6,H179))))</f>
        <v/>
      </c>
      <c r="L179" s="20" t="str">
        <f aca="false">IF(OR(J179="",G179=""),"",J179-K179)</f>
        <v/>
      </c>
      <c r="M179" s="1"/>
    </row>
    <row r="180" customFormat="false" ht="15" hidden="false" customHeight="false" outlineLevel="0" collapsed="false">
      <c r="A180" s="27"/>
      <c r="B180" s="1"/>
      <c r="C180" s="24" t="str">
        <f aca="false">IF(B180="","",IFERROR(INDEX(Patients!$B$2:$B$501,MATCH(B180,Patients!$A$2:$A$501,0))&amp;"",""))</f>
        <v/>
      </c>
      <c r="D180" s="1"/>
      <c r="E180" s="28"/>
      <c r="F180" s="1"/>
      <c r="G180" s="1"/>
      <c r="H180" s="29"/>
      <c r="I180" s="1"/>
      <c r="J180" s="20" t="str">
        <f aca="false">IF(D180="","",IFERROR(INDEX(Settings!$C$49:$C$54,MATCH(D180,Settings!$A$49:$A$54,0)),0))</f>
        <v/>
      </c>
      <c r="K180" s="20" t="str">
        <f aca="false">IF(J180="","",IF(G180="",J180,J180*(1-IF(H180="",Settings!$B$6,H180))))</f>
        <v/>
      </c>
      <c r="L180" s="20" t="str">
        <f aca="false">IF(OR(J180="",G180=""),"",J180-K180)</f>
        <v/>
      </c>
      <c r="M180" s="1"/>
    </row>
    <row r="181" customFormat="false" ht="15" hidden="false" customHeight="false" outlineLevel="0" collapsed="false">
      <c r="A181" s="27"/>
      <c r="B181" s="1"/>
      <c r="C181" s="24" t="str">
        <f aca="false">IF(B181="","",IFERROR(INDEX(Patients!$B$2:$B$501,MATCH(B181,Patients!$A$2:$A$501,0))&amp;"",""))</f>
        <v/>
      </c>
      <c r="D181" s="1"/>
      <c r="E181" s="28"/>
      <c r="F181" s="1"/>
      <c r="G181" s="1"/>
      <c r="H181" s="29"/>
      <c r="I181" s="1"/>
      <c r="J181" s="20" t="str">
        <f aca="false">IF(D181="","",IFERROR(INDEX(Settings!$C$49:$C$54,MATCH(D181,Settings!$A$49:$A$54,0)),0))</f>
        <v/>
      </c>
      <c r="K181" s="20" t="str">
        <f aca="false">IF(J181="","",IF(G181="",J181,J181*(1-IF(H181="",Settings!$B$6,H181))))</f>
        <v/>
      </c>
      <c r="L181" s="20" t="str">
        <f aca="false">IF(OR(J181="",G181=""),"",J181-K181)</f>
        <v/>
      </c>
      <c r="M181" s="1"/>
    </row>
    <row r="182" customFormat="false" ht="15" hidden="false" customHeight="false" outlineLevel="0" collapsed="false">
      <c r="A182" s="27"/>
      <c r="B182" s="1"/>
      <c r="C182" s="24" t="str">
        <f aca="false">IF(B182="","",IFERROR(INDEX(Patients!$B$2:$B$501,MATCH(B182,Patients!$A$2:$A$501,0))&amp;"",""))</f>
        <v/>
      </c>
      <c r="D182" s="1"/>
      <c r="E182" s="28"/>
      <c r="F182" s="1"/>
      <c r="G182" s="1"/>
      <c r="H182" s="29"/>
      <c r="I182" s="1"/>
      <c r="J182" s="20" t="str">
        <f aca="false">IF(D182="","",IFERROR(INDEX(Settings!$C$49:$C$54,MATCH(D182,Settings!$A$49:$A$54,0)),0))</f>
        <v/>
      </c>
      <c r="K182" s="20" t="str">
        <f aca="false">IF(J182="","",IF(G182="",J182,J182*(1-IF(H182="",Settings!$B$6,H182))))</f>
        <v/>
      </c>
      <c r="L182" s="20" t="str">
        <f aca="false">IF(OR(J182="",G182=""),"",J182-K182)</f>
        <v/>
      </c>
      <c r="M182" s="1"/>
    </row>
    <row r="183" customFormat="false" ht="15" hidden="false" customHeight="false" outlineLevel="0" collapsed="false">
      <c r="A183" s="27"/>
      <c r="B183" s="1"/>
      <c r="C183" s="24" t="str">
        <f aca="false">IF(B183="","",IFERROR(INDEX(Patients!$B$2:$B$501,MATCH(B183,Patients!$A$2:$A$501,0))&amp;"",""))</f>
        <v/>
      </c>
      <c r="D183" s="1"/>
      <c r="E183" s="28"/>
      <c r="F183" s="1"/>
      <c r="G183" s="1"/>
      <c r="H183" s="29"/>
      <c r="I183" s="1"/>
      <c r="J183" s="20" t="str">
        <f aca="false">IF(D183="","",IFERROR(INDEX(Settings!$C$49:$C$54,MATCH(D183,Settings!$A$49:$A$54,0)),0))</f>
        <v/>
      </c>
      <c r="K183" s="20" t="str">
        <f aca="false">IF(J183="","",IF(G183="",J183,J183*(1-IF(H183="",Settings!$B$6,H183))))</f>
        <v/>
      </c>
      <c r="L183" s="20" t="str">
        <f aca="false">IF(OR(J183="",G183=""),"",J183-K183)</f>
        <v/>
      </c>
      <c r="M183" s="1"/>
    </row>
    <row r="184" customFormat="false" ht="15" hidden="false" customHeight="false" outlineLevel="0" collapsed="false">
      <c r="A184" s="27"/>
      <c r="B184" s="1"/>
      <c r="C184" s="24" t="str">
        <f aca="false">IF(B184="","",IFERROR(INDEX(Patients!$B$2:$B$501,MATCH(B184,Patients!$A$2:$A$501,0))&amp;"",""))</f>
        <v/>
      </c>
      <c r="D184" s="1"/>
      <c r="E184" s="28"/>
      <c r="F184" s="1"/>
      <c r="G184" s="1"/>
      <c r="H184" s="29"/>
      <c r="I184" s="1"/>
      <c r="J184" s="20" t="str">
        <f aca="false">IF(D184="","",IFERROR(INDEX(Settings!$C$49:$C$54,MATCH(D184,Settings!$A$49:$A$54,0)),0))</f>
        <v/>
      </c>
      <c r="K184" s="20" t="str">
        <f aca="false">IF(J184="","",IF(G184="",J184,J184*(1-IF(H184="",Settings!$B$6,H184))))</f>
        <v/>
      </c>
      <c r="L184" s="20" t="str">
        <f aca="false">IF(OR(J184="",G184=""),"",J184-K184)</f>
        <v/>
      </c>
      <c r="M184" s="1"/>
    </row>
    <row r="185" customFormat="false" ht="15" hidden="false" customHeight="false" outlineLevel="0" collapsed="false">
      <c r="A185" s="27"/>
      <c r="B185" s="1"/>
      <c r="C185" s="24" t="str">
        <f aca="false">IF(B185="","",IFERROR(INDEX(Patients!$B$2:$B$501,MATCH(B185,Patients!$A$2:$A$501,0))&amp;"",""))</f>
        <v/>
      </c>
      <c r="D185" s="1"/>
      <c r="E185" s="28"/>
      <c r="F185" s="1"/>
      <c r="G185" s="1"/>
      <c r="H185" s="29"/>
      <c r="I185" s="1"/>
      <c r="J185" s="20" t="str">
        <f aca="false">IF(D185="","",IFERROR(INDEX(Settings!$C$49:$C$54,MATCH(D185,Settings!$A$49:$A$54,0)),0))</f>
        <v/>
      </c>
      <c r="K185" s="20" t="str">
        <f aca="false">IF(J185="","",IF(G185="",J185,J185*(1-IF(H185="",Settings!$B$6,H185))))</f>
        <v/>
      </c>
      <c r="L185" s="20" t="str">
        <f aca="false">IF(OR(J185="",G185=""),"",J185-K185)</f>
        <v/>
      </c>
      <c r="M185" s="1"/>
    </row>
    <row r="186" customFormat="false" ht="15" hidden="false" customHeight="false" outlineLevel="0" collapsed="false">
      <c r="A186" s="27"/>
      <c r="B186" s="1"/>
      <c r="C186" s="24" t="str">
        <f aca="false">IF(B186="","",IFERROR(INDEX(Patients!$B$2:$B$501,MATCH(B186,Patients!$A$2:$A$501,0))&amp;"",""))</f>
        <v/>
      </c>
      <c r="D186" s="1"/>
      <c r="E186" s="28"/>
      <c r="F186" s="1"/>
      <c r="G186" s="1"/>
      <c r="H186" s="29"/>
      <c r="I186" s="1"/>
      <c r="J186" s="20" t="str">
        <f aca="false">IF(D186="","",IFERROR(INDEX(Settings!$C$49:$C$54,MATCH(D186,Settings!$A$49:$A$54,0)),0))</f>
        <v/>
      </c>
      <c r="K186" s="20" t="str">
        <f aca="false">IF(J186="","",IF(G186="",J186,J186*(1-IF(H186="",Settings!$B$6,H186))))</f>
        <v/>
      </c>
      <c r="L186" s="20" t="str">
        <f aca="false">IF(OR(J186="",G186=""),"",J186-K186)</f>
        <v/>
      </c>
      <c r="M186" s="1"/>
    </row>
    <row r="187" customFormat="false" ht="15" hidden="false" customHeight="false" outlineLevel="0" collapsed="false">
      <c r="A187" s="27"/>
      <c r="B187" s="1"/>
      <c r="C187" s="24" t="str">
        <f aca="false">IF(B187="","",IFERROR(INDEX(Patients!$B$2:$B$501,MATCH(B187,Patients!$A$2:$A$501,0))&amp;"",""))</f>
        <v/>
      </c>
      <c r="D187" s="1"/>
      <c r="E187" s="28"/>
      <c r="F187" s="1"/>
      <c r="G187" s="1"/>
      <c r="H187" s="29"/>
      <c r="I187" s="1"/>
      <c r="J187" s="20" t="str">
        <f aca="false">IF(D187="","",IFERROR(INDEX(Settings!$C$49:$C$54,MATCH(D187,Settings!$A$49:$A$54,0)),0))</f>
        <v/>
      </c>
      <c r="K187" s="20" t="str">
        <f aca="false">IF(J187="","",IF(G187="",J187,J187*(1-IF(H187="",Settings!$B$6,H187))))</f>
        <v/>
      </c>
      <c r="L187" s="20" t="str">
        <f aca="false">IF(OR(J187="",G187=""),"",J187-K187)</f>
        <v/>
      </c>
      <c r="M187" s="1"/>
    </row>
    <row r="188" customFormat="false" ht="15" hidden="false" customHeight="false" outlineLevel="0" collapsed="false">
      <c r="A188" s="27"/>
      <c r="B188" s="1"/>
      <c r="C188" s="24" t="str">
        <f aca="false">IF(B188="","",IFERROR(INDEX(Patients!$B$2:$B$501,MATCH(B188,Patients!$A$2:$A$501,0))&amp;"",""))</f>
        <v/>
      </c>
      <c r="D188" s="1"/>
      <c r="E188" s="28"/>
      <c r="F188" s="1"/>
      <c r="G188" s="1"/>
      <c r="H188" s="29"/>
      <c r="I188" s="1"/>
      <c r="J188" s="20" t="str">
        <f aca="false">IF(D188="","",IFERROR(INDEX(Settings!$C$49:$C$54,MATCH(D188,Settings!$A$49:$A$54,0)),0))</f>
        <v/>
      </c>
      <c r="K188" s="20" t="str">
        <f aca="false">IF(J188="","",IF(G188="",J188,J188*(1-IF(H188="",Settings!$B$6,H188))))</f>
        <v/>
      </c>
      <c r="L188" s="20" t="str">
        <f aca="false">IF(OR(J188="",G188=""),"",J188-K188)</f>
        <v/>
      </c>
      <c r="M188" s="1"/>
    </row>
    <row r="189" customFormat="false" ht="15" hidden="false" customHeight="false" outlineLevel="0" collapsed="false">
      <c r="A189" s="27"/>
      <c r="B189" s="1"/>
      <c r="C189" s="24" t="str">
        <f aca="false">IF(B189="","",IFERROR(INDEX(Patients!$B$2:$B$501,MATCH(B189,Patients!$A$2:$A$501,0))&amp;"",""))</f>
        <v/>
      </c>
      <c r="D189" s="1"/>
      <c r="E189" s="28"/>
      <c r="F189" s="1"/>
      <c r="G189" s="1"/>
      <c r="H189" s="29"/>
      <c r="I189" s="1"/>
      <c r="J189" s="20" t="str">
        <f aca="false">IF(D189="","",IFERROR(INDEX(Settings!$C$49:$C$54,MATCH(D189,Settings!$A$49:$A$54,0)),0))</f>
        <v/>
      </c>
      <c r="K189" s="20" t="str">
        <f aca="false">IF(J189="","",IF(G189="",J189,J189*(1-IF(H189="",Settings!$B$6,H189))))</f>
        <v/>
      </c>
      <c r="L189" s="20" t="str">
        <f aca="false">IF(OR(J189="",G189=""),"",J189-K189)</f>
        <v/>
      </c>
      <c r="M189" s="1"/>
    </row>
    <row r="190" customFormat="false" ht="15" hidden="false" customHeight="false" outlineLevel="0" collapsed="false">
      <c r="A190" s="27"/>
      <c r="B190" s="1"/>
      <c r="C190" s="24" t="str">
        <f aca="false">IF(B190="","",IFERROR(INDEX(Patients!$B$2:$B$501,MATCH(B190,Patients!$A$2:$A$501,0))&amp;"",""))</f>
        <v/>
      </c>
      <c r="D190" s="1"/>
      <c r="E190" s="28"/>
      <c r="F190" s="1"/>
      <c r="G190" s="1"/>
      <c r="H190" s="29"/>
      <c r="I190" s="1"/>
      <c r="J190" s="20" t="str">
        <f aca="false">IF(D190="","",IFERROR(INDEX(Settings!$C$49:$C$54,MATCH(D190,Settings!$A$49:$A$54,0)),0))</f>
        <v/>
      </c>
      <c r="K190" s="20" t="str">
        <f aca="false">IF(J190="","",IF(G190="",J190,J190*(1-IF(H190="",Settings!$B$6,H190))))</f>
        <v/>
      </c>
      <c r="L190" s="20" t="str">
        <f aca="false">IF(OR(J190="",G190=""),"",J190-K190)</f>
        <v/>
      </c>
      <c r="M190" s="1"/>
    </row>
    <row r="191" customFormat="false" ht="15" hidden="false" customHeight="false" outlineLevel="0" collapsed="false">
      <c r="A191" s="27"/>
      <c r="B191" s="1"/>
      <c r="C191" s="24" t="str">
        <f aca="false">IF(B191="","",IFERROR(INDEX(Patients!$B$2:$B$501,MATCH(B191,Patients!$A$2:$A$501,0))&amp;"",""))</f>
        <v/>
      </c>
      <c r="D191" s="1"/>
      <c r="E191" s="28"/>
      <c r="F191" s="1"/>
      <c r="G191" s="1"/>
      <c r="H191" s="29"/>
      <c r="I191" s="1"/>
      <c r="J191" s="20" t="str">
        <f aca="false">IF(D191="","",IFERROR(INDEX(Settings!$C$49:$C$54,MATCH(D191,Settings!$A$49:$A$54,0)),0))</f>
        <v/>
      </c>
      <c r="K191" s="20" t="str">
        <f aca="false">IF(J191="","",IF(G191="",J191,J191*(1-IF(H191="",Settings!$B$6,H191))))</f>
        <v/>
      </c>
      <c r="L191" s="20" t="str">
        <f aca="false">IF(OR(J191="",G191=""),"",J191-K191)</f>
        <v/>
      </c>
      <c r="M191" s="1"/>
    </row>
    <row r="192" customFormat="false" ht="15" hidden="false" customHeight="false" outlineLevel="0" collapsed="false">
      <c r="A192" s="27"/>
      <c r="B192" s="1"/>
      <c r="C192" s="24" t="str">
        <f aca="false">IF(B192="","",IFERROR(INDEX(Patients!$B$2:$B$501,MATCH(B192,Patients!$A$2:$A$501,0))&amp;"",""))</f>
        <v/>
      </c>
      <c r="D192" s="1"/>
      <c r="E192" s="28"/>
      <c r="F192" s="1"/>
      <c r="G192" s="1"/>
      <c r="H192" s="29"/>
      <c r="I192" s="1"/>
      <c r="J192" s="20" t="str">
        <f aca="false">IF(D192="","",IFERROR(INDEX(Settings!$C$49:$C$54,MATCH(D192,Settings!$A$49:$A$54,0)),0))</f>
        <v/>
      </c>
      <c r="K192" s="20" t="str">
        <f aca="false">IF(J192="","",IF(G192="",J192,J192*(1-IF(H192="",Settings!$B$6,H192))))</f>
        <v/>
      </c>
      <c r="L192" s="20" t="str">
        <f aca="false">IF(OR(J192="",G192=""),"",J192-K192)</f>
        <v/>
      </c>
      <c r="M192" s="1"/>
    </row>
    <row r="193" customFormat="false" ht="15" hidden="false" customHeight="false" outlineLevel="0" collapsed="false">
      <c r="A193" s="27"/>
      <c r="B193" s="1"/>
      <c r="C193" s="24" t="str">
        <f aca="false">IF(B193="","",IFERROR(INDEX(Patients!$B$2:$B$501,MATCH(B193,Patients!$A$2:$A$501,0))&amp;"",""))</f>
        <v/>
      </c>
      <c r="D193" s="1"/>
      <c r="E193" s="28"/>
      <c r="F193" s="1"/>
      <c r="G193" s="1"/>
      <c r="H193" s="29"/>
      <c r="I193" s="1"/>
      <c r="J193" s="20" t="str">
        <f aca="false">IF(D193="","",IFERROR(INDEX(Settings!$C$49:$C$54,MATCH(D193,Settings!$A$49:$A$54,0)),0))</f>
        <v/>
      </c>
      <c r="K193" s="20" t="str">
        <f aca="false">IF(J193="","",IF(G193="",J193,J193*(1-IF(H193="",Settings!$B$6,H193))))</f>
        <v/>
      </c>
      <c r="L193" s="20" t="str">
        <f aca="false">IF(OR(J193="",G193=""),"",J193-K193)</f>
        <v/>
      </c>
      <c r="M193" s="1"/>
    </row>
    <row r="194" customFormat="false" ht="15" hidden="false" customHeight="false" outlineLevel="0" collapsed="false">
      <c r="A194" s="27"/>
      <c r="B194" s="1"/>
      <c r="C194" s="24" t="str">
        <f aca="false">IF(B194="","",IFERROR(INDEX(Patients!$B$2:$B$501,MATCH(B194,Patients!$A$2:$A$501,0))&amp;"",""))</f>
        <v/>
      </c>
      <c r="D194" s="1"/>
      <c r="E194" s="28"/>
      <c r="F194" s="1"/>
      <c r="G194" s="1"/>
      <c r="H194" s="29"/>
      <c r="I194" s="1"/>
      <c r="J194" s="20" t="str">
        <f aca="false">IF(D194="","",IFERROR(INDEX(Settings!$C$49:$C$54,MATCH(D194,Settings!$A$49:$A$54,0)),0))</f>
        <v/>
      </c>
      <c r="K194" s="20" t="str">
        <f aca="false">IF(J194="","",IF(G194="",J194,J194*(1-IF(H194="",Settings!$B$6,H194))))</f>
        <v/>
      </c>
      <c r="L194" s="20" t="str">
        <f aca="false">IF(OR(J194="",G194=""),"",J194-K194)</f>
        <v/>
      </c>
      <c r="M194" s="1"/>
    </row>
    <row r="195" customFormat="false" ht="15" hidden="false" customHeight="false" outlineLevel="0" collapsed="false">
      <c r="A195" s="27"/>
      <c r="B195" s="1"/>
      <c r="C195" s="24" t="str">
        <f aca="false">IF(B195="","",IFERROR(INDEX(Patients!$B$2:$B$501,MATCH(B195,Patients!$A$2:$A$501,0))&amp;"",""))</f>
        <v/>
      </c>
      <c r="D195" s="1"/>
      <c r="E195" s="28"/>
      <c r="F195" s="1"/>
      <c r="G195" s="1"/>
      <c r="H195" s="29"/>
      <c r="I195" s="1"/>
      <c r="J195" s="20" t="str">
        <f aca="false">IF(D195="","",IFERROR(INDEX(Settings!$C$49:$C$54,MATCH(D195,Settings!$A$49:$A$54,0)),0))</f>
        <v/>
      </c>
      <c r="K195" s="20" t="str">
        <f aca="false">IF(J195="","",IF(G195="",J195,J195*(1-IF(H195="",Settings!$B$6,H195))))</f>
        <v/>
      </c>
      <c r="L195" s="20" t="str">
        <f aca="false">IF(OR(J195="",G195=""),"",J195-K195)</f>
        <v/>
      </c>
      <c r="M195" s="1"/>
    </row>
    <row r="196" customFormat="false" ht="15" hidden="false" customHeight="false" outlineLevel="0" collapsed="false">
      <c r="A196" s="27"/>
      <c r="B196" s="1"/>
      <c r="C196" s="24" t="str">
        <f aca="false">IF(B196="","",IFERROR(INDEX(Patients!$B$2:$B$501,MATCH(B196,Patients!$A$2:$A$501,0))&amp;"",""))</f>
        <v/>
      </c>
      <c r="D196" s="1"/>
      <c r="E196" s="28"/>
      <c r="F196" s="1"/>
      <c r="G196" s="1"/>
      <c r="H196" s="29"/>
      <c r="I196" s="1"/>
      <c r="J196" s="20" t="str">
        <f aca="false">IF(D196="","",IFERROR(INDEX(Settings!$C$49:$C$54,MATCH(D196,Settings!$A$49:$A$54,0)),0))</f>
        <v/>
      </c>
      <c r="K196" s="20" t="str">
        <f aca="false">IF(J196="","",IF(G196="",J196,J196*(1-IF(H196="",Settings!$B$6,H196))))</f>
        <v/>
      </c>
      <c r="L196" s="20" t="str">
        <f aca="false">IF(OR(J196="",G196=""),"",J196-K196)</f>
        <v/>
      </c>
      <c r="M196" s="1"/>
    </row>
    <row r="197" customFormat="false" ht="15" hidden="false" customHeight="false" outlineLevel="0" collapsed="false">
      <c r="A197" s="27"/>
      <c r="B197" s="1"/>
      <c r="C197" s="24" t="str">
        <f aca="false">IF(B197="","",IFERROR(INDEX(Patients!$B$2:$B$501,MATCH(B197,Patients!$A$2:$A$501,0))&amp;"",""))</f>
        <v/>
      </c>
      <c r="D197" s="1"/>
      <c r="E197" s="28"/>
      <c r="F197" s="1"/>
      <c r="G197" s="1"/>
      <c r="H197" s="29"/>
      <c r="I197" s="1"/>
      <c r="J197" s="20" t="str">
        <f aca="false">IF(D197="","",IFERROR(INDEX(Settings!$C$49:$C$54,MATCH(D197,Settings!$A$49:$A$54,0)),0))</f>
        <v/>
      </c>
      <c r="K197" s="20" t="str">
        <f aca="false">IF(J197="","",IF(G197="",J197,J197*(1-IF(H197="",Settings!$B$6,H197))))</f>
        <v/>
      </c>
      <c r="L197" s="20" t="str">
        <f aca="false">IF(OR(J197="",G197=""),"",J197-K197)</f>
        <v/>
      </c>
      <c r="M197" s="1"/>
    </row>
    <row r="198" customFormat="false" ht="15" hidden="false" customHeight="false" outlineLevel="0" collapsed="false">
      <c r="A198" s="27"/>
      <c r="B198" s="1"/>
      <c r="C198" s="24" t="str">
        <f aca="false">IF(B198="","",IFERROR(INDEX(Patients!$B$2:$B$501,MATCH(B198,Patients!$A$2:$A$501,0))&amp;"",""))</f>
        <v/>
      </c>
      <c r="D198" s="1"/>
      <c r="E198" s="28"/>
      <c r="F198" s="1"/>
      <c r="G198" s="1"/>
      <c r="H198" s="29"/>
      <c r="I198" s="1"/>
      <c r="J198" s="20" t="str">
        <f aca="false">IF(D198="","",IFERROR(INDEX(Settings!$C$49:$C$54,MATCH(D198,Settings!$A$49:$A$54,0)),0))</f>
        <v/>
      </c>
      <c r="K198" s="20" t="str">
        <f aca="false">IF(J198="","",IF(G198="",J198,J198*(1-IF(H198="",Settings!$B$6,H198))))</f>
        <v/>
      </c>
      <c r="L198" s="20" t="str">
        <f aca="false">IF(OR(J198="",G198=""),"",J198-K198)</f>
        <v/>
      </c>
      <c r="M198" s="1"/>
    </row>
    <row r="199" customFormat="false" ht="15" hidden="false" customHeight="false" outlineLevel="0" collapsed="false">
      <c r="A199" s="27"/>
      <c r="B199" s="1"/>
      <c r="C199" s="24" t="str">
        <f aca="false">IF(B199="","",IFERROR(INDEX(Patients!$B$2:$B$501,MATCH(B199,Patients!$A$2:$A$501,0))&amp;"",""))</f>
        <v/>
      </c>
      <c r="D199" s="1"/>
      <c r="E199" s="28"/>
      <c r="F199" s="1"/>
      <c r="G199" s="1"/>
      <c r="H199" s="29"/>
      <c r="I199" s="1"/>
      <c r="J199" s="20" t="str">
        <f aca="false">IF(D199="","",IFERROR(INDEX(Settings!$C$49:$C$54,MATCH(D199,Settings!$A$49:$A$54,0)),0))</f>
        <v/>
      </c>
      <c r="K199" s="20" t="str">
        <f aca="false">IF(J199="","",IF(G199="",J199,J199*(1-IF(H199="",Settings!$B$6,H199))))</f>
        <v/>
      </c>
      <c r="L199" s="20" t="str">
        <f aca="false">IF(OR(J199="",G199=""),"",J199-K199)</f>
        <v/>
      </c>
      <c r="M199" s="1"/>
    </row>
    <row r="200" customFormat="false" ht="15" hidden="false" customHeight="false" outlineLevel="0" collapsed="false">
      <c r="A200" s="27"/>
      <c r="B200" s="1"/>
      <c r="C200" s="24" t="str">
        <f aca="false">IF(B200="","",IFERROR(INDEX(Patients!$B$2:$B$501,MATCH(B200,Patients!$A$2:$A$501,0))&amp;"",""))</f>
        <v/>
      </c>
      <c r="D200" s="1"/>
      <c r="E200" s="28"/>
      <c r="F200" s="1"/>
      <c r="G200" s="1"/>
      <c r="H200" s="29"/>
      <c r="I200" s="1"/>
      <c r="J200" s="20" t="str">
        <f aca="false">IF(D200="","",IFERROR(INDEX(Settings!$C$49:$C$54,MATCH(D200,Settings!$A$49:$A$54,0)),0))</f>
        <v/>
      </c>
      <c r="K200" s="20" t="str">
        <f aca="false">IF(J200="","",IF(G200="",J200,J200*(1-IF(H200="",Settings!$B$6,H200))))</f>
        <v/>
      </c>
      <c r="L200" s="20" t="str">
        <f aca="false">IF(OR(J200="",G200=""),"",J200-K200)</f>
        <v/>
      </c>
      <c r="M200" s="1"/>
    </row>
    <row r="201" customFormat="false" ht="15" hidden="false" customHeight="false" outlineLevel="0" collapsed="false">
      <c r="A201" s="27"/>
      <c r="B201" s="1"/>
      <c r="C201" s="24" t="str">
        <f aca="false">IF(B201="","",IFERROR(INDEX(Patients!$B$2:$B$501,MATCH(B201,Patients!$A$2:$A$501,0))&amp;"",""))</f>
        <v/>
      </c>
      <c r="D201" s="1"/>
      <c r="E201" s="28"/>
      <c r="F201" s="1"/>
      <c r="G201" s="1"/>
      <c r="H201" s="29"/>
      <c r="I201" s="1"/>
      <c r="J201" s="20" t="str">
        <f aca="false">IF(D201="","",IFERROR(INDEX(Settings!$C$49:$C$54,MATCH(D201,Settings!$A$49:$A$54,0)),0))</f>
        <v/>
      </c>
      <c r="K201" s="20" t="str">
        <f aca="false">IF(J201="","",IF(G201="",J201,J201*(1-IF(H201="",Settings!$B$6,H201))))</f>
        <v/>
      </c>
      <c r="L201" s="20" t="str">
        <f aca="false">IF(OR(J201="",G201=""),"",J201-K201)</f>
        <v/>
      </c>
      <c r="M201" s="1"/>
    </row>
    <row r="202" customFormat="false" ht="15" hidden="false" customHeight="false" outlineLevel="0" collapsed="false">
      <c r="A202" s="27"/>
      <c r="B202" s="1"/>
      <c r="C202" s="24" t="str">
        <f aca="false">IF(B202="","",IFERROR(INDEX(Patients!$B$2:$B$501,MATCH(B202,Patients!$A$2:$A$501,0))&amp;"",""))</f>
        <v/>
      </c>
      <c r="D202" s="1"/>
      <c r="E202" s="28"/>
      <c r="F202" s="1"/>
      <c r="G202" s="1"/>
      <c r="H202" s="29"/>
      <c r="I202" s="1"/>
      <c r="J202" s="20" t="str">
        <f aca="false">IF(D202="","",IFERROR(INDEX(Settings!$C$49:$C$54,MATCH(D202,Settings!$A$49:$A$54,0)),0))</f>
        <v/>
      </c>
      <c r="K202" s="20" t="str">
        <f aca="false">IF(J202="","",IF(G202="",J202,J202*(1-IF(H202="",Settings!$B$6,H202))))</f>
        <v/>
      </c>
      <c r="L202" s="20" t="str">
        <f aca="false">IF(OR(J202="",G202=""),"",J202-K202)</f>
        <v/>
      </c>
      <c r="M202" s="1"/>
    </row>
    <row r="203" customFormat="false" ht="15" hidden="false" customHeight="false" outlineLevel="0" collapsed="false">
      <c r="A203" s="27"/>
      <c r="B203" s="1"/>
      <c r="C203" s="24" t="str">
        <f aca="false">IF(B203="","",IFERROR(INDEX(Patients!$B$2:$B$501,MATCH(B203,Patients!$A$2:$A$501,0))&amp;"",""))</f>
        <v/>
      </c>
      <c r="D203" s="1"/>
      <c r="E203" s="28"/>
      <c r="F203" s="1"/>
      <c r="G203" s="1"/>
      <c r="H203" s="29"/>
      <c r="I203" s="1"/>
      <c r="J203" s="20" t="str">
        <f aca="false">IF(D203="","",IFERROR(INDEX(Settings!$C$49:$C$54,MATCH(D203,Settings!$A$49:$A$54,0)),0))</f>
        <v/>
      </c>
      <c r="K203" s="20" t="str">
        <f aca="false">IF(J203="","",IF(G203="",J203,J203*(1-IF(H203="",Settings!$B$6,H203))))</f>
        <v/>
      </c>
      <c r="L203" s="20" t="str">
        <f aca="false">IF(OR(J203="",G203=""),"",J203-K203)</f>
        <v/>
      </c>
      <c r="M203" s="1"/>
    </row>
    <row r="204" customFormat="false" ht="15" hidden="false" customHeight="false" outlineLevel="0" collapsed="false">
      <c r="A204" s="27"/>
      <c r="B204" s="1"/>
      <c r="C204" s="24" t="str">
        <f aca="false">IF(B204="","",IFERROR(INDEX(Patients!$B$2:$B$501,MATCH(B204,Patients!$A$2:$A$501,0))&amp;"",""))</f>
        <v/>
      </c>
      <c r="D204" s="1"/>
      <c r="E204" s="28"/>
      <c r="F204" s="1"/>
      <c r="G204" s="1"/>
      <c r="H204" s="29"/>
      <c r="I204" s="1"/>
      <c r="J204" s="20" t="str">
        <f aca="false">IF(D204="","",IFERROR(INDEX(Settings!$C$49:$C$54,MATCH(D204,Settings!$A$49:$A$54,0)),0))</f>
        <v/>
      </c>
      <c r="K204" s="20" t="str">
        <f aca="false">IF(J204="","",IF(G204="",J204,J204*(1-IF(H204="",Settings!$B$6,H204))))</f>
        <v/>
      </c>
      <c r="L204" s="20" t="str">
        <f aca="false">IF(OR(J204="",G204=""),"",J204-K204)</f>
        <v/>
      </c>
      <c r="M204" s="1"/>
    </row>
    <row r="205" customFormat="false" ht="15" hidden="false" customHeight="false" outlineLevel="0" collapsed="false">
      <c r="A205" s="27"/>
      <c r="B205" s="1"/>
      <c r="C205" s="24" t="str">
        <f aca="false">IF(B205="","",IFERROR(INDEX(Patients!$B$2:$B$501,MATCH(B205,Patients!$A$2:$A$501,0))&amp;"",""))</f>
        <v/>
      </c>
      <c r="D205" s="1"/>
      <c r="E205" s="28"/>
      <c r="F205" s="1"/>
      <c r="G205" s="1"/>
      <c r="H205" s="29"/>
      <c r="I205" s="1"/>
      <c r="J205" s="20" t="str">
        <f aca="false">IF(D205="","",IFERROR(INDEX(Settings!$C$49:$C$54,MATCH(D205,Settings!$A$49:$A$54,0)),0))</f>
        <v/>
      </c>
      <c r="K205" s="20" t="str">
        <f aca="false">IF(J205="","",IF(G205="",J205,J205*(1-IF(H205="",Settings!$B$6,H205))))</f>
        <v/>
      </c>
      <c r="L205" s="20" t="str">
        <f aca="false">IF(OR(J205="",G205=""),"",J205-K205)</f>
        <v/>
      </c>
      <c r="M205" s="1"/>
    </row>
    <row r="206" customFormat="false" ht="15" hidden="false" customHeight="false" outlineLevel="0" collapsed="false">
      <c r="A206" s="27"/>
      <c r="B206" s="1"/>
      <c r="C206" s="24" t="str">
        <f aca="false">IF(B206="","",IFERROR(INDEX(Patients!$B$2:$B$501,MATCH(B206,Patients!$A$2:$A$501,0))&amp;"",""))</f>
        <v/>
      </c>
      <c r="D206" s="1"/>
      <c r="E206" s="28"/>
      <c r="F206" s="1"/>
      <c r="G206" s="1"/>
      <c r="H206" s="29"/>
      <c r="I206" s="1"/>
      <c r="J206" s="20" t="str">
        <f aca="false">IF(D206="","",IFERROR(INDEX(Settings!$C$49:$C$54,MATCH(D206,Settings!$A$49:$A$54,0)),0))</f>
        <v/>
      </c>
      <c r="K206" s="20" t="str">
        <f aca="false">IF(J206="","",IF(G206="",J206,J206*(1-IF(H206="",Settings!$B$6,H206))))</f>
        <v/>
      </c>
      <c r="L206" s="20" t="str">
        <f aca="false">IF(OR(J206="",G206=""),"",J206-K206)</f>
        <v/>
      </c>
      <c r="M206" s="1"/>
    </row>
    <row r="207" customFormat="false" ht="15" hidden="false" customHeight="false" outlineLevel="0" collapsed="false">
      <c r="A207" s="27"/>
      <c r="B207" s="1"/>
      <c r="C207" s="24" t="str">
        <f aca="false">IF(B207="","",IFERROR(INDEX(Patients!$B$2:$B$501,MATCH(B207,Patients!$A$2:$A$501,0))&amp;"",""))</f>
        <v/>
      </c>
      <c r="D207" s="1"/>
      <c r="E207" s="28"/>
      <c r="F207" s="1"/>
      <c r="G207" s="1"/>
      <c r="H207" s="29"/>
      <c r="I207" s="1"/>
      <c r="J207" s="20" t="str">
        <f aca="false">IF(D207="","",IFERROR(INDEX(Settings!$C$49:$C$54,MATCH(D207,Settings!$A$49:$A$54,0)),0))</f>
        <v/>
      </c>
      <c r="K207" s="20" t="str">
        <f aca="false">IF(J207="","",IF(G207="",J207,J207*(1-IF(H207="",Settings!$B$6,H207))))</f>
        <v/>
      </c>
      <c r="L207" s="20" t="str">
        <f aca="false">IF(OR(J207="",G207=""),"",J207-K207)</f>
        <v/>
      </c>
      <c r="M207" s="1"/>
    </row>
    <row r="208" customFormat="false" ht="15" hidden="false" customHeight="false" outlineLevel="0" collapsed="false">
      <c r="A208" s="27"/>
      <c r="B208" s="1"/>
      <c r="C208" s="24" t="str">
        <f aca="false">IF(B208="","",IFERROR(INDEX(Patients!$B$2:$B$501,MATCH(B208,Patients!$A$2:$A$501,0))&amp;"",""))</f>
        <v/>
      </c>
      <c r="D208" s="1"/>
      <c r="E208" s="28"/>
      <c r="F208" s="1"/>
      <c r="G208" s="1"/>
      <c r="H208" s="29"/>
      <c r="I208" s="1"/>
      <c r="J208" s="20" t="str">
        <f aca="false">IF(D208="","",IFERROR(INDEX(Settings!$C$49:$C$54,MATCH(D208,Settings!$A$49:$A$54,0)),0))</f>
        <v/>
      </c>
      <c r="K208" s="20" t="str">
        <f aca="false">IF(J208="","",IF(G208="",J208,J208*(1-IF(H208="",Settings!$B$6,H208))))</f>
        <v/>
      </c>
      <c r="L208" s="20" t="str">
        <f aca="false">IF(OR(J208="",G208=""),"",J208-K208)</f>
        <v/>
      </c>
      <c r="M208" s="1"/>
    </row>
    <row r="209" customFormat="false" ht="15" hidden="false" customHeight="false" outlineLevel="0" collapsed="false">
      <c r="A209" s="27"/>
      <c r="B209" s="1"/>
      <c r="C209" s="24" t="str">
        <f aca="false">IF(B209="","",IFERROR(INDEX(Patients!$B$2:$B$501,MATCH(B209,Patients!$A$2:$A$501,0))&amp;"",""))</f>
        <v/>
      </c>
      <c r="D209" s="1"/>
      <c r="E209" s="28"/>
      <c r="F209" s="1"/>
      <c r="G209" s="1"/>
      <c r="H209" s="29"/>
      <c r="I209" s="1"/>
      <c r="J209" s="20" t="str">
        <f aca="false">IF(D209="","",IFERROR(INDEX(Settings!$C$49:$C$54,MATCH(D209,Settings!$A$49:$A$54,0)),0))</f>
        <v/>
      </c>
      <c r="K209" s="20" t="str">
        <f aca="false">IF(J209="","",IF(G209="",J209,J209*(1-IF(H209="",Settings!$B$6,H209))))</f>
        <v/>
      </c>
      <c r="L209" s="20" t="str">
        <f aca="false">IF(OR(J209="",G209=""),"",J209-K209)</f>
        <v/>
      </c>
      <c r="M209" s="1"/>
    </row>
    <row r="210" customFormat="false" ht="15" hidden="false" customHeight="false" outlineLevel="0" collapsed="false">
      <c r="A210" s="27"/>
      <c r="B210" s="1"/>
      <c r="C210" s="24" t="str">
        <f aca="false">IF(B210="","",IFERROR(INDEX(Patients!$B$2:$B$501,MATCH(B210,Patients!$A$2:$A$501,0))&amp;"",""))</f>
        <v/>
      </c>
      <c r="D210" s="1"/>
      <c r="E210" s="28"/>
      <c r="F210" s="1"/>
      <c r="G210" s="1"/>
      <c r="H210" s="29"/>
      <c r="I210" s="1"/>
      <c r="J210" s="20" t="str">
        <f aca="false">IF(D210="","",IFERROR(INDEX(Settings!$C$49:$C$54,MATCH(D210,Settings!$A$49:$A$54,0)),0))</f>
        <v/>
      </c>
      <c r="K210" s="20" t="str">
        <f aca="false">IF(J210="","",IF(G210="",J210,J210*(1-IF(H210="",Settings!$B$6,H210))))</f>
        <v/>
      </c>
      <c r="L210" s="20" t="str">
        <f aca="false">IF(OR(J210="",G210=""),"",J210-K210)</f>
        <v/>
      </c>
      <c r="M210" s="1"/>
    </row>
    <row r="211" customFormat="false" ht="15" hidden="false" customHeight="false" outlineLevel="0" collapsed="false">
      <c r="A211" s="27"/>
      <c r="B211" s="1"/>
      <c r="C211" s="24" t="str">
        <f aca="false">IF(B211="","",IFERROR(INDEX(Patients!$B$2:$B$501,MATCH(B211,Patients!$A$2:$A$501,0))&amp;"",""))</f>
        <v/>
      </c>
      <c r="D211" s="1"/>
      <c r="E211" s="28"/>
      <c r="F211" s="1"/>
      <c r="G211" s="1"/>
      <c r="H211" s="29"/>
      <c r="I211" s="1"/>
      <c r="J211" s="20" t="str">
        <f aca="false">IF(D211="","",IFERROR(INDEX(Settings!$C$49:$C$54,MATCH(D211,Settings!$A$49:$A$54,0)),0))</f>
        <v/>
      </c>
      <c r="K211" s="20" t="str">
        <f aca="false">IF(J211="","",IF(G211="",J211,J211*(1-IF(H211="",Settings!$B$6,H211))))</f>
        <v/>
      </c>
      <c r="L211" s="20" t="str">
        <f aca="false">IF(OR(J211="",G211=""),"",J211-K211)</f>
        <v/>
      </c>
      <c r="M211" s="1"/>
    </row>
    <row r="212" customFormat="false" ht="15" hidden="false" customHeight="false" outlineLevel="0" collapsed="false">
      <c r="A212" s="27"/>
      <c r="B212" s="1"/>
      <c r="C212" s="24" t="str">
        <f aca="false">IF(B212="","",IFERROR(INDEX(Patients!$B$2:$B$501,MATCH(B212,Patients!$A$2:$A$501,0))&amp;"",""))</f>
        <v/>
      </c>
      <c r="D212" s="1"/>
      <c r="E212" s="28"/>
      <c r="F212" s="1"/>
      <c r="G212" s="1"/>
      <c r="H212" s="29"/>
      <c r="I212" s="1"/>
      <c r="J212" s="20" t="str">
        <f aca="false">IF(D212="","",IFERROR(INDEX(Settings!$C$49:$C$54,MATCH(D212,Settings!$A$49:$A$54,0)),0))</f>
        <v/>
      </c>
      <c r="K212" s="20" t="str">
        <f aca="false">IF(J212="","",IF(G212="",J212,J212*(1-IF(H212="",Settings!$B$6,H212))))</f>
        <v/>
      </c>
      <c r="L212" s="20" t="str">
        <f aca="false">IF(OR(J212="",G212=""),"",J212-K212)</f>
        <v/>
      </c>
      <c r="M212" s="1"/>
    </row>
    <row r="213" customFormat="false" ht="15" hidden="false" customHeight="false" outlineLevel="0" collapsed="false">
      <c r="A213" s="27"/>
      <c r="B213" s="1"/>
      <c r="C213" s="24" t="str">
        <f aca="false">IF(B213="","",IFERROR(INDEX(Patients!$B$2:$B$501,MATCH(B213,Patients!$A$2:$A$501,0))&amp;"",""))</f>
        <v/>
      </c>
      <c r="D213" s="1"/>
      <c r="E213" s="28"/>
      <c r="F213" s="1"/>
      <c r="G213" s="1"/>
      <c r="H213" s="29"/>
      <c r="I213" s="1"/>
      <c r="J213" s="20" t="str">
        <f aca="false">IF(D213="","",IFERROR(INDEX(Settings!$C$49:$C$54,MATCH(D213,Settings!$A$49:$A$54,0)),0))</f>
        <v/>
      </c>
      <c r="K213" s="20" t="str">
        <f aca="false">IF(J213="","",IF(G213="",J213,J213*(1-IF(H213="",Settings!$B$6,H213))))</f>
        <v/>
      </c>
      <c r="L213" s="20" t="str">
        <f aca="false">IF(OR(J213="",G213=""),"",J213-K213)</f>
        <v/>
      </c>
      <c r="M213" s="1"/>
    </row>
    <row r="214" customFormat="false" ht="15" hidden="false" customHeight="false" outlineLevel="0" collapsed="false">
      <c r="A214" s="27"/>
      <c r="B214" s="1"/>
      <c r="C214" s="24" t="str">
        <f aca="false">IF(B214="","",IFERROR(INDEX(Patients!$B$2:$B$501,MATCH(B214,Patients!$A$2:$A$501,0))&amp;"",""))</f>
        <v/>
      </c>
      <c r="D214" s="1"/>
      <c r="E214" s="28"/>
      <c r="F214" s="1"/>
      <c r="G214" s="1"/>
      <c r="H214" s="29"/>
      <c r="I214" s="1"/>
      <c r="J214" s="20" t="str">
        <f aca="false">IF(D214="","",IFERROR(INDEX(Settings!$C$49:$C$54,MATCH(D214,Settings!$A$49:$A$54,0)),0))</f>
        <v/>
      </c>
      <c r="K214" s="20" t="str">
        <f aca="false">IF(J214="","",IF(G214="",J214,J214*(1-IF(H214="",Settings!$B$6,H214))))</f>
        <v/>
      </c>
      <c r="L214" s="20" t="str">
        <f aca="false">IF(OR(J214="",G214=""),"",J214-K214)</f>
        <v/>
      </c>
      <c r="M214" s="1"/>
    </row>
    <row r="215" customFormat="false" ht="15" hidden="false" customHeight="false" outlineLevel="0" collapsed="false">
      <c r="A215" s="27"/>
      <c r="B215" s="1"/>
      <c r="C215" s="24" t="str">
        <f aca="false">IF(B215="","",IFERROR(INDEX(Patients!$B$2:$B$501,MATCH(B215,Patients!$A$2:$A$501,0))&amp;"",""))</f>
        <v/>
      </c>
      <c r="D215" s="1"/>
      <c r="E215" s="28"/>
      <c r="F215" s="1"/>
      <c r="G215" s="1"/>
      <c r="H215" s="29"/>
      <c r="I215" s="1"/>
      <c r="J215" s="20" t="str">
        <f aca="false">IF(D215="","",IFERROR(INDEX(Settings!$C$49:$C$54,MATCH(D215,Settings!$A$49:$A$54,0)),0))</f>
        <v/>
      </c>
      <c r="K215" s="20" t="str">
        <f aca="false">IF(J215="","",IF(G215="",J215,J215*(1-IF(H215="",Settings!$B$6,H215))))</f>
        <v/>
      </c>
      <c r="L215" s="20" t="str">
        <f aca="false">IF(OR(J215="",G215=""),"",J215-K215)</f>
        <v/>
      </c>
      <c r="M215" s="1"/>
    </row>
    <row r="216" customFormat="false" ht="15" hidden="false" customHeight="false" outlineLevel="0" collapsed="false">
      <c r="A216" s="27"/>
      <c r="B216" s="1"/>
      <c r="C216" s="24" t="str">
        <f aca="false">IF(B216="","",IFERROR(INDEX(Patients!$B$2:$B$501,MATCH(B216,Patients!$A$2:$A$501,0))&amp;"",""))</f>
        <v/>
      </c>
      <c r="D216" s="1"/>
      <c r="E216" s="28"/>
      <c r="F216" s="1"/>
      <c r="G216" s="1"/>
      <c r="H216" s="29"/>
      <c r="I216" s="1"/>
      <c r="J216" s="20" t="str">
        <f aca="false">IF(D216="","",IFERROR(INDEX(Settings!$C$49:$C$54,MATCH(D216,Settings!$A$49:$A$54,0)),0))</f>
        <v/>
      </c>
      <c r="K216" s="20" t="str">
        <f aca="false">IF(J216="","",IF(G216="",J216,J216*(1-IF(H216="",Settings!$B$6,H216))))</f>
        <v/>
      </c>
      <c r="L216" s="20" t="str">
        <f aca="false">IF(OR(J216="",G216=""),"",J216-K216)</f>
        <v/>
      </c>
      <c r="M216" s="1"/>
    </row>
    <row r="217" customFormat="false" ht="15" hidden="false" customHeight="false" outlineLevel="0" collapsed="false">
      <c r="A217" s="27"/>
      <c r="B217" s="1"/>
      <c r="C217" s="24" t="str">
        <f aca="false">IF(B217="","",IFERROR(INDEX(Patients!$B$2:$B$501,MATCH(B217,Patients!$A$2:$A$501,0))&amp;"",""))</f>
        <v/>
      </c>
      <c r="D217" s="1"/>
      <c r="E217" s="28"/>
      <c r="F217" s="1"/>
      <c r="G217" s="1"/>
      <c r="H217" s="29"/>
      <c r="I217" s="1"/>
      <c r="J217" s="20" t="str">
        <f aca="false">IF(D217="","",IFERROR(INDEX(Settings!$C$49:$C$54,MATCH(D217,Settings!$A$49:$A$54,0)),0))</f>
        <v/>
      </c>
      <c r="K217" s="20" t="str">
        <f aca="false">IF(J217="","",IF(G217="",J217,J217*(1-IF(H217="",Settings!$B$6,H217))))</f>
        <v/>
      </c>
      <c r="L217" s="20" t="str">
        <f aca="false">IF(OR(J217="",G217=""),"",J217-K217)</f>
        <v/>
      </c>
      <c r="M217" s="1"/>
    </row>
    <row r="218" customFormat="false" ht="15" hidden="false" customHeight="false" outlineLevel="0" collapsed="false">
      <c r="A218" s="27"/>
      <c r="B218" s="1"/>
      <c r="C218" s="24" t="str">
        <f aca="false">IF(B218="","",IFERROR(INDEX(Patients!$B$2:$B$501,MATCH(B218,Patients!$A$2:$A$501,0))&amp;"",""))</f>
        <v/>
      </c>
      <c r="D218" s="1"/>
      <c r="E218" s="28"/>
      <c r="F218" s="1"/>
      <c r="G218" s="1"/>
      <c r="H218" s="29"/>
      <c r="I218" s="1"/>
      <c r="J218" s="20" t="str">
        <f aca="false">IF(D218="","",IFERROR(INDEX(Settings!$C$49:$C$54,MATCH(D218,Settings!$A$49:$A$54,0)),0))</f>
        <v/>
      </c>
      <c r="K218" s="20" t="str">
        <f aca="false">IF(J218="","",IF(G218="",J218,J218*(1-IF(H218="",Settings!$B$6,H218))))</f>
        <v/>
      </c>
      <c r="L218" s="20" t="str">
        <f aca="false">IF(OR(J218="",G218=""),"",J218-K218)</f>
        <v/>
      </c>
      <c r="M218" s="1"/>
    </row>
    <row r="219" customFormat="false" ht="15" hidden="false" customHeight="false" outlineLevel="0" collapsed="false">
      <c r="A219" s="27"/>
      <c r="B219" s="1"/>
      <c r="C219" s="24" t="str">
        <f aca="false">IF(B219="","",IFERROR(INDEX(Patients!$B$2:$B$501,MATCH(B219,Patients!$A$2:$A$501,0))&amp;"",""))</f>
        <v/>
      </c>
      <c r="D219" s="1"/>
      <c r="E219" s="28"/>
      <c r="F219" s="1"/>
      <c r="G219" s="1"/>
      <c r="H219" s="29"/>
      <c r="I219" s="1"/>
      <c r="J219" s="20" t="str">
        <f aca="false">IF(D219="","",IFERROR(INDEX(Settings!$C$49:$C$54,MATCH(D219,Settings!$A$49:$A$54,0)),0))</f>
        <v/>
      </c>
      <c r="K219" s="20" t="str">
        <f aca="false">IF(J219="","",IF(G219="",J219,J219*(1-IF(H219="",Settings!$B$6,H219))))</f>
        <v/>
      </c>
      <c r="L219" s="20" t="str">
        <f aca="false">IF(OR(J219="",G219=""),"",J219-K219)</f>
        <v/>
      </c>
      <c r="M219" s="1"/>
    </row>
    <row r="220" customFormat="false" ht="15" hidden="false" customHeight="false" outlineLevel="0" collapsed="false">
      <c r="A220" s="27"/>
      <c r="B220" s="1"/>
      <c r="C220" s="24" t="str">
        <f aca="false">IF(B220="","",IFERROR(INDEX(Patients!$B$2:$B$501,MATCH(B220,Patients!$A$2:$A$501,0))&amp;"",""))</f>
        <v/>
      </c>
      <c r="D220" s="1"/>
      <c r="E220" s="28"/>
      <c r="F220" s="1"/>
      <c r="G220" s="1"/>
      <c r="H220" s="29"/>
      <c r="I220" s="1"/>
      <c r="J220" s="20" t="str">
        <f aca="false">IF(D220="","",IFERROR(INDEX(Settings!$C$49:$C$54,MATCH(D220,Settings!$A$49:$A$54,0)),0))</f>
        <v/>
      </c>
      <c r="K220" s="20" t="str">
        <f aca="false">IF(J220="","",IF(G220="",J220,J220*(1-IF(H220="",Settings!$B$6,H220))))</f>
        <v/>
      </c>
      <c r="L220" s="20" t="str">
        <f aca="false">IF(OR(J220="",G220=""),"",J220-K220)</f>
        <v/>
      </c>
      <c r="M220" s="1"/>
    </row>
    <row r="221" customFormat="false" ht="15" hidden="false" customHeight="false" outlineLevel="0" collapsed="false">
      <c r="A221" s="27"/>
      <c r="B221" s="1"/>
      <c r="C221" s="24" t="str">
        <f aca="false">IF(B221="","",IFERROR(INDEX(Patients!$B$2:$B$501,MATCH(B221,Patients!$A$2:$A$501,0))&amp;"",""))</f>
        <v/>
      </c>
      <c r="D221" s="1"/>
      <c r="E221" s="28"/>
      <c r="F221" s="1"/>
      <c r="G221" s="1"/>
      <c r="H221" s="29"/>
      <c r="I221" s="1"/>
      <c r="J221" s="20" t="str">
        <f aca="false">IF(D221="","",IFERROR(INDEX(Settings!$C$49:$C$54,MATCH(D221,Settings!$A$49:$A$54,0)),0))</f>
        <v/>
      </c>
      <c r="K221" s="20" t="str">
        <f aca="false">IF(J221="","",IF(G221="",J221,J221*(1-IF(H221="",Settings!$B$6,H221))))</f>
        <v/>
      </c>
      <c r="L221" s="20" t="str">
        <f aca="false">IF(OR(J221="",G221=""),"",J221-K221)</f>
        <v/>
      </c>
      <c r="M221" s="1"/>
    </row>
    <row r="222" customFormat="false" ht="15" hidden="false" customHeight="false" outlineLevel="0" collapsed="false">
      <c r="A222" s="27"/>
      <c r="B222" s="1"/>
      <c r="C222" s="24" t="str">
        <f aca="false">IF(B222="","",IFERROR(INDEX(Patients!$B$2:$B$501,MATCH(B222,Patients!$A$2:$A$501,0))&amp;"",""))</f>
        <v/>
      </c>
      <c r="D222" s="1"/>
      <c r="E222" s="28"/>
      <c r="F222" s="1"/>
      <c r="G222" s="1"/>
      <c r="H222" s="29"/>
      <c r="I222" s="1"/>
      <c r="J222" s="20" t="str">
        <f aca="false">IF(D222="","",IFERROR(INDEX(Settings!$C$49:$C$54,MATCH(D222,Settings!$A$49:$A$54,0)),0))</f>
        <v/>
      </c>
      <c r="K222" s="20" t="str">
        <f aca="false">IF(J222="","",IF(G222="",J222,J222*(1-IF(H222="",Settings!$B$6,H222))))</f>
        <v/>
      </c>
      <c r="L222" s="20" t="str">
        <f aca="false">IF(OR(J222="",G222=""),"",J222-K222)</f>
        <v/>
      </c>
      <c r="M222" s="1"/>
    </row>
    <row r="223" customFormat="false" ht="15" hidden="false" customHeight="false" outlineLevel="0" collapsed="false">
      <c r="A223" s="27"/>
      <c r="B223" s="1"/>
      <c r="C223" s="24" t="str">
        <f aca="false">IF(B223="","",IFERROR(INDEX(Patients!$B$2:$B$501,MATCH(B223,Patients!$A$2:$A$501,0))&amp;"",""))</f>
        <v/>
      </c>
      <c r="D223" s="1"/>
      <c r="E223" s="28"/>
      <c r="F223" s="1"/>
      <c r="G223" s="1"/>
      <c r="H223" s="29"/>
      <c r="I223" s="1"/>
      <c r="J223" s="20" t="str">
        <f aca="false">IF(D223="","",IFERROR(INDEX(Settings!$C$49:$C$54,MATCH(D223,Settings!$A$49:$A$54,0)),0))</f>
        <v/>
      </c>
      <c r="K223" s="20" t="str">
        <f aca="false">IF(J223="","",IF(G223="",J223,J223*(1-IF(H223="",Settings!$B$6,H223))))</f>
        <v/>
      </c>
      <c r="L223" s="20" t="str">
        <f aca="false">IF(OR(J223="",G223=""),"",J223-K223)</f>
        <v/>
      </c>
      <c r="M223" s="1"/>
    </row>
    <row r="224" customFormat="false" ht="15" hidden="false" customHeight="false" outlineLevel="0" collapsed="false">
      <c r="A224" s="27"/>
      <c r="B224" s="1"/>
      <c r="C224" s="24" t="str">
        <f aca="false">IF(B224="","",IFERROR(INDEX(Patients!$B$2:$B$501,MATCH(B224,Patients!$A$2:$A$501,0))&amp;"",""))</f>
        <v/>
      </c>
      <c r="D224" s="1"/>
      <c r="E224" s="28"/>
      <c r="F224" s="1"/>
      <c r="G224" s="1"/>
      <c r="H224" s="29"/>
      <c r="I224" s="1"/>
      <c r="J224" s="20" t="str">
        <f aca="false">IF(D224="","",IFERROR(INDEX(Settings!$C$49:$C$54,MATCH(D224,Settings!$A$49:$A$54,0)),0))</f>
        <v/>
      </c>
      <c r="K224" s="20" t="str">
        <f aca="false">IF(J224="","",IF(G224="",J224,J224*(1-IF(H224="",Settings!$B$6,H224))))</f>
        <v/>
      </c>
      <c r="L224" s="20" t="str">
        <f aca="false">IF(OR(J224="",G224=""),"",J224-K224)</f>
        <v/>
      </c>
      <c r="M224" s="1"/>
    </row>
    <row r="225" customFormat="false" ht="15" hidden="false" customHeight="false" outlineLevel="0" collapsed="false">
      <c r="A225" s="27"/>
      <c r="B225" s="1"/>
      <c r="C225" s="24" t="str">
        <f aca="false">IF(B225="","",IFERROR(INDEX(Patients!$B$2:$B$501,MATCH(B225,Patients!$A$2:$A$501,0))&amp;"",""))</f>
        <v/>
      </c>
      <c r="D225" s="1"/>
      <c r="E225" s="28"/>
      <c r="F225" s="1"/>
      <c r="G225" s="1"/>
      <c r="H225" s="29"/>
      <c r="I225" s="1"/>
      <c r="J225" s="20" t="str">
        <f aca="false">IF(D225="","",IFERROR(INDEX(Settings!$C$49:$C$54,MATCH(D225,Settings!$A$49:$A$54,0)),0))</f>
        <v/>
      </c>
      <c r="K225" s="20" t="str">
        <f aca="false">IF(J225="","",IF(G225="",J225,J225*(1-IF(H225="",Settings!$B$6,H225))))</f>
        <v/>
      </c>
      <c r="L225" s="20" t="str">
        <f aca="false">IF(OR(J225="",G225=""),"",J225-K225)</f>
        <v/>
      </c>
      <c r="M225" s="1"/>
    </row>
    <row r="226" customFormat="false" ht="15" hidden="false" customHeight="false" outlineLevel="0" collapsed="false">
      <c r="A226" s="27"/>
      <c r="B226" s="1"/>
      <c r="C226" s="24" t="str">
        <f aca="false">IF(B226="","",IFERROR(INDEX(Patients!$B$2:$B$501,MATCH(B226,Patients!$A$2:$A$501,0))&amp;"",""))</f>
        <v/>
      </c>
      <c r="D226" s="1"/>
      <c r="E226" s="28"/>
      <c r="F226" s="1"/>
      <c r="G226" s="1"/>
      <c r="H226" s="29"/>
      <c r="I226" s="1"/>
      <c r="J226" s="20" t="str">
        <f aca="false">IF(D226="","",IFERROR(INDEX(Settings!$C$49:$C$54,MATCH(D226,Settings!$A$49:$A$54,0)),0))</f>
        <v/>
      </c>
      <c r="K226" s="20" t="str">
        <f aca="false">IF(J226="","",IF(G226="",J226,J226*(1-IF(H226="",Settings!$B$6,H226))))</f>
        <v/>
      </c>
      <c r="L226" s="20" t="str">
        <f aca="false">IF(OR(J226="",G226=""),"",J226-K226)</f>
        <v/>
      </c>
      <c r="M226" s="1"/>
    </row>
    <row r="227" customFormat="false" ht="15" hidden="false" customHeight="false" outlineLevel="0" collapsed="false">
      <c r="A227" s="27"/>
      <c r="B227" s="1"/>
      <c r="C227" s="24" t="str">
        <f aca="false">IF(B227="","",IFERROR(INDEX(Patients!$B$2:$B$501,MATCH(B227,Patients!$A$2:$A$501,0))&amp;"",""))</f>
        <v/>
      </c>
      <c r="D227" s="1"/>
      <c r="E227" s="28"/>
      <c r="F227" s="1"/>
      <c r="G227" s="1"/>
      <c r="H227" s="29"/>
      <c r="I227" s="1"/>
      <c r="J227" s="20" t="str">
        <f aca="false">IF(D227="","",IFERROR(INDEX(Settings!$C$49:$C$54,MATCH(D227,Settings!$A$49:$A$54,0)),0))</f>
        <v/>
      </c>
      <c r="K227" s="20" t="str">
        <f aca="false">IF(J227="","",IF(G227="",J227,J227*(1-IF(H227="",Settings!$B$6,H227))))</f>
        <v/>
      </c>
      <c r="L227" s="20" t="str">
        <f aca="false">IF(OR(J227="",G227=""),"",J227-K227)</f>
        <v/>
      </c>
      <c r="M227" s="1"/>
    </row>
    <row r="228" customFormat="false" ht="15" hidden="false" customHeight="false" outlineLevel="0" collapsed="false">
      <c r="A228" s="27"/>
      <c r="B228" s="1"/>
      <c r="C228" s="24" t="str">
        <f aca="false">IF(B228="","",IFERROR(INDEX(Patients!$B$2:$B$501,MATCH(B228,Patients!$A$2:$A$501,0))&amp;"",""))</f>
        <v/>
      </c>
      <c r="D228" s="1"/>
      <c r="E228" s="28"/>
      <c r="F228" s="1"/>
      <c r="G228" s="1"/>
      <c r="H228" s="29"/>
      <c r="I228" s="1"/>
      <c r="J228" s="20" t="str">
        <f aca="false">IF(D228="","",IFERROR(INDEX(Settings!$C$49:$C$54,MATCH(D228,Settings!$A$49:$A$54,0)),0))</f>
        <v/>
      </c>
      <c r="K228" s="20" t="str">
        <f aca="false">IF(J228="","",IF(G228="",J228,J228*(1-IF(H228="",Settings!$B$6,H228))))</f>
        <v/>
      </c>
      <c r="L228" s="20" t="str">
        <f aca="false">IF(OR(J228="",G228=""),"",J228-K228)</f>
        <v/>
      </c>
      <c r="M228" s="1"/>
    </row>
    <row r="229" customFormat="false" ht="15" hidden="false" customHeight="false" outlineLevel="0" collapsed="false">
      <c r="A229" s="27"/>
      <c r="B229" s="1"/>
      <c r="C229" s="24" t="str">
        <f aca="false">IF(B229="","",IFERROR(INDEX(Patients!$B$2:$B$501,MATCH(B229,Patients!$A$2:$A$501,0))&amp;"",""))</f>
        <v/>
      </c>
      <c r="D229" s="1"/>
      <c r="E229" s="28"/>
      <c r="F229" s="1"/>
      <c r="G229" s="1"/>
      <c r="H229" s="29"/>
      <c r="I229" s="1"/>
      <c r="J229" s="20" t="str">
        <f aca="false">IF(D229="","",IFERROR(INDEX(Settings!$C$49:$C$54,MATCH(D229,Settings!$A$49:$A$54,0)),0))</f>
        <v/>
      </c>
      <c r="K229" s="20" t="str">
        <f aca="false">IF(J229="","",IF(G229="",J229,J229*(1-IF(H229="",Settings!$B$6,H229))))</f>
        <v/>
      </c>
      <c r="L229" s="20" t="str">
        <f aca="false">IF(OR(J229="",G229=""),"",J229-K229)</f>
        <v/>
      </c>
      <c r="M229" s="1"/>
    </row>
    <row r="230" customFormat="false" ht="15" hidden="false" customHeight="false" outlineLevel="0" collapsed="false">
      <c r="A230" s="27"/>
      <c r="B230" s="1"/>
      <c r="C230" s="24" t="str">
        <f aca="false">IF(B230="","",IFERROR(INDEX(Patients!$B$2:$B$501,MATCH(B230,Patients!$A$2:$A$501,0))&amp;"",""))</f>
        <v/>
      </c>
      <c r="D230" s="1"/>
      <c r="E230" s="28"/>
      <c r="F230" s="1"/>
      <c r="G230" s="1"/>
      <c r="H230" s="29"/>
      <c r="I230" s="1"/>
      <c r="J230" s="20" t="str">
        <f aca="false">IF(D230="","",IFERROR(INDEX(Settings!$C$49:$C$54,MATCH(D230,Settings!$A$49:$A$54,0)),0))</f>
        <v/>
      </c>
      <c r="K230" s="20" t="str">
        <f aca="false">IF(J230="","",IF(G230="",J230,J230*(1-IF(H230="",Settings!$B$6,H230))))</f>
        <v/>
      </c>
      <c r="L230" s="20" t="str">
        <f aca="false">IF(OR(J230="",G230=""),"",J230-K230)</f>
        <v/>
      </c>
      <c r="M230" s="1"/>
    </row>
    <row r="231" customFormat="false" ht="15" hidden="false" customHeight="false" outlineLevel="0" collapsed="false">
      <c r="A231" s="27"/>
      <c r="B231" s="1"/>
      <c r="C231" s="24" t="str">
        <f aca="false">IF(B231="","",IFERROR(INDEX(Patients!$B$2:$B$501,MATCH(B231,Patients!$A$2:$A$501,0))&amp;"",""))</f>
        <v/>
      </c>
      <c r="D231" s="1"/>
      <c r="E231" s="28"/>
      <c r="F231" s="1"/>
      <c r="G231" s="1"/>
      <c r="H231" s="29"/>
      <c r="I231" s="1"/>
      <c r="J231" s="20" t="str">
        <f aca="false">IF(D231="","",IFERROR(INDEX(Settings!$C$49:$C$54,MATCH(D231,Settings!$A$49:$A$54,0)),0))</f>
        <v/>
      </c>
      <c r="K231" s="20" t="str">
        <f aca="false">IF(J231="","",IF(G231="",J231,J231*(1-IF(H231="",Settings!$B$6,H231))))</f>
        <v/>
      </c>
      <c r="L231" s="20" t="str">
        <f aca="false">IF(OR(J231="",G231=""),"",J231-K231)</f>
        <v/>
      </c>
      <c r="M231" s="1"/>
    </row>
    <row r="232" customFormat="false" ht="15" hidden="false" customHeight="false" outlineLevel="0" collapsed="false">
      <c r="A232" s="27"/>
      <c r="B232" s="1"/>
      <c r="C232" s="24" t="str">
        <f aca="false">IF(B232="","",IFERROR(INDEX(Patients!$B$2:$B$501,MATCH(B232,Patients!$A$2:$A$501,0))&amp;"",""))</f>
        <v/>
      </c>
      <c r="D232" s="1"/>
      <c r="E232" s="28"/>
      <c r="F232" s="1"/>
      <c r="G232" s="1"/>
      <c r="H232" s="29"/>
      <c r="I232" s="1"/>
      <c r="J232" s="20" t="str">
        <f aca="false">IF(D232="","",IFERROR(INDEX(Settings!$C$49:$C$54,MATCH(D232,Settings!$A$49:$A$54,0)),0))</f>
        <v/>
      </c>
      <c r="K232" s="20" t="str">
        <f aca="false">IF(J232="","",IF(G232="",J232,J232*(1-IF(H232="",Settings!$B$6,H232))))</f>
        <v/>
      </c>
      <c r="L232" s="20" t="str">
        <f aca="false">IF(OR(J232="",G232=""),"",J232-K232)</f>
        <v/>
      </c>
      <c r="M232" s="1"/>
    </row>
    <row r="233" customFormat="false" ht="15" hidden="false" customHeight="false" outlineLevel="0" collapsed="false">
      <c r="A233" s="27"/>
      <c r="B233" s="1"/>
      <c r="C233" s="24" t="str">
        <f aca="false">IF(B233="","",IFERROR(INDEX(Patients!$B$2:$B$501,MATCH(B233,Patients!$A$2:$A$501,0))&amp;"",""))</f>
        <v/>
      </c>
      <c r="D233" s="1"/>
      <c r="E233" s="28"/>
      <c r="F233" s="1"/>
      <c r="G233" s="1"/>
      <c r="H233" s="29"/>
      <c r="I233" s="1"/>
      <c r="J233" s="20" t="str">
        <f aca="false">IF(D233="","",IFERROR(INDEX(Settings!$C$49:$C$54,MATCH(D233,Settings!$A$49:$A$54,0)),0))</f>
        <v/>
      </c>
      <c r="K233" s="20" t="str">
        <f aca="false">IF(J233="","",IF(G233="",J233,J233*(1-IF(H233="",Settings!$B$6,H233))))</f>
        <v/>
      </c>
      <c r="L233" s="20" t="str">
        <f aca="false">IF(OR(J233="",G233=""),"",J233-K233)</f>
        <v/>
      </c>
      <c r="M233" s="1"/>
    </row>
    <row r="234" customFormat="false" ht="15" hidden="false" customHeight="false" outlineLevel="0" collapsed="false">
      <c r="A234" s="27"/>
      <c r="B234" s="1"/>
      <c r="C234" s="24" t="str">
        <f aca="false">IF(B234="","",IFERROR(INDEX(Patients!$B$2:$B$501,MATCH(B234,Patients!$A$2:$A$501,0))&amp;"",""))</f>
        <v/>
      </c>
      <c r="D234" s="1"/>
      <c r="E234" s="28"/>
      <c r="F234" s="1"/>
      <c r="G234" s="1"/>
      <c r="H234" s="29"/>
      <c r="I234" s="1"/>
      <c r="J234" s="20" t="str">
        <f aca="false">IF(D234="","",IFERROR(INDEX(Settings!$C$49:$C$54,MATCH(D234,Settings!$A$49:$A$54,0)),0))</f>
        <v/>
      </c>
      <c r="K234" s="20" t="str">
        <f aca="false">IF(J234="","",IF(G234="",J234,J234*(1-IF(H234="",Settings!$B$6,H234))))</f>
        <v/>
      </c>
      <c r="L234" s="20" t="str">
        <f aca="false">IF(OR(J234="",G234=""),"",J234-K234)</f>
        <v/>
      </c>
      <c r="M234" s="1"/>
    </row>
    <row r="235" customFormat="false" ht="15" hidden="false" customHeight="false" outlineLevel="0" collapsed="false">
      <c r="A235" s="27"/>
      <c r="B235" s="1"/>
      <c r="C235" s="24" t="str">
        <f aca="false">IF(B235="","",IFERROR(INDEX(Patients!$B$2:$B$501,MATCH(B235,Patients!$A$2:$A$501,0))&amp;"",""))</f>
        <v/>
      </c>
      <c r="D235" s="1"/>
      <c r="E235" s="28"/>
      <c r="F235" s="1"/>
      <c r="G235" s="1"/>
      <c r="H235" s="29"/>
      <c r="I235" s="1"/>
      <c r="J235" s="20" t="str">
        <f aca="false">IF(D235="","",IFERROR(INDEX(Settings!$C$49:$C$54,MATCH(D235,Settings!$A$49:$A$54,0)),0))</f>
        <v/>
      </c>
      <c r="K235" s="20" t="str">
        <f aca="false">IF(J235="","",IF(G235="",J235,J235*(1-IF(H235="",Settings!$B$6,H235))))</f>
        <v/>
      </c>
      <c r="L235" s="20" t="str">
        <f aca="false">IF(OR(J235="",G235=""),"",J235-K235)</f>
        <v/>
      </c>
      <c r="M235" s="1"/>
    </row>
    <row r="236" customFormat="false" ht="15" hidden="false" customHeight="false" outlineLevel="0" collapsed="false">
      <c r="A236" s="27"/>
      <c r="B236" s="1"/>
      <c r="C236" s="24" t="str">
        <f aca="false">IF(B236="","",IFERROR(INDEX(Patients!$B$2:$B$501,MATCH(B236,Patients!$A$2:$A$501,0))&amp;"",""))</f>
        <v/>
      </c>
      <c r="D236" s="1"/>
      <c r="E236" s="28"/>
      <c r="F236" s="1"/>
      <c r="G236" s="1"/>
      <c r="H236" s="29"/>
      <c r="I236" s="1"/>
      <c r="J236" s="20" t="str">
        <f aca="false">IF(D236="","",IFERROR(INDEX(Settings!$C$49:$C$54,MATCH(D236,Settings!$A$49:$A$54,0)),0))</f>
        <v/>
      </c>
      <c r="K236" s="20" t="str">
        <f aca="false">IF(J236="","",IF(G236="",J236,J236*(1-IF(H236="",Settings!$B$6,H236))))</f>
        <v/>
      </c>
      <c r="L236" s="20" t="str">
        <f aca="false">IF(OR(J236="",G236=""),"",J236-K236)</f>
        <v/>
      </c>
      <c r="M236" s="1"/>
    </row>
    <row r="237" customFormat="false" ht="15" hidden="false" customHeight="false" outlineLevel="0" collapsed="false">
      <c r="A237" s="27"/>
      <c r="B237" s="1"/>
      <c r="C237" s="24" t="str">
        <f aca="false">IF(B237="","",IFERROR(INDEX(Patients!$B$2:$B$501,MATCH(B237,Patients!$A$2:$A$501,0))&amp;"",""))</f>
        <v/>
      </c>
      <c r="D237" s="1"/>
      <c r="E237" s="28"/>
      <c r="F237" s="1"/>
      <c r="G237" s="1"/>
      <c r="H237" s="29"/>
      <c r="I237" s="1"/>
      <c r="J237" s="20" t="str">
        <f aca="false">IF(D237="","",IFERROR(INDEX(Settings!$C$49:$C$54,MATCH(D237,Settings!$A$49:$A$54,0)),0))</f>
        <v/>
      </c>
      <c r="K237" s="20" t="str">
        <f aca="false">IF(J237="","",IF(G237="",J237,J237*(1-IF(H237="",Settings!$B$6,H237))))</f>
        <v/>
      </c>
      <c r="L237" s="20" t="str">
        <f aca="false">IF(OR(J237="",G237=""),"",J237-K237)</f>
        <v/>
      </c>
      <c r="M237" s="1"/>
    </row>
    <row r="238" customFormat="false" ht="15" hidden="false" customHeight="false" outlineLevel="0" collapsed="false">
      <c r="A238" s="27"/>
      <c r="B238" s="1"/>
      <c r="C238" s="24" t="str">
        <f aca="false">IF(B238="","",IFERROR(INDEX(Patients!$B$2:$B$501,MATCH(B238,Patients!$A$2:$A$501,0))&amp;"",""))</f>
        <v/>
      </c>
      <c r="D238" s="1"/>
      <c r="E238" s="28"/>
      <c r="F238" s="1"/>
      <c r="G238" s="1"/>
      <c r="H238" s="29"/>
      <c r="I238" s="1"/>
      <c r="J238" s="20" t="str">
        <f aca="false">IF(D238="","",IFERROR(INDEX(Settings!$C$49:$C$54,MATCH(D238,Settings!$A$49:$A$54,0)),0))</f>
        <v/>
      </c>
      <c r="K238" s="20" t="str">
        <f aca="false">IF(J238="","",IF(G238="",J238,J238*(1-IF(H238="",Settings!$B$6,H238))))</f>
        <v/>
      </c>
      <c r="L238" s="20" t="str">
        <f aca="false">IF(OR(J238="",G238=""),"",J238-K238)</f>
        <v/>
      </c>
      <c r="M238" s="1"/>
    </row>
    <row r="239" customFormat="false" ht="15" hidden="false" customHeight="false" outlineLevel="0" collapsed="false">
      <c r="A239" s="27"/>
      <c r="B239" s="1"/>
      <c r="C239" s="24" t="str">
        <f aca="false">IF(B239="","",IFERROR(INDEX(Patients!$B$2:$B$501,MATCH(B239,Patients!$A$2:$A$501,0))&amp;"",""))</f>
        <v/>
      </c>
      <c r="D239" s="1"/>
      <c r="E239" s="28"/>
      <c r="F239" s="1"/>
      <c r="G239" s="1"/>
      <c r="H239" s="29"/>
      <c r="I239" s="1"/>
      <c r="J239" s="20" t="str">
        <f aca="false">IF(D239="","",IFERROR(INDEX(Settings!$C$49:$C$54,MATCH(D239,Settings!$A$49:$A$54,0)),0))</f>
        <v/>
      </c>
      <c r="K239" s="20" t="str">
        <f aca="false">IF(J239="","",IF(G239="",J239,J239*(1-IF(H239="",Settings!$B$6,H239))))</f>
        <v/>
      </c>
      <c r="L239" s="20" t="str">
        <f aca="false">IF(OR(J239="",G239=""),"",J239-K239)</f>
        <v/>
      </c>
      <c r="M239" s="1"/>
    </row>
    <row r="240" customFormat="false" ht="15" hidden="false" customHeight="false" outlineLevel="0" collapsed="false">
      <c r="A240" s="27"/>
      <c r="B240" s="1"/>
      <c r="C240" s="24" t="str">
        <f aca="false">IF(B240="","",IFERROR(INDEX(Patients!$B$2:$B$501,MATCH(B240,Patients!$A$2:$A$501,0))&amp;"",""))</f>
        <v/>
      </c>
      <c r="D240" s="1"/>
      <c r="E240" s="28"/>
      <c r="F240" s="1"/>
      <c r="G240" s="1"/>
      <c r="H240" s="29"/>
      <c r="I240" s="1"/>
      <c r="J240" s="20" t="str">
        <f aca="false">IF(D240="","",IFERROR(INDEX(Settings!$C$49:$C$54,MATCH(D240,Settings!$A$49:$A$54,0)),0))</f>
        <v/>
      </c>
      <c r="K240" s="20" t="str">
        <f aca="false">IF(J240="","",IF(G240="",J240,J240*(1-IF(H240="",Settings!$B$6,H240))))</f>
        <v/>
      </c>
      <c r="L240" s="20" t="str">
        <f aca="false">IF(OR(J240="",G240=""),"",J240-K240)</f>
        <v/>
      </c>
      <c r="M240" s="1"/>
    </row>
    <row r="241" customFormat="false" ht="15" hidden="false" customHeight="false" outlineLevel="0" collapsed="false">
      <c r="A241" s="27"/>
      <c r="B241" s="1"/>
      <c r="C241" s="24" t="str">
        <f aca="false">IF(B241="","",IFERROR(INDEX(Patients!$B$2:$B$501,MATCH(B241,Patients!$A$2:$A$501,0))&amp;"",""))</f>
        <v/>
      </c>
      <c r="D241" s="1"/>
      <c r="E241" s="28"/>
      <c r="F241" s="1"/>
      <c r="G241" s="1"/>
      <c r="H241" s="29"/>
      <c r="I241" s="1"/>
      <c r="J241" s="20" t="str">
        <f aca="false">IF(D241="","",IFERROR(INDEX(Settings!$C$49:$C$54,MATCH(D241,Settings!$A$49:$A$54,0)),0))</f>
        <v/>
      </c>
      <c r="K241" s="20" t="str">
        <f aca="false">IF(J241="","",IF(G241="",J241,J241*(1-IF(H241="",Settings!$B$6,H241))))</f>
        <v/>
      </c>
      <c r="L241" s="20" t="str">
        <f aca="false">IF(OR(J241="",G241=""),"",J241-K241)</f>
        <v/>
      </c>
      <c r="M241" s="1"/>
    </row>
    <row r="242" customFormat="false" ht="15" hidden="false" customHeight="false" outlineLevel="0" collapsed="false">
      <c r="A242" s="27"/>
      <c r="B242" s="1"/>
      <c r="C242" s="24" t="str">
        <f aca="false">IF(B242="","",IFERROR(INDEX(Patients!$B$2:$B$501,MATCH(B242,Patients!$A$2:$A$501,0))&amp;"",""))</f>
        <v/>
      </c>
      <c r="D242" s="1"/>
      <c r="E242" s="28"/>
      <c r="F242" s="1"/>
      <c r="G242" s="1"/>
      <c r="H242" s="29"/>
      <c r="I242" s="1"/>
      <c r="J242" s="20" t="str">
        <f aca="false">IF(D242="","",IFERROR(INDEX(Settings!$C$49:$C$54,MATCH(D242,Settings!$A$49:$A$54,0)),0))</f>
        <v/>
      </c>
      <c r="K242" s="20" t="str">
        <f aca="false">IF(J242="","",IF(G242="",J242,J242*(1-IF(H242="",Settings!$B$6,H242))))</f>
        <v/>
      </c>
      <c r="L242" s="20" t="str">
        <f aca="false">IF(OR(J242="",G242=""),"",J242-K242)</f>
        <v/>
      </c>
      <c r="M242" s="1"/>
    </row>
    <row r="243" customFormat="false" ht="15" hidden="false" customHeight="false" outlineLevel="0" collapsed="false">
      <c r="A243" s="27"/>
      <c r="B243" s="1"/>
      <c r="C243" s="24" t="str">
        <f aca="false">IF(B243="","",IFERROR(INDEX(Patients!$B$2:$B$501,MATCH(B243,Patients!$A$2:$A$501,0))&amp;"",""))</f>
        <v/>
      </c>
      <c r="D243" s="1"/>
      <c r="E243" s="28"/>
      <c r="F243" s="1"/>
      <c r="G243" s="1"/>
      <c r="H243" s="29"/>
      <c r="I243" s="1"/>
      <c r="J243" s="20" t="str">
        <f aca="false">IF(D243="","",IFERROR(INDEX(Settings!$C$49:$C$54,MATCH(D243,Settings!$A$49:$A$54,0)),0))</f>
        <v/>
      </c>
      <c r="K243" s="20" t="str">
        <f aca="false">IF(J243="","",IF(G243="",J243,J243*(1-IF(H243="",Settings!$B$6,H243))))</f>
        <v/>
      </c>
      <c r="L243" s="20" t="str">
        <f aca="false">IF(OR(J243="",G243=""),"",J243-K243)</f>
        <v/>
      </c>
      <c r="M243" s="1"/>
    </row>
    <row r="244" customFormat="false" ht="15" hidden="false" customHeight="false" outlineLevel="0" collapsed="false">
      <c r="A244" s="27"/>
      <c r="B244" s="1"/>
      <c r="C244" s="24" t="str">
        <f aca="false">IF(B244="","",IFERROR(INDEX(Patients!$B$2:$B$501,MATCH(B244,Patients!$A$2:$A$501,0))&amp;"",""))</f>
        <v/>
      </c>
      <c r="D244" s="1"/>
      <c r="E244" s="28"/>
      <c r="F244" s="1"/>
      <c r="G244" s="1"/>
      <c r="H244" s="29"/>
      <c r="I244" s="1"/>
      <c r="J244" s="20" t="str">
        <f aca="false">IF(D244="","",IFERROR(INDEX(Settings!$C$49:$C$54,MATCH(D244,Settings!$A$49:$A$54,0)),0))</f>
        <v/>
      </c>
      <c r="K244" s="20" t="str">
        <f aca="false">IF(J244="","",IF(G244="",J244,J244*(1-IF(H244="",Settings!$B$6,H244))))</f>
        <v/>
      </c>
      <c r="L244" s="20" t="str">
        <f aca="false">IF(OR(J244="",G244=""),"",J244-K244)</f>
        <v/>
      </c>
      <c r="M244" s="1"/>
    </row>
    <row r="245" customFormat="false" ht="15" hidden="false" customHeight="false" outlineLevel="0" collapsed="false">
      <c r="A245" s="27"/>
      <c r="B245" s="1"/>
      <c r="C245" s="24" t="str">
        <f aca="false">IF(B245="","",IFERROR(INDEX(Patients!$B$2:$B$501,MATCH(B245,Patients!$A$2:$A$501,0))&amp;"",""))</f>
        <v/>
      </c>
      <c r="D245" s="1"/>
      <c r="E245" s="28"/>
      <c r="F245" s="1"/>
      <c r="G245" s="1"/>
      <c r="H245" s="29"/>
      <c r="I245" s="1"/>
      <c r="J245" s="20" t="str">
        <f aca="false">IF(D245="","",IFERROR(INDEX(Settings!$C$49:$C$54,MATCH(D245,Settings!$A$49:$A$54,0)),0))</f>
        <v/>
      </c>
      <c r="K245" s="20" t="str">
        <f aca="false">IF(J245="","",IF(G245="",J245,J245*(1-IF(H245="",Settings!$B$6,H245))))</f>
        <v/>
      </c>
      <c r="L245" s="20" t="str">
        <f aca="false">IF(OR(J245="",G245=""),"",J245-K245)</f>
        <v/>
      </c>
      <c r="M245" s="1"/>
    </row>
    <row r="246" customFormat="false" ht="15" hidden="false" customHeight="false" outlineLevel="0" collapsed="false">
      <c r="A246" s="27"/>
      <c r="B246" s="1"/>
      <c r="C246" s="24" t="str">
        <f aca="false">IF(B246="","",IFERROR(INDEX(Patients!$B$2:$B$501,MATCH(B246,Patients!$A$2:$A$501,0))&amp;"",""))</f>
        <v/>
      </c>
      <c r="D246" s="1"/>
      <c r="E246" s="28"/>
      <c r="F246" s="1"/>
      <c r="G246" s="1"/>
      <c r="H246" s="29"/>
      <c r="I246" s="1"/>
      <c r="J246" s="20" t="str">
        <f aca="false">IF(D246="","",IFERROR(INDEX(Settings!$C$49:$C$54,MATCH(D246,Settings!$A$49:$A$54,0)),0))</f>
        <v/>
      </c>
      <c r="K246" s="20" t="str">
        <f aca="false">IF(J246="","",IF(G246="",J246,J246*(1-IF(H246="",Settings!$B$6,H246))))</f>
        <v/>
      </c>
      <c r="L246" s="20" t="str">
        <f aca="false">IF(OR(J246="",G246=""),"",J246-K246)</f>
        <v/>
      </c>
      <c r="M246" s="1"/>
    </row>
    <row r="247" customFormat="false" ht="15" hidden="false" customHeight="false" outlineLevel="0" collapsed="false">
      <c r="A247" s="27"/>
      <c r="B247" s="1"/>
      <c r="C247" s="24" t="str">
        <f aca="false">IF(B247="","",IFERROR(INDEX(Patients!$B$2:$B$501,MATCH(B247,Patients!$A$2:$A$501,0))&amp;"",""))</f>
        <v/>
      </c>
      <c r="D247" s="1"/>
      <c r="E247" s="28"/>
      <c r="F247" s="1"/>
      <c r="G247" s="1"/>
      <c r="H247" s="29"/>
      <c r="I247" s="1"/>
      <c r="J247" s="20" t="str">
        <f aca="false">IF(D247="","",IFERROR(INDEX(Settings!$C$49:$C$54,MATCH(D247,Settings!$A$49:$A$54,0)),0))</f>
        <v/>
      </c>
      <c r="K247" s="20" t="str">
        <f aca="false">IF(J247="","",IF(G247="",J247,J247*(1-IF(H247="",Settings!$B$6,H247))))</f>
        <v/>
      </c>
      <c r="L247" s="20" t="str">
        <f aca="false">IF(OR(J247="",G247=""),"",J247-K247)</f>
        <v/>
      </c>
      <c r="M247" s="1"/>
    </row>
    <row r="248" customFormat="false" ht="15" hidden="false" customHeight="false" outlineLevel="0" collapsed="false">
      <c r="A248" s="27"/>
      <c r="B248" s="1"/>
      <c r="C248" s="24" t="str">
        <f aca="false">IF(B248="","",IFERROR(INDEX(Patients!$B$2:$B$501,MATCH(B248,Patients!$A$2:$A$501,0))&amp;"",""))</f>
        <v/>
      </c>
      <c r="D248" s="1"/>
      <c r="E248" s="28"/>
      <c r="F248" s="1"/>
      <c r="G248" s="1"/>
      <c r="H248" s="29"/>
      <c r="I248" s="1"/>
      <c r="J248" s="20" t="str">
        <f aca="false">IF(D248="","",IFERROR(INDEX(Settings!$C$49:$C$54,MATCH(D248,Settings!$A$49:$A$54,0)),0))</f>
        <v/>
      </c>
      <c r="K248" s="20" t="str">
        <f aca="false">IF(J248="","",IF(G248="",J248,J248*(1-IF(H248="",Settings!$B$6,H248))))</f>
        <v/>
      </c>
      <c r="L248" s="20" t="str">
        <f aca="false">IF(OR(J248="",G248=""),"",J248-K248)</f>
        <v/>
      </c>
      <c r="M248" s="1"/>
    </row>
    <row r="249" customFormat="false" ht="15" hidden="false" customHeight="false" outlineLevel="0" collapsed="false">
      <c r="A249" s="27"/>
      <c r="B249" s="1"/>
      <c r="C249" s="24" t="str">
        <f aca="false">IF(B249="","",IFERROR(INDEX(Patients!$B$2:$B$501,MATCH(B249,Patients!$A$2:$A$501,0))&amp;"",""))</f>
        <v/>
      </c>
      <c r="D249" s="1"/>
      <c r="E249" s="28"/>
      <c r="F249" s="1"/>
      <c r="G249" s="1"/>
      <c r="H249" s="29"/>
      <c r="I249" s="1"/>
      <c r="J249" s="20" t="str">
        <f aca="false">IF(D249="","",IFERROR(INDEX(Settings!$C$49:$C$54,MATCH(D249,Settings!$A$49:$A$54,0)),0))</f>
        <v/>
      </c>
      <c r="K249" s="20" t="str">
        <f aca="false">IF(J249="","",IF(G249="",J249,J249*(1-IF(H249="",Settings!$B$6,H249))))</f>
        <v/>
      </c>
      <c r="L249" s="20" t="str">
        <f aca="false">IF(OR(J249="",G249=""),"",J249-K249)</f>
        <v/>
      </c>
      <c r="M249" s="1"/>
    </row>
    <row r="250" customFormat="false" ht="15" hidden="false" customHeight="false" outlineLevel="0" collapsed="false">
      <c r="A250" s="27"/>
      <c r="B250" s="1"/>
      <c r="C250" s="24" t="str">
        <f aca="false">IF(B250="","",IFERROR(INDEX(Patients!$B$2:$B$501,MATCH(B250,Patients!$A$2:$A$501,0))&amp;"",""))</f>
        <v/>
      </c>
      <c r="D250" s="1"/>
      <c r="E250" s="28"/>
      <c r="F250" s="1"/>
      <c r="G250" s="1"/>
      <c r="H250" s="29"/>
      <c r="I250" s="1"/>
      <c r="J250" s="20" t="str">
        <f aca="false">IF(D250="","",IFERROR(INDEX(Settings!$C$49:$C$54,MATCH(D250,Settings!$A$49:$A$54,0)),0))</f>
        <v/>
      </c>
      <c r="K250" s="20" t="str">
        <f aca="false">IF(J250="","",IF(G250="",J250,J250*(1-IF(H250="",Settings!$B$6,H250))))</f>
        <v/>
      </c>
      <c r="L250" s="20" t="str">
        <f aca="false">IF(OR(J250="",G250=""),"",J250-K250)</f>
        <v/>
      </c>
      <c r="M250" s="1"/>
    </row>
    <row r="251" customFormat="false" ht="15" hidden="false" customHeight="false" outlineLevel="0" collapsed="false">
      <c r="A251" s="27"/>
      <c r="B251" s="1"/>
      <c r="C251" s="24" t="str">
        <f aca="false">IF(B251="","",IFERROR(INDEX(Patients!$B$2:$B$501,MATCH(B251,Patients!$A$2:$A$501,0))&amp;"",""))</f>
        <v/>
      </c>
      <c r="D251" s="1"/>
      <c r="E251" s="28"/>
      <c r="F251" s="1"/>
      <c r="G251" s="1"/>
      <c r="H251" s="29"/>
      <c r="I251" s="1"/>
      <c r="J251" s="20" t="str">
        <f aca="false">IF(D251="","",IFERROR(INDEX(Settings!$C$49:$C$54,MATCH(D251,Settings!$A$49:$A$54,0)),0))</f>
        <v/>
      </c>
      <c r="K251" s="20" t="str">
        <f aca="false">IF(J251="","",IF(G251="",J251,J251*(1-IF(H251="",Settings!$B$6,H251))))</f>
        <v/>
      </c>
      <c r="L251" s="20" t="str">
        <f aca="false">IF(OR(J251="",G251=""),"",J251-K251)</f>
        <v/>
      </c>
      <c r="M251" s="1"/>
    </row>
    <row r="252" customFormat="false" ht="15" hidden="false" customHeight="false" outlineLevel="0" collapsed="false">
      <c r="A252" s="27"/>
      <c r="B252" s="1"/>
      <c r="C252" s="24" t="str">
        <f aca="false">IF(B252="","",IFERROR(INDEX(Patients!$B$2:$B$501,MATCH(B252,Patients!$A$2:$A$501,0))&amp;"",""))</f>
        <v/>
      </c>
      <c r="D252" s="1"/>
      <c r="E252" s="28"/>
      <c r="F252" s="1"/>
      <c r="G252" s="1"/>
      <c r="H252" s="29"/>
      <c r="I252" s="1"/>
      <c r="J252" s="20" t="str">
        <f aca="false">IF(D252="","",IFERROR(INDEX(Settings!$C$49:$C$54,MATCH(D252,Settings!$A$49:$A$54,0)),0))</f>
        <v/>
      </c>
      <c r="K252" s="20" t="str">
        <f aca="false">IF(J252="","",IF(G252="",J252,J252*(1-IF(H252="",Settings!$B$6,H252))))</f>
        <v/>
      </c>
      <c r="L252" s="20" t="str">
        <f aca="false">IF(OR(J252="",G252=""),"",J252-K252)</f>
        <v/>
      </c>
      <c r="M252" s="1"/>
    </row>
    <row r="253" customFormat="false" ht="15" hidden="false" customHeight="false" outlineLevel="0" collapsed="false">
      <c r="A253" s="27"/>
      <c r="B253" s="1"/>
      <c r="C253" s="24" t="str">
        <f aca="false">IF(B253="","",IFERROR(INDEX(Patients!$B$2:$B$501,MATCH(B253,Patients!$A$2:$A$501,0))&amp;"",""))</f>
        <v/>
      </c>
      <c r="D253" s="1"/>
      <c r="E253" s="28"/>
      <c r="F253" s="1"/>
      <c r="G253" s="1"/>
      <c r="H253" s="29"/>
      <c r="I253" s="1"/>
      <c r="J253" s="20" t="str">
        <f aca="false">IF(D253="","",IFERROR(INDEX(Settings!$C$49:$C$54,MATCH(D253,Settings!$A$49:$A$54,0)),0))</f>
        <v/>
      </c>
      <c r="K253" s="20" t="str">
        <f aca="false">IF(J253="","",IF(G253="",J253,J253*(1-IF(H253="",Settings!$B$6,H253))))</f>
        <v/>
      </c>
      <c r="L253" s="20" t="str">
        <f aca="false">IF(OR(J253="",G253=""),"",J253-K253)</f>
        <v/>
      </c>
      <c r="M253" s="1"/>
    </row>
    <row r="254" customFormat="false" ht="15" hidden="false" customHeight="false" outlineLevel="0" collapsed="false">
      <c r="A254" s="27"/>
      <c r="B254" s="1"/>
      <c r="C254" s="24" t="str">
        <f aca="false">IF(B254="","",IFERROR(INDEX(Patients!$B$2:$B$501,MATCH(B254,Patients!$A$2:$A$501,0))&amp;"",""))</f>
        <v/>
      </c>
      <c r="D254" s="1"/>
      <c r="E254" s="28"/>
      <c r="F254" s="1"/>
      <c r="G254" s="1"/>
      <c r="H254" s="29"/>
      <c r="I254" s="1"/>
      <c r="J254" s="20" t="str">
        <f aca="false">IF(D254="","",IFERROR(INDEX(Settings!$C$49:$C$54,MATCH(D254,Settings!$A$49:$A$54,0)),0))</f>
        <v/>
      </c>
      <c r="K254" s="20" t="str">
        <f aca="false">IF(J254="","",IF(G254="",J254,J254*(1-IF(H254="",Settings!$B$6,H254))))</f>
        <v/>
      </c>
      <c r="L254" s="20" t="str">
        <f aca="false">IF(OR(J254="",G254=""),"",J254-K254)</f>
        <v/>
      </c>
      <c r="M254" s="1"/>
    </row>
    <row r="255" customFormat="false" ht="15" hidden="false" customHeight="false" outlineLevel="0" collapsed="false">
      <c r="A255" s="27"/>
      <c r="B255" s="1"/>
      <c r="C255" s="24" t="str">
        <f aca="false">IF(B255="","",IFERROR(INDEX(Patients!$B$2:$B$501,MATCH(B255,Patients!$A$2:$A$501,0))&amp;"",""))</f>
        <v/>
      </c>
      <c r="D255" s="1"/>
      <c r="E255" s="28"/>
      <c r="F255" s="1"/>
      <c r="G255" s="1"/>
      <c r="H255" s="29"/>
      <c r="I255" s="1"/>
      <c r="J255" s="20" t="str">
        <f aca="false">IF(D255="","",IFERROR(INDEX(Settings!$C$49:$C$54,MATCH(D255,Settings!$A$49:$A$54,0)),0))</f>
        <v/>
      </c>
      <c r="K255" s="20" t="str">
        <f aca="false">IF(J255="","",IF(G255="",J255,J255*(1-IF(H255="",Settings!$B$6,H255))))</f>
        <v/>
      </c>
      <c r="L255" s="20" t="str">
        <f aca="false">IF(OR(J255="",G255=""),"",J255-K255)</f>
        <v/>
      </c>
      <c r="M255" s="1"/>
    </row>
    <row r="256" customFormat="false" ht="15" hidden="false" customHeight="false" outlineLevel="0" collapsed="false">
      <c r="A256" s="27"/>
      <c r="B256" s="1"/>
      <c r="C256" s="24" t="str">
        <f aca="false">IF(B256="","",IFERROR(INDEX(Patients!$B$2:$B$501,MATCH(B256,Patients!$A$2:$A$501,0))&amp;"",""))</f>
        <v/>
      </c>
      <c r="D256" s="1"/>
      <c r="E256" s="28"/>
      <c r="F256" s="1"/>
      <c r="G256" s="1"/>
      <c r="H256" s="29"/>
      <c r="I256" s="1"/>
      <c r="J256" s="20" t="str">
        <f aca="false">IF(D256="","",IFERROR(INDEX(Settings!$C$49:$C$54,MATCH(D256,Settings!$A$49:$A$54,0)),0))</f>
        <v/>
      </c>
      <c r="K256" s="20" t="str">
        <f aca="false">IF(J256="","",IF(G256="",J256,J256*(1-IF(H256="",Settings!$B$6,H256))))</f>
        <v/>
      </c>
      <c r="L256" s="20" t="str">
        <f aca="false">IF(OR(J256="",G256=""),"",J256-K256)</f>
        <v/>
      </c>
      <c r="M256" s="1"/>
    </row>
    <row r="257" customFormat="false" ht="15" hidden="false" customHeight="false" outlineLevel="0" collapsed="false">
      <c r="A257" s="27"/>
      <c r="B257" s="1"/>
      <c r="C257" s="24" t="str">
        <f aca="false">IF(B257="","",IFERROR(INDEX(Patients!$B$2:$B$501,MATCH(B257,Patients!$A$2:$A$501,0))&amp;"",""))</f>
        <v/>
      </c>
      <c r="D257" s="1"/>
      <c r="E257" s="28"/>
      <c r="F257" s="1"/>
      <c r="G257" s="1"/>
      <c r="H257" s="29"/>
      <c r="I257" s="1"/>
      <c r="J257" s="20" t="str">
        <f aca="false">IF(D257="","",IFERROR(INDEX(Settings!$C$49:$C$54,MATCH(D257,Settings!$A$49:$A$54,0)),0))</f>
        <v/>
      </c>
      <c r="K257" s="20" t="str">
        <f aca="false">IF(J257="","",IF(G257="",J257,J257*(1-IF(H257="",Settings!$B$6,H257))))</f>
        <v/>
      </c>
      <c r="L257" s="20" t="str">
        <f aca="false">IF(OR(J257="",G257=""),"",J257-K257)</f>
        <v/>
      </c>
      <c r="M257" s="1"/>
    </row>
    <row r="258" customFormat="false" ht="15" hidden="false" customHeight="false" outlineLevel="0" collapsed="false">
      <c r="A258" s="27"/>
      <c r="B258" s="1"/>
      <c r="C258" s="24" t="str">
        <f aca="false">IF(B258="","",IFERROR(INDEX(Patients!$B$2:$B$501,MATCH(B258,Patients!$A$2:$A$501,0))&amp;"",""))</f>
        <v/>
      </c>
      <c r="D258" s="1"/>
      <c r="E258" s="28"/>
      <c r="F258" s="1"/>
      <c r="G258" s="1"/>
      <c r="H258" s="29"/>
      <c r="I258" s="1"/>
      <c r="J258" s="20" t="str">
        <f aca="false">IF(D258="","",IFERROR(INDEX(Settings!$C$49:$C$54,MATCH(D258,Settings!$A$49:$A$54,0)),0))</f>
        <v/>
      </c>
      <c r="K258" s="20" t="str">
        <f aca="false">IF(J258="","",IF(G258="",J258,J258*(1-IF(H258="",Settings!$B$6,H258))))</f>
        <v/>
      </c>
      <c r="L258" s="20" t="str">
        <f aca="false">IF(OR(J258="",G258=""),"",J258-K258)</f>
        <v/>
      </c>
      <c r="M258" s="1"/>
    </row>
    <row r="259" customFormat="false" ht="15" hidden="false" customHeight="false" outlineLevel="0" collapsed="false">
      <c r="A259" s="27"/>
      <c r="B259" s="1"/>
      <c r="C259" s="24" t="str">
        <f aca="false">IF(B259="","",IFERROR(INDEX(Patients!$B$2:$B$501,MATCH(B259,Patients!$A$2:$A$501,0))&amp;"",""))</f>
        <v/>
      </c>
      <c r="D259" s="1"/>
      <c r="E259" s="28"/>
      <c r="F259" s="1"/>
      <c r="G259" s="1"/>
      <c r="H259" s="29"/>
      <c r="I259" s="1"/>
      <c r="J259" s="20" t="str">
        <f aca="false">IF(D259="","",IFERROR(INDEX(Settings!$C$49:$C$54,MATCH(D259,Settings!$A$49:$A$54,0)),0))</f>
        <v/>
      </c>
      <c r="K259" s="20" t="str">
        <f aca="false">IF(J259="","",IF(G259="",J259,J259*(1-IF(H259="",Settings!$B$6,H259))))</f>
        <v/>
      </c>
      <c r="L259" s="20" t="str">
        <f aca="false">IF(OR(J259="",G259=""),"",J259-K259)</f>
        <v/>
      </c>
      <c r="M259" s="1"/>
    </row>
    <row r="260" customFormat="false" ht="15" hidden="false" customHeight="false" outlineLevel="0" collapsed="false">
      <c r="A260" s="27"/>
      <c r="B260" s="1"/>
      <c r="C260" s="24" t="str">
        <f aca="false">IF(B260="","",IFERROR(INDEX(Patients!$B$2:$B$501,MATCH(B260,Patients!$A$2:$A$501,0))&amp;"",""))</f>
        <v/>
      </c>
      <c r="D260" s="1"/>
      <c r="E260" s="28"/>
      <c r="F260" s="1"/>
      <c r="G260" s="1"/>
      <c r="H260" s="29"/>
      <c r="I260" s="1"/>
      <c r="J260" s="20" t="str">
        <f aca="false">IF(D260="","",IFERROR(INDEX(Settings!$C$49:$C$54,MATCH(D260,Settings!$A$49:$A$54,0)),0))</f>
        <v/>
      </c>
      <c r="K260" s="20" t="str">
        <f aca="false">IF(J260="","",IF(G260="",J260,J260*(1-IF(H260="",Settings!$B$6,H260))))</f>
        <v/>
      </c>
      <c r="L260" s="20" t="str">
        <f aca="false">IF(OR(J260="",G260=""),"",J260-K260)</f>
        <v/>
      </c>
      <c r="M260" s="1"/>
    </row>
    <row r="261" customFormat="false" ht="15" hidden="false" customHeight="false" outlineLevel="0" collapsed="false">
      <c r="A261" s="27"/>
      <c r="B261" s="1"/>
      <c r="C261" s="24" t="str">
        <f aca="false">IF(B261="","",IFERROR(INDEX(Patients!$B$2:$B$501,MATCH(B261,Patients!$A$2:$A$501,0))&amp;"",""))</f>
        <v/>
      </c>
      <c r="D261" s="1"/>
      <c r="E261" s="28"/>
      <c r="F261" s="1"/>
      <c r="G261" s="1"/>
      <c r="H261" s="29"/>
      <c r="I261" s="1"/>
      <c r="J261" s="20" t="str">
        <f aca="false">IF(D261="","",IFERROR(INDEX(Settings!$C$49:$C$54,MATCH(D261,Settings!$A$49:$A$54,0)),0))</f>
        <v/>
      </c>
      <c r="K261" s="20" t="str">
        <f aca="false">IF(J261="","",IF(G261="",J261,J261*(1-IF(H261="",Settings!$B$6,H261))))</f>
        <v/>
      </c>
      <c r="L261" s="20" t="str">
        <f aca="false">IF(OR(J261="",G261=""),"",J261-K261)</f>
        <v/>
      </c>
      <c r="M261" s="1"/>
    </row>
    <row r="262" customFormat="false" ht="15" hidden="false" customHeight="false" outlineLevel="0" collapsed="false">
      <c r="A262" s="27"/>
      <c r="B262" s="1"/>
      <c r="C262" s="24" t="str">
        <f aca="false">IF(B262="","",IFERROR(INDEX(Patients!$B$2:$B$501,MATCH(B262,Patients!$A$2:$A$501,0))&amp;"",""))</f>
        <v/>
      </c>
      <c r="D262" s="1"/>
      <c r="E262" s="28"/>
      <c r="F262" s="1"/>
      <c r="G262" s="1"/>
      <c r="H262" s="29"/>
      <c r="I262" s="1"/>
      <c r="J262" s="20" t="str">
        <f aca="false">IF(D262="","",IFERROR(INDEX(Settings!$C$49:$C$54,MATCH(D262,Settings!$A$49:$A$54,0)),0))</f>
        <v/>
      </c>
      <c r="K262" s="20" t="str">
        <f aca="false">IF(J262="","",IF(G262="",J262,J262*(1-IF(H262="",Settings!$B$6,H262))))</f>
        <v/>
      </c>
      <c r="L262" s="20" t="str">
        <f aca="false">IF(OR(J262="",G262=""),"",J262-K262)</f>
        <v/>
      </c>
      <c r="M262" s="1"/>
    </row>
    <row r="263" customFormat="false" ht="15" hidden="false" customHeight="false" outlineLevel="0" collapsed="false">
      <c r="A263" s="27"/>
      <c r="B263" s="1"/>
      <c r="C263" s="24" t="str">
        <f aca="false">IF(B263="","",IFERROR(INDEX(Patients!$B$2:$B$501,MATCH(B263,Patients!$A$2:$A$501,0))&amp;"",""))</f>
        <v/>
      </c>
      <c r="D263" s="1"/>
      <c r="E263" s="28"/>
      <c r="F263" s="1"/>
      <c r="G263" s="1"/>
      <c r="H263" s="29"/>
      <c r="I263" s="1"/>
      <c r="J263" s="20" t="str">
        <f aca="false">IF(D263="","",IFERROR(INDEX(Settings!$C$49:$C$54,MATCH(D263,Settings!$A$49:$A$54,0)),0))</f>
        <v/>
      </c>
      <c r="K263" s="20" t="str">
        <f aca="false">IF(J263="","",IF(G263="",J263,J263*(1-IF(H263="",Settings!$B$6,H263))))</f>
        <v/>
      </c>
      <c r="L263" s="20" t="str">
        <f aca="false">IF(OR(J263="",G263=""),"",J263-K263)</f>
        <v/>
      </c>
      <c r="M263" s="1"/>
    </row>
    <row r="264" customFormat="false" ht="15" hidden="false" customHeight="false" outlineLevel="0" collapsed="false">
      <c r="A264" s="27"/>
      <c r="B264" s="1"/>
      <c r="C264" s="24" t="str">
        <f aca="false">IF(B264="","",IFERROR(INDEX(Patients!$B$2:$B$501,MATCH(B264,Patients!$A$2:$A$501,0))&amp;"",""))</f>
        <v/>
      </c>
      <c r="D264" s="1"/>
      <c r="E264" s="28"/>
      <c r="F264" s="1"/>
      <c r="G264" s="1"/>
      <c r="H264" s="29"/>
      <c r="I264" s="1"/>
      <c r="J264" s="20" t="str">
        <f aca="false">IF(D264="","",IFERROR(INDEX(Settings!$C$49:$C$54,MATCH(D264,Settings!$A$49:$A$54,0)),0))</f>
        <v/>
      </c>
      <c r="K264" s="20" t="str">
        <f aca="false">IF(J264="","",IF(G264="",J264,J264*(1-IF(H264="",Settings!$B$6,H264))))</f>
        <v/>
      </c>
      <c r="L264" s="20" t="str">
        <f aca="false">IF(OR(J264="",G264=""),"",J264-K264)</f>
        <v/>
      </c>
      <c r="M264" s="1"/>
    </row>
    <row r="265" customFormat="false" ht="15" hidden="false" customHeight="false" outlineLevel="0" collapsed="false">
      <c r="A265" s="27"/>
      <c r="B265" s="1"/>
      <c r="C265" s="24" t="str">
        <f aca="false">IF(B265="","",IFERROR(INDEX(Patients!$B$2:$B$501,MATCH(B265,Patients!$A$2:$A$501,0))&amp;"",""))</f>
        <v/>
      </c>
      <c r="D265" s="1"/>
      <c r="E265" s="28"/>
      <c r="F265" s="1"/>
      <c r="G265" s="1"/>
      <c r="H265" s="29"/>
      <c r="I265" s="1"/>
      <c r="J265" s="20" t="str">
        <f aca="false">IF(D265="","",IFERROR(INDEX(Settings!$C$49:$C$54,MATCH(D265,Settings!$A$49:$A$54,0)),0))</f>
        <v/>
      </c>
      <c r="K265" s="20" t="str">
        <f aca="false">IF(J265="","",IF(G265="",J265,J265*(1-IF(H265="",Settings!$B$6,H265))))</f>
        <v/>
      </c>
      <c r="L265" s="20" t="str">
        <f aca="false">IF(OR(J265="",G265=""),"",J265-K265)</f>
        <v/>
      </c>
      <c r="M265" s="1"/>
    </row>
    <row r="266" customFormat="false" ht="15" hidden="false" customHeight="false" outlineLevel="0" collapsed="false">
      <c r="A266" s="27"/>
      <c r="B266" s="1"/>
      <c r="C266" s="24" t="str">
        <f aca="false">IF(B266="","",IFERROR(INDEX(Patients!$B$2:$B$501,MATCH(B266,Patients!$A$2:$A$501,0))&amp;"",""))</f>
        <v/>
      </c>
      <c r="D266" s="1"/>
      <c r="E266" s="28"/>
      <c r="F266" s="1"/>
      <c r="G266" s="1"/>
      <c r="H266" s="29"/>
      <c r="I266" s="1"/>
      <c r="J266" s="20" t="str">
        <f aca="false">IF(D266="","",IFERROR(INDEX(Settings!$C$49:$C$54,MATCH(D266,Settings!$A$49:$A$54,0)),0))</f>
        <v/>
      </c>
      <c r="K266" s="20" t="str">
        <f aca="false">IF(J266="","",IF(G266="",J266,J266*(1-IF(H266="",Settings!$B$6,H266))))</f>
        <v/>
      </c>
      <c r="L266" s="20" t="str">
        <f aca="false">IF(OR(J266="",G266=""),"",J266-K266)</f>
        <v/>
      </c>
      <c r="M266" s="1"/>
    </row>
    <row r="267" customFormat="false" ht="15" hidden="false" customHeight="false" outlineLevel="0" collapsed="false">
      <c r="A267" s="27"/>
      <c r="B267" s="1"/>
      <c r="C267" s="24" t="str">
        <f aca="false">IF(B267="","",IFERROR(INDEX(Patients!$B$2:$B$501,MATCH(B267,Patients!$A$2:$A$501,0))&amp;"",""))</f>
        <v/>
      </c>
      <c r="D267" s="1"/>
      <c r="E267" s="28"/>
      <c r="F267" s="1"/>
      <c r="G267" s="1"/>
      <c r="H267" s="29"/>
      <c r="I267" s="1"/>
      <c r="J267" s="20" t="str">
        <f aca="false">IF(D267="","",IFERROR(INDEX(Settings!$C$49:$C$54,MATCH(D267,Settings!$A$49:$A$54,0)),0))</f>
        <v/>
      </c>
      <c r="K267" s="20" t="str">
        <f aca="false">IF(J267="","",IF(G267="",J267,J267*(1-IF(H267="",Settings!$B$6,H267))))</f>
        <v/>
      </c>
      <c r="L267" s="20" t="str">
        <f aca="false">IF(OR(J267="",G267=""),"",J267-K267)</f>
        <v/>
      </c>
      <c r="M267" s="1"/>
    </row>
    <row r="268" customFormat="false" ht="15" hidden="false" customHeight="false" outlineLevel="0" collapsed="false">
      <c r="A268" s="27"/>
      <c r="B268" s="1"/>
      <c r="C268" s="24" t="str">
        <f aca="false">IF(B268="","",IFERROR(INDEX(Patients!$B$2:$B$501,MATCH(B268,Patients!$A$2:$A$501,0))&amp;"",""))</f>
        <v/>
      </c>
      <c r="D268" s="1"/>
      <c r="E268" s="28"/>
      <c r="F268" s="1"/>
      <c r="G268" s="1"/>
      <c r="H268" s="29"/>
      <c r="I268" s="1"/>
      <c r="J268" s="20" t="str">
        <f aca="false">IF(D268="","",IFERROR(INDEX(Settings!$C$49:$C$54,MATCH(D268,Settings!$A$49:$A$54,0)),0))</f>
        <v/>
      </c>
      <c r="K268" s="20" t="str">
        <f aca="false">IF(J268="","",IF(G268="",J268,J268*(1-IF(H268="",Settings!$B$6,H268))))</f>
        <v/>
      </c>
      <c r="L268" s="20" t="str">
        <f aca="false">IF(OR(J268="",G268=""),"",J268-K268)</f>
        <v/>
      </c>
      <c r="M268" s="1"/>
    </row>
    <row r="269" customFormat="false" ht="15" hidden="false" customHeight="false" outlineLevel="0" collapsed="false">
      <c r="A269" s="27"/>
      <c r="B269" s="1"/>
      <c r="C269" s="24" t="str">
        <f aca="false">IF(B269="","",IFERROR(INDEX(Patients!$B$2:$B$501,MATCH(B269,Patients!$A$2:$A$501,0))&amp;"",""))</f>
        <v/>
      </c>
      <c r="D269" s="1"/>
      <c r="E269" s="28"/>
      <c r="F269" s="1"/>
      <c r="G269" s="1"/>
      <c r="H269" s="29"/>
      <c r="I269" s="1"/>
      <c r="J269" s="20" t="str">
        <f aca="false">IF(D269="","",IFERROR(INDEX(Settings!$C$49:$C$54,MATCH(D269,Settings!$A$49:$A$54,0)),0))</f>
        <v/>
      </c>
      <c r="K269" s="20" t="str">
        <f aca="false">IF(J269="","",IF(G269="",J269,J269*(1-IF(H269="",Settings!$B$6,H269))))</f>
        <v/>
      </c>
      <c r="L269" s="20" t="str">
        <f aca="false">IF(OR(J269="",G269=""),"",J269-K269)</f>
        <v/>
      </c>
      <c r="M269" s="1"/>
    </row>
    <row r="270" customFormat="false" ht="15" hidden="false" customHeight="false" outlineLevel="0" collapsed="false">
      <c r="A270" s="27"/>
      <c r="B270" s="1"/>
      <c r="C270" s="24" t="str">
        <f aca="false">IF(B270="","",IFERROR(INDEX(Patients!$B$2:$B$501,MATCH(B270,Patients!$A$2:$A$501,0))&amp;"",""))</f>
        <v/>
      </c>
      <c r="D270" s="1"/>
      <c r="E270" s="28"/>
      <c r="F270" s="1"/>
      <c r="G270" s="1"/>
      <c r="H270" s="29"/>
      <c r="I270" s="1"/>
      <c r="J270" s="20" t="str">
        <f aca="false">IF(D270="","",IFERROR(INDEX(Settings!$C$49:$C$54,MATCH(D270,Settings!$A$49:$A$54,0)),0))</f>
        <v/>
      </c>
      <c r="K270" s="20" t="str">
        <f aca="false">IF(J270="","",IF(G270="",J270,J270*(1-IF(H270="",Settings!$B$6,H270))))</f>
        <v/>
      </c>
      <c r="L270" s="20" t="str">
        <f aca="false">IF(OR(J270="",G270=""),"",J270-K270)</f>
        <v/>
      </c>
      <c r="M270" s="1"/>
    </row>
    <row r="271" customFormat="false" ht="15" hidden="false" customHeight="false" outlineLevel="0" collapsed="false">
      <c r="A271" s="27"/>
      <c r="B271" s="1"/>
      <c r="C271" s="24" t="str">
        <f aca="false">IF(B271="","",IFERROR(INDEX(Patients!$B$2:$B$501,MATCH(B271,Patients!$A$2:$A$501,0))&amp;"",""))</f>
        <v/>
      </c>
      <c r="D271" s="1"/>
      <c r="E271" s="28"/>
      <c r="F271" s="1"/>
      <c r="G271" s="1"/>
      <c r="H271" s="29"/>
      <c r="I271" s="1"/>
      <c r="J271" s="20" t="str">
        <f aca="false">IF(D271="","",IFERROR(INDEX(Settings!$C$49:$C$54,MATCH(D271,Settings!$A$49:$A$54,0)),0))</f>
        <v/>
      </c>
      <c r="K271" s="20" t="str">
        <f aca="false">IF(J271="","",IF(G271="",J271,J271*(1-IF(H271="",Settings!$B$6,H271))))</f>
        <v/>
      </c>
      <c r="L271" s="20" t="str">
        <f aca="false">IF(OR(J271="",G271=""),"",J271-K271)</f>
        <v/>
      </c>
      <c r="M271" s="1"/>
    </row>
    <row r="272" customFormat="false" ht="15" hidden="false" customHeight="false" outlineLevel="0" collapsed="false">
      <c r="A272" s="27"/>
      <c r="B272" s="1"/>
      <c r="C272" s="24" t="str">
        <f aca="false">IF(B272="","",IFERROR(INDEX(Patients!$B$2:$B$501,MATCH(B272,Patients!$A$2:$A$501,0))&amp;"",""))</f>
        <v/>
      </c>
      <c r="D272" s="1"/>
      <c r="E272" s="28"/>
      <c r="F272" s="1"/>
      <c r="G272" s="1"/>
      <c r="H272" s="29"/>
      <c r="I272" s="1"/>
      <c r="J272" s="20" t="str">
        <f aca="false">IF(D272="","",IFERROR(INDEX(Settings!$C$49:$C$54,MATCH(D272,Settings!$A$49:$A$54,0)),0))</f>
        <v/>
      </c>
      <c r="K272" s="20" t="str">
        <f aca="false">IF(J272="","",IF(G272="",J272,J272*(1-IF(H272="",Settings!$B$6,H272))))</f>
        <v/>
      </c>
      <c r="L272" s="20" t="str">
        <f aca="false">IF(OR(J272="",G272=""),"",J272-K272)</f>
        <v/>
      </c>
      <c r="M272" s="1"/>
    </row>
    <row r="273" customFormat="false" ht="15" hidden="false" customHeight="false" outlineLevel="0" collapsed="false">
      <c r="A273" s="27"/>
      <c r="B273" s="1"/>
      <c r="C273" s="24" t="str">
        <f aca="false">IF(B273="","",IFERROR(INDEX(Patients!$B$2:$B$501,MATCH(B273,Patients!$A$2:$A$501,0))&amp;"",""))</f>
        <v/>
      </c>
      <c r="D273" s="1"/>
      <c r="E273" s="28"/>
      <c r="F273" s="1"/>
      <c r="G273" s="1"/>
      <c r="H273" s="29"/>
      <c r="I273" s="1"/>
      <c r="J273" s="20" t="str">
        <f aca="false">IF(D273="","",IFERROR(INDEX(Settings!$C$49:$C$54,MATCH(D273,Settings!$A$49:$A$54,0)),0))</f>
        <v/>
      </c>
      <c r="K273" s="20" t="str">
        <f aca="false">IF(J273="","",IF(G273="",J273,J273*(1-IF(H273="",Settings!$B$6,H273))))</f>
        <v/>
      </c>
      <c r="L273" s="20" t="str">
        <f aca="false">IF(OR(J273="",G273=""),"",J273-K273)</f>
        <v/>
      </c>
      <c r="M273" s="1"/>
    </row>
    <row r="274" customFormat="false" ht="15" hidden="false" customHeight="false" outlineLevel="0" collapsed="false">
      <c r="A274" s="27"/>
      <c r="B274" s="1"/>
      <c r="C274" s="24" t="str">
        <f aca="false">IF(B274="","",IFERROR(INDEX(Patients!$B$2:$B$501,MATCH(B274,Patients!$A$2:$A$501,0))&amp;"",""))</f>
        <v/>
      </c>
      <c r="D274" s="1"/>
      <c r="E274" s="28"/>
      <c r="F274" s="1"/>
      <c r="G274" s="1"/>
      <c r="H274" s="29"/>
      <c r="I274" s="1"/>
      <c r="J274" s="20" t="str">
        <f aca="false">IF(D274="","",IFERROR(INDEX(Settings!$C$49:$C$54,MATCH(D274,Settings!$A$49:$A$54,0)),0))</f>
        <v/>
      </c>
      <c r="K274" s="20" t="str">
        <f aca="false">IF(J274="","",IF(G274="",J274,J274*(1-IF(H274="",Settings!$B$6,H274))))</f>
        <v/>
      </c>
      <c r="L274" s="20" t="str">
        <f aca="false">IF(OR(J274="",G274=""),"",J274-K274)</f>
        <v/>
      </c>
      <c r="M274" s="1"/>
    </row>
    <row r="275" customFormat="false" ht="15" hidden="false" customHeight="false" outlineLevel="0" collapsed="false">
      <c r="A275" s="27"/>
      <c r="B275" s="1"/>
      <c r="C275" s="24" t="str">
        <f aca="false">IF(B275="","",IFERROR(INDEX(Patients!$B$2:$B$501,MATCH(B275,Patients!$A$2:$A$501,0))&amp;"",""))</f>
        <v/>
      </c>
      <c r="D275" s="1"/>
      <c r="E275" s="28"/>
      <c r="F275" s="1"/>
      <c r="G275" s="1"/>
      <c r="H275" s="29"/>
      <c r="I275" s="1"/>
      <c r="J275" s="20" t="str">
        <f aca="false">IF(D275="","",IFERROR(INDEX(Settings!$C$49:$C$54,MATCH(D275,Settings!$A$49:$A$54,0)),0))</f>
        <v/>
      </c>
      <c r="K275" s="20" t="str">
        <f aca="false">IF(J275="","",IF(G275="",J275,J275*(1-IF(H275="",Settings!$B$6,H275))))</f>
        <v/>
      </c>
      <c r="L275" s="20" t="str">
        <f aca="false">IF(OR(J275="",G275=""),"",J275-K275)</f>
        <v/>
      </c>
      <c r="M275" s="1"/>
    </row>
    <row r="276" customFormat="false" ht="15" hidden="false" customHeight="false" outlineLevel="0" collapsed="false">
      <c r="A276" s="27"/>
      <c r="B276" s="1"/>
      <c r="C276" s="24" t="str">
        <f aca="false">IF(B276="","",IFERROR(INDEX(Patients!$B$2:$B$501,MATCH(B276,Patients!$A$2:$A$501,0))&amp;"",""))</f>
        <v/>
      </c>
      <c r="D276" s="1"/>
      <c r="E276" s="28"/>
      <c r="F276" s="1"/>
      <c r="G276" s="1"/>
      <c r="H276" s="29"/>
      <c r="I276" s="1"/>
      <c r="J276" s="20" t="str">
        <f aca="false">IF(D276="","",IFERROR(INDEX(Settings!$C$49:$C$54,MATCH(D276,Settings!$A$49:$A$54,0)),0))</f>
        <v/>
      </c>
      <c r="K276" s="20" t="str">
        <f aca="false">IF(J276="","",IF(G276="",J276,J276*(1-IF(H276="",Settings!$B$6,H276))))</f>
        <v/>
      </c>
      <c r="L276" s="20" t="str">
        <f aca="false">IF(OR(J276="",G276=""),"",J276-K276)</f>
        <v/>
      </c>
      <c r="M276" s="1"/>
    </row>
    <row r="277" customFormat="false" ht="15" hidden="false" customHeight="false" outlineLevel="0" collapsed="false">
      <c r="A277" s="27"/>
      <c r="B277" s="1"/>
      <c r="C277" s="24" t="str">
        <f aca="false">IF(B277="","",IFERROR(INDEX(Patients!$B$2:$B$501,MATCH(B277,Patients!$A$2:$A$501,0))&amp;"",""))</f>
        <v/>
      </c>
      <c r="D277" s="1"/>
      <c r="E277" s="28"/>
      <c r="F277" s="1"/>
      <c r="G277" s="1"/>
      <c r="H277" s="29"/>
      <c r="I277" s="1"/>
      <c r="J277" s="20" t="str">
        <f aca="false">IF(D277="","",IFERROR(INDEX(Settings!$C$49:$C$54,MATCH(D277,Settings!$A$49:$A$54,0)),0))</f>
        <v/>
      </c>
      <c r="K277" s="20" t="str">
        <f aca="false">IF(J277="","",IF(G277="",J277,J277*(1-IF(H277="",Settings!$B$6,H277))))</f>
        <v/>
      </c>
      <c r="L277" s="20" t="str">
        <f aca="false">IF(OR(J277="",G277=""),"",J277-K277)</f>
        <v/>
      </c>
      <c r="M277" s="1"/>
    </row>
    <row r="278" customFormat="false" ht="15" hidden="false" customHeight="false" outlineLevel="0" collapsed="false">
      <c r="A278" s="27"/>
      <c r="B278" s="1"/>
      <c r="C278" s="24" t="str">
        <f aca="false">IF(B278="","",IFERROR(INDEX(Patients!$B$2:$B$501,MATCH(B278,Patients!$A$2:$A$501,0))&amp;"",""))</f>
        <v/>
      </c>
      <c r="D278" s="1"/>
      <c r="E278" s="28"/>
      <c r="F278" s="1"/>
      <c r="G278" s="1"/>
      <c r="H278" s="29"/>
      <c r="I278" s="1"/>
      <c r="J278" s="20" t="str">
        <f aca="false">IF(D278="","",IFERROR(INDEX(Settings!$C$49:$C$54,MATCH(D278,Settings!$A$49:$A$54,0)),0))</f>
        <v/>
      </c>
      <c r="K278" s="20" t="str">
        <f aca="false">IF(J278="","",IF(G278="",J278,J278*(1-IF(H278="",Settings!$B$6,H278))))</f>
        <v/>
      </c>
      <c r="L278" s="20" t="str">
        <f aca="false">IF(OR(J278="",G278=""),"",J278-K278)</f>
        <v/>
      </c>
      <c r="M278" s="1"/>
    </row>
    <row r="279" customFormat="false" ht="15" hidden="false" customHeight="false" outlineLevel="0" collapsed="false">
      <c r="A279" s="27"/>
      <c r="B279" s="1"/>
      <c r="C279" s="24" t="str">
        <f aca="false">IF(B279="","",IFERROR(INDEX(Patients!$B$2:$B$501,MATCH(B279,Patients!$A$2:$A$501,0))&amp;"",""))</f>
        <v/>
      </c>
      <c r="D279" s="1"/>
      <c r="E279" s="28"/>
      <c r="F279" s="1"/>
      <c r="G279" s="1"/>
      <c r="H279" s="29"/>
      <c r="I279" s="1"/>
      <c r="J279" s="20" t="str">
        <f aca="false">IF(D279="","",IFERROR(INDEX(Settings!$C$49:$C$54,MATCH(D279,Settings!$A$49:$A$54,0)),0))</f>
        <v/>
      </c>
      <c r="K279" s="20" t="str">
        <f aca="false">IF(J279="","",IF(G279="",J279,J279*(1-IF(H279="",Settings!$B$6,H279))))</f>
        <v/>
      </c>
      <c r="L279" s="20" t="str">
        <f aca="false">IF(OR(J279="",G279=""),"",J279-K279)</f>
        <v/>
      </c>
      <c r="M279" s="1"/>
    </row>
    <row r="280" customFormat="false" ht="15" hidden="false" customHeight="false" outlineLevel="0" collapsed="false">
      <c r="A280" s="27"/>
      <c r="B280" s="1"/>
      <c r="C280" s="24" t="str">
        <f aca="false">IF(B280="","",IFERROR(INDEX(Patients!$B$2:$B$501,MATCH(B280,Patients!$A$2:$A$501,0))&amp;"",""))</f>
        <v/>
      </c>
      <c r="D280" s="1"/>
      <c r="E280" s="28"/>
      <c r="F280" s="1"/>
      <c r="G280" s="1"/>
      <c r="H280" s="29"/>
      <c r="I280" s="1"/>
      <c r="J280" s="20" t="str">
        <f aca="false">IF(D280="","",IFERROR(INDEX(Settings!$C$49:$C$54,MATCH(D280,Settings!$A$49:$A$54,0)),0))</f>
        <v/>
      </c>
      <c r="K280" s="20" t="str">
        <f aca="false">IF(J280="","",IF(G280="",J280,J280*(1-IF(H280="",Settings!$B$6,H280))))</f>
        <v/>
      </c>
      <c r="L280" s="20" t="str">
        <f aca="false">IF(OR(J280="",G280=""),"",J280-K280)</f>
        <v/>
      </c>
      <c r="M280" s="1"/>
    </row>
    <row r="281" customFormat="false" ht="15" hidden="false" customHeight="false" outlineLevel="0" collapsed="false">
      <c r="A281" s="27"/>
      <c r="B281" s="1"/>
      <c r="C281" s="24" t="str">
        <f aca="false">IF(B281="","",IFERROR(INDEX(Patients!$B$2:$B$501,MATCH(B281,Patients!$A$2:$A$501,0))&amp;"",""))</f>
        <v/>
      </c>
      <c r="D281" s="1"/>
      <c r="E281" s="28"/>
      <c r="F281" s="1"/>
      <c r="G281" s="1"/>
      <c r="H281" s="29"/>
      <c r="I281" s="1"/>
      <c r="J281" s="20" t="str">
        <f aca="false">IF(D281="","",IFERROR(INDEX(Settings!$C$49:$C$54,MATCH(D281,Settings!$A$49:$A$54,0)),0))</f>
        <v/>
      </c>
      <c r="K281" s="20" t="str">
        <f aca="false">IF(J281="","",IF(G281="",J281,J281*(1-IF(H281="",Settings!$B$6,H281))))</f>
        <v/>
      </c>
      <c r="L281" s="20" t="str">
        <f aca="false">IF(OR(J281="",G281=""),"",J281-K281)</f>
        <v/>
      </c>
      <c r="M281" s="1"/>
    </row>
    <row r="282" customFormat="false" ht="15" hidden="false" customHeight="false" outlineLevel="0" collapsed="false">
      <c r="A282" s="27"/>
      <c r="B282" s="1"/>
      <c r="C282" s="24" t="str">
        <f aca="false">IF(B282="","",IFERROR(INDEX(Patients!$B$2:$B$501,MATCH(B282,Patients!$A$2:$A$501,0))&amp;"",""))</f>
        <v/>
      </c>
      <c r="D282" s="1"/>
      <c r="E282" s="28"/>
      <c r="F282" s="1"/>
      <c r="G282" s="1"/>
      <c r="H282" s="29"/>
      <c r="I282" s="1"/>
      <c r="J282" s="20" t="str">
        <f aca="false">IF(D282="","",IFERROR(INDEX(Settings!$C$49:$C$54,MATCH(D282,Settings!$A$49:$A$54,0)),0))</f>
        <v/>
      </c>
      <c r="K282" s="20" t="str">
        <f aca="false">IF(J282="","",IF(G282="",J282,J282*(1-IF(H282="",Settings!$B$6,H282))))</f>
        <v/>
      </c>
      <c r="L282" s="20" t="str">
        <f aca="false">IF(OR(J282="",G282=""),"",J282-K282)</f>
        <v/>
      </c>
      <c r="M282" s="1"/>
    </row>
    <row r="283" customFormat="false" ht="15" hidden="false" customHeight="false" outlineLevel="0" collapsed="false">
      <c r="A283" s="27"/>
      <c r="B283" s="1"/>
      <c r="C283" s="24" t="str">
        <f aca="false">IF(B283="","",IFERROR(INDEX(Patients!$B$2:$B$501,MATCH(B283,Patients!$A$2:$A$501,0))&amp;"",""))</f>
        <v/>
      </c>
      <c r="D283" s="1"/>
      <c r="E283" s="28"/>
      <c r="F283" s="1"/>
      <c r="G283" s="1"/>
      <c r="H283" s="29"/>
      <c r="I283" s="1"/>
      <c r="J283" s="20" t="str">
        <f aca="false">IF(D283="","",IFERROR(INDEX(Settings!$C$49:$C$54,MATCH(D283,Settings!$A$49:$A$54,0)),0))</f>
        <v/>
      </c>
      <c r="K283" s="20" t="str">
        <f aca="false">IF(J283="","",IF(G283="",J283,J283*(1-IF(H283="",Settings!$B$6,H283))))</f>
        <v/>
      </c>
      <c r="L283" s="20" t="str">
        <f aca="false">IF(OR(J283="",G283=""),"",J283-K283)</f>
        <v/>
      </c>
      <c r="M283" s="1"/>
    </row>
    <row r="284" customFormat="false" ht="15" hidden="false" customHeight="false" outlineLevel="0" collapsed="false">
      <c r="A284" s="27"/>
      <c r="B284" s="1"/>
      <c r="C284" s="24" t="str">
        <f aca="false">IF(B284="","",IFERROR(INDEX(Patients!$B$2:$B$501,MATCH(B284,Patients!$A$2:$A$501,0))&amp;"",""))</f>
        <v/>
      </c>
      <c r="D284" s="1"/>
      <c r="E284" s="28"/>
      <c r="F284" s="1"/>
      <c r="G284" s="1"/>
      <c r="H284" s="29"/>
      <c r="I284" s="1"/>
      <c r="J284" s="20" t="str">
        <f aca="false">IF(D284="","",IFERROR(INDEX(Settings!$C$49:$C$54,MATCH(D284,Settings!$A$49:$A$54,0)),0))</f>
        <v/>
      </c>
      <c r="K284" s="20" t="str">
        <f aca="false">IF(J284="","",IF(G284="",J284,J284*(1-IF(H284="",Settings!$B$6,H284))))</f>
        <v/>
      </c>
      <c r="L284" s="20" t="str">
        <f aca="false">IF(OR(J284="",G284=""),"",J284-K284)</f>
        <v/>
      </c>
      <c r="M284" s="1"/>
    </row>
    <row r="285" customFormat="false" ht="15" hidden="false" customHeight="false" outlineLevel="0" collapsed="false">
      <c r="A285" s="27"/>
      <c r="B285" s="1"/>
      <c r="C285" s="24" t="str">
        <f aca="false">IF(B285="","",IFERROR(INDEX(Patients!$B$2:$B$501,MATCH(B285,Patients!$A$2:$A$501,0))&amp;"",""))</f>
        <v/>
      </c>
      <c r="D285" s="1"/>
      <c r="E285" s="28"/>
      <c r="F285" s="1"/>
      <c r="G285" s="1"/>
      <c r="H285" s="29"/>
      <c r="I285" s="1"/>
      <c r="J285" s="20" t="str">
        <f aca="false">IF(D285="","",IFERROR(INDEX(Settings!$C$49:$C$54,MATCH(D285,Settings!$A$49:$A$54,0)),0))</f>
        <v/>
      </c>
      <c r="K285" s="20" t="str">
        <f aca="false">IF(J285="","",IF(G285="",J285,J285*(1-IF(H285="",Settings!$B$6,H285))))</f>
        <v/>
      </c>
      <c r="L285" s="20" t="str">
        <f aca="false">IF(OR(J285="",G285=""),"",J285-K285)</f>
        <v/>
      </c>
      <c r="M285" s="1"/>
    </row>
    <row r="286" customFormat="false" ht="15" hidden="false" customHeight="false" outlineLevel="0" collapsed="false">
      <c r="A286" s="27"/>
      <c r="B286" s="1"/>
      <c r="C286" s="24" t="str">
        <f aca="false">IF(B286="","",IFERROR(INDEX(Patients!$B$2:$B$501,MATCH(B286,Patients!$A$2:$A$501,0))&amp;"",""))</f>
        <v/>
      </c>
      <c r="D286" s="1"/>
      <c r="E286" s="28"/>
      <c r="F286" s="1"/>
      <c r="G286" s="1"/>
      <c r="H286" s="29"/>
      <c r="I286" s="1"/>
      <c r="J286" s="20" t="str">
        <f aca="false">IF(D286="","",IFERROR(INDEX(Settings!$C$49:$C$54,MATCH(D286,Settings!$A$49:$A$54,0)),0))</f>
        <v/>
      </c>
      <c r="K286" s="20" t="str">
        <f aca="false">IF(J286="","",IF(G286="",J286,J286*(1-IF(H286="",Settings!$B$6,H286))))</f>
        <v/>
      </c>
      <c r="L286" s="20" t="str">
        <f aca="false">IF(OR(J286="",G286=""),"",J286-K286)</f>
        <v/>
      </c>
      <c r="M286" s="1"/>
    </row>
    <row r="287" customFormat="false" ht="15" hidden="false" customHeight="false" outlineLevel="0" collapsed="false">
      <c r="A287" s="27"/>
      <c r="B287" s="1"/>
      <c r="C287" s="24" t="str">
        <f aca="false">IF(B287="","",IFERROR(INDEX(Patients!$B$2:$B$501,MATCH(B287,Patients!$A$2:$A$501,0))&amp;"",""))</f>
        <v/>
      </c>
      <c r="D287" s="1"/>
      <c r="E287" s="28"/>
      <c r="F287" s="1"/>
      <c r="G287" s="1"/>
      <c r="H287" s="29"/>
      <c r="I287" s="1"/>
      <c r="J287" s="20" t="str">
        <f aca="false">IF(D287="","",IFERROR(INDEX(Settings!$C$49:$C$54,MATCH(D287,Settings!$A$49:$A$54,0)),0))</f>
        <v/>
      </c>
      <c r="K287" s="20" t="str">
        <f aca="false">IF(J287="","",IF(G287="",J287,J287*(1-IF(H287="",Settings!$B$6,H287))))</f>
        <v/>
      </c>
      <c r="L287" s="20" t="str">
        <f aca="false">IF(OR(J287="",G287=""),"",J287-K287)</f>
        <v/>
      </c>
      <c r="M287" s="1"/>
    </row>
    <row r="288" customFormat="false" ht="15" hidden="false" customHeight="false" outlineLevel="0" collapsed="false">
      <c r="A288" s="27"/>
      <c r="B288" s="1"/>
      <c r="C288" s="24" t="str">
        <f aca="false">IF(B288="","",IFERROR(INDEX(Patients!$B$2:$B$501,MATCH(B288,Patients!$A$2:$A$501,0))&amp;"",""))</f>
        <v/>
      </c>
      <c r="D288" s="1"/>
      <c r="E288" s="28"/>
      <c r="F288" s="1"/>
      <c r="G288" s="1"/>
      <c r="H288" s="29"/>
      <c r="I288" s="1"/>
      <c r="J288" s="20" t="str">
        <f aca="false">IF(D288="","",IFERROR(INDEX(Settings!$C$49:$C$54,MATCH(D288,Settings!$A$49:$A$54,0)),0))</f>
        <v/>
      </c>
      <c r="K288" s="20" t="str">
        <f aca="false">IF(J288="","",IF(G288="",J288,J288*(1-IF(H288="",Settings!$B$6,H288))))</f>
        <v/>
      </c>
      <c r="L288" s="20" t="str">
        <f aca="false">IF(OR(J288="",G288=""),"",J288-K288)</f>
        <v/>
      </c>
      <c r="M288" s="1"/>
    </row>
    <row r="289" customFormat="false" ht="15" hidden="false" customHeight="false" outlineLevel="0" collapsed="false">
      <c r="A289" s="27"/>
      <c r="B289" s="1"/>
      <c r="C289" s="24" t="str">
        <f aca="false">IF(B289="","",IFERROR(INDEX(Patients!$B$2:$B$501,MATCH(B289,Patients!$A$2:$A$501,0))&amp;"",""))</f>
        <v/>
      </c>
      <c r="D289" s="1"/>
      <c r="E289" s="28"/>
      <c r="F289" s="1"/>
      <c r="G289" s="1"/>
      <c r="H289" s="29"/>
      <c r="I289" s="1"/>
      <c r="J289" s="20" t="str">
        <f aca="false">IF(D289="","",IFERROR(INDEX(Settings!$C$49:$C$54,MATCH(D289,Settings!$A$49:$A$54,0)),0))</f>
        <v/>
      </c>
      <c r="K289" s="20" t="str">
        <f aca="false">IF(J289="","",IF(G289="",J289,J289*(1-IF(H289="",Settings!$B$6,H289))))</f>
        <v/>
      </c>
      <c r="L289" s="20" t="str">
        <f aca="false">IF(OR(J289="",G289=""),"",J289-K289)</f>
        <v/>
      </c>
      <c r="M289" s="1"/>
    </row>
    <row r="290" customFormat="false" ht="15" hidden="false" customHeight="false" outlineLevel="0" collapsed="false">
      <c r="A290" s="27"/>
      <c r="B290" s="1"/>
      <c r="C290" s="24" t="str">
        <f aca="false">IF(B290="","",IFERROR(INDEX(Patients!$B$2:$B$501,MATCH(B290,Patients!$A$2:$A$501,0))&amp;"",""))</f>
        <v/>
      </c>
      <c r="D290" s="1"/>
      <c r="E290" s="28"/>
      <c r="F290" s="1"/>
      <c r="G290" s="1"/>
      <c r="H290" s="29"/>
      <c r="I290" s="1"/>
      <c r="J290" s="20" t="str">
        <f aca="false">IF(D290="","",IFERROR(INDEX(Settings!$C$49:$C$54,MATCH(D290,Settings!$A$49:$A$54,0)),0))</f>
        <v/>
      </c>
      <c r="K290" s="20" t="str">
        <f aca="false">IF(J290="","",IF(G290="",J290,J290*(1-IF(H290="",Settings!$B$6,H290))))</f>
        <v/>
      </c>
      <c r="L290" s="20" t="str">
        <f aca="false">IF(OR(J290="",G290=""),"",J290-K290)</f>
        <v/>
      </c>
      <c r="M290" s="1"/>
    </row>
    <row r="291" customFormat="false" ht="15" hidden="false" customHeight="false" outlineLevel="0" collapsed="false">
      <c r="A291" s="27"/>
      <c r="B291" s="1"/>
      <c r="C291" s="24" t="str">
        <f aca="false">IF(B291="","",IFERROR(INDEX(Patients!$B$2:$B$501,MATCH(B291,Patients!$A$2:$A$501,0))&amp;"",""))</f>
        <v/>
      </c>
      <c r="D291" s="1"/>
      <c r="E291" s="28"/>
      <c r="F291" s="1"/>
      <c r="G291" s="1"/>
      <c r="H291" s="29"/>
      <c r="I291" s="1"/>
      <c r="J291" s="20" t="str">
        <f aca="false">IF(D291="","",IFERROR(INDEX(Settings!$C$49:$C$54,MATCH(D291,Settings!$A$49:$A$54,0)),0))</f>
        <v/>
      </c>
      <c r="K291" s="20" t="str">
        <f aca="false">IF(J291="","",IF(G291="",J291,J291*(1-IF(H291="",Settings!$B$6,H291))))</f>
        <v/>
      </c>
      <c r="L291" s="20" t="str">
        <f aca="false">IF(OR(J291="",G291=""),"",J291-K291)</f>
        <v/>
      </c>
      <c r="M291" s="1"/>
    </row>
    <row r="292" customFormat="false" ht="15" hidden="false" customHeight="false" outlineLevel="0" collapsed="false">
      <c r="A292" s="27"/>
      <c r="B292" s="1"/>
      <c r="C292" s="24" t="str">
        <f aca="false">IF(B292="","",IFERROR(INDEX(Patients!$B$2:$B$501,MATCH(B292,Patients!$A$2:$A$501,0))&amp;"",""))</f>
        <v/>
      </c>
      <c r="D292" s="1"/>
      <c r="E292" s="28"/>
      <c r="F292" s="1"/>
      <c r="G292" s="1"/>
      <c r="H292" s="29"/>
      <c r="I292" s="1"/>
      <c r="J292" s="20" t="str">
        <f aca="false">IF(D292="","",IFERROR(INDEX(Settings!$C$49:$C$54,MATCH(D292,Settings!$A$49:$A$54,0)),0))</f>
        <v/>
      </c>
      <c r="K292" s="20" t="str">
        <f aca="false">IF(J292="","",IF(G292="",J292,J292*(1-IF(H292="",Settings!$B$6,H292))))</f>
        <v/>
      </c>
      <c r="L292" s="20" t="str">
        <f aca="false">IF(OR(J292="",G292=""),"",J292-K292)</f>
        <v/>
      </c>
      <c r="M292" s="1"/>
    </row>
    <row r="293" customFormat="false" ht="15" hidden="false" customHeight="false" outlineLevel="0" collapsed="false">
      <c r="A293" s="27"/>
      <c r="B293" s="1"/>
      <c r="C293" s="24" t="str">
        <f aca="false">IF(B293="","",IFERROR(INDEX(Patients!$B$2:$B$501,MATCH(B293,Patients!$A$2:$A$501,0))&amp;"",""))</f>
        <v/>
      </c>
      <c r="D293" s="1"/>
      <c r="E293" s="28"/>
      <c r="F293" s="1"/>
      <c r="G293" s="1"/>
      <c r="H293" s="29"/>
      <c r="I293" s="1"/>
      <c r="J293" s="20" t="str">
        <f aca="false">IF(D293="","",IFERROR(INDEX(Settings!$C$49:$C$54,MATCH(D293,Settings!$A$49:$A$54,0)),0))</f>
        <v/>
      </c>
      <c r="K293" s="20" t="str">
        <f aca="false">IF(J293="","",IF(G293="",J293,J293*(1-IF(H293="",Settings!$B$6,H293))))</f>
        <v/>
      </c>
      <c r="L293" s="20" t="str">
        <f aca="false">IF(OR(J293="",G293=""),"",J293-K293)</f>
        <v/>
      </c>
      <c r="M293" s="1"/>
    </row>
    <row r="294" customFormat="false" ht="15" hidden="false" customHeight="false" outlineLevel="0" collapsed="false">
      <c r="A294" s="27"/>
      <c r="B294" s="1"/>
      <c r="C294" s="24" t="str">
        <f aca="false">IF(B294="","",IFERROR(INDEX(Patients!$B$2:$B$501,MATCH(B294,Patients!$A$2:$A$501,0))&amp;"",""))</f>
        <v/>
      </c>
      <c r="D294" s="1"/>
      <c r="E294" s="28"/>
      <c r="F294" s="1"/>
      <c r="G294" s="1"/>
      <c r="H294" s="29"/>
      <c r="I294" s="1"/>
      <c r="J294" s="20" t="str">
        <f aca="false">IF(D294="","",IFERROR(INDEX(Settings!$C$49:$C$54,MATCH(D294,Settings!$A$49:$A$54,0)),0))</f>
        <v/>
      </c>
      <c r="K294" s="20" t="str">
        <f aca="false">IF(J294="","",IF(G294="",J294,J294*(1-IF(H294="",Settings!$B$6,H294))))</f>
        <v/>
      </c>
      <c r="L294" s="20" t="str">
        <f aca="false">IF(OR(J294="",G294=""),"",J294-K294)</f>
        <v/>
      </c>
      <c r="M294" s="1"/>
    </row>
    <row r="295" customFormat="false" ht="15" hidden="false" customHeight="false" outlineLevel="0" collapsed="false">
      <c r="A295" s="27"/>
      <c r="B295" s="1"/>
      <c r="C295" s="24" t="str">
        <f aca="false">IF(B295="","",IFERROR(INDEX(Patients!$B$2:$B$501,MATCH(B295,Patients!$A$2:$A$501,0))&amp;"",""))</f>
        <v/>
      </c>
      <c r="D295" s="1"/>
      <c r="E295" s="28"/>
      <c r="F295" s="1"/>
      <c r="G295" s="1"/>
      <c r="H295" s="29"/>
      <c r="I295" s="1"/>
      <c r="J295" s="20" t="str">
        <f aca="false">IF(D295="","",IFERROR(INDEX(Settings!$C$49:$C$54,MATCH(D295,Settings!$A$49:$A$54,0)),0))</f>
        <v/>
      </c>
      <c r="K295" s="20" t="str">
        <f aca="false">IF(J295="","",IF(G295="",J295,J295*(1-IF(H295="",Settings!$B$6,H295))))</f>
        <v/>
      </c>
      <c r="L295" s="20" t="str">
        <f aca="false">IF(OR(J295="",G295=""),"",J295-K295)</f>
        <v/>
      </c>
      <c r="M295" s="1"/>
    </row>
    <row r="296" customFormat="false" ht="15" hidden="false" customHeight="false" outlineLevel="0" collapsed="false">
      <c r="A296" s="27"/>
      <c r="B296" s="1"/>
      <c r="C296" s="24" t="str">
        <f aca="false">IF(B296="","",IFERROR(INDEX(Patients!$B$2:$B$501,MATCH(B296,Patients!$A$2:$A$501,0))&amp;"",""))</f>
        <v/>
      </c>
      <c r="D296" s="1"/>
      <c r="E296" s="28"/>
      <c r="F296" s="1"/>
      <c r="G296" s="1"/>
      <c r="H296" s="29"/>
      <c r="I296" s="1"/>
      <c r="J296" s="20" t="str">
        <f aca="false">IF(D296="","",IFERROR(INDEX(Settings!$C$49:$C$54,MATCH(D296,Settings!$A$49:$A$54,0)),0))</f>
        <v/>
      </c>
      <c r="K296" s="20" t="str">
        <f aca="false">IF(J296="","",IF(G296="",J296,J296*(1-IF(H296="",Settings!$B$6,H296))))</f>
        <v/>
      </c>
      <c r="L296" s="20" t="str">
        <f aca="false">IF(OR(J296="",G296=""),"",J296-K296)</f>
        <v/>
      </c>
      <c r="M296" s="1"/>
    </row>
    <row r="297" customFormat="false" ht="15" hidden="false" customHeight="false" outlineLevel="0" collapsed="false">
      <c r="A297" s="27"/>
      <c r="B297" s="1"/>
      <c r="C297" s="24" t="str">
        <f aca="false">IF(B297="","",IFERROR(INDEX(Patients!$B$2:$B$501,MATCH(B297,Patients!$A$2:$A$501,0))&amp;"",""))</f>
        <v/>
      </c>
      <c r="D297" s="1"/>
      <c r="E297" s="28"/>
      <c r="F297" s="1"/>
      <c r="G297" s="1"/>
      <c r="H297" s="29"/>
      <c r="I297" s="1"/>
      <c r="J297" s="20" t="str">
        <f aca="false">IF(D297="","",IFERROR(INDEX(Settings!$C$49:$C$54,MATCH(D297,Settings!$A$49:$A$54,0)),0))</f>
        <v/>
      </c>
      <c r="K297" s="20" t="str">
        <f aca="false">IF(J297="","",IF(G297="",J297,J297*(1-IF(H297="",Settings!$B$6,H297))))</f>
        <v/>
      </c>
      <c r="L297" s="20" t="str">
        <f aca="false">IF(OR(J297="",G297=""),"",J297-K297)</f>
        <v/>
      </c>
      <c r="M297" s="1"/>
    </row>
    <row r="298" customFormat="false" ht="15" hidden="false" customHeight="false" outlineLevel="0" collapsed="false">
      <c r="A298" s="27"/>
      <c r="B298" s="1"/>
      <c r="C298" s="24" t="str">
        <f aca="false">IF(B298="","",IFERROR(INDEX(Patients!$B$2:$B$501,MATCH(B298,Patients!$A$2:$A$501,0))&amp;"",""))</f>
        <v/>
      </c>
      <c r="D298" s="1"/>
      <c r="E298" s="28"/>
      <c r="F298" s="1"/>
      <c r="G298" s="1"/>
      <c r="H298" s="29"/>
      <c r="I298" s="1"/>
      <c r="J298" s="20" t="str">
        <f aca="false">IF(D298="","",IFERROR(INDEX(Settings!$C$49:$C$54,MATCH(D298,Settings!$A$49:$A$54,0)),0))</f>
        <v/>
      </c>
      <c r="K298" s="20" t="str">
        <f aca="false">IF(J298="","",IF(G298="",J298,J298*(1-IF(H298="",Settings!$B$6,H298))))</f>
        <v/>
      </c>
      <c r="L298" s="20" t="str">
        <f aca="false">IF(OR(J298="",G298=""),"",J298-K298)</f>
        <v/>
      </c>
      <c r="M298" s="1"/>
    </row>
    <row r="299" customFormat="false" ht="15" hidden="false" customHeight="false" outlineLevel="0" collapsed="false">
      <c r="A299" s="27"/>
      <c r="B299" s="1"/>
      <c r="C299" s="24" t="str">
        <f aca="false">IF(B299="","",IFERROR(INDEX(Patients!$B$2:$B$501,MATCH(B299,Patients!$A$2:$A$501,0))&amp;"",""))</f>
        <v/>
      </c>
      <c r="D299" s="1"/>
      <c r="E299" s="28"/>
      <c r="F299" s="1"/>
      <c r="G299" s="1"/>
      <c r="H299" s="29"/>
      <c r="I299" s="1"/>
      <c r="J299" s="20" t="str">
        <f aca="false">IF(D299="","",IFERROR(INDEX(Settings!$C$49:$C$54,MATCH(D299,Settings!$A$49:$A$54,0)),0))</f>
        <v/>
      </c>
      <c r="K299" s="20" t="str">
        <f aca="false">IF(J299="","",IF(G299="",J299,J299*(1-IF(H299="",Settings!$B$6,H299))))</f>
        <v/>
      </c>
      <c r="L299" s="20" t="str">
        <f aca="false">IF(OR(J299="",G299=""),"",J299-K299)</f>
        <v/>
      </c>
      <c r="M299" s="1"/>
    </row>
    <row r="300" customFormat="false" ht="15" hidden="false" customHeight="false" outlineLevel="0" collapsed="false">
      <c r="A300" s="27"/>
      <c r="B300" s="1"/>
      <c r="C300" s="24" t="str">
        <f aca="false">IF(B300="","",IFERROR(INDEX(Patients!$B$2:$B$501,MATCH(B300,Patients!$A$2:$A$501,0))&amp;"",""))</f>
        <v/>
      </c>
      <c r="D300" s="1"/>
      <c r="E300" s="28"/>
      <c r="F300" s="1"/>
      <c r="G300" s="1"/>
      <c r="H300" s="29"/>
      <c r="I300" s="1"/>
      <c r="J300" s="20" t="str">
        <f aca="false">IF(D300="","",IFERROR(INDEX(Settings!$C$49:$C$54,MATCH(D300,Settings!$A$49:$A$54,0)),0))</f>
        <v/>
      </c>
      <c r="K300" s="20" t="str">
        <f aca="false">IF(J300="","",IF(G300="",J300,J300*(1-IF(H300="",Settings!$B$6,H300))))</f>
        <v/>
      </c>
      <c r="L300" s="20" t="str">
        <f aca="false">IF(OR(J300="",G300=""),"",J300-K300)</f>
        <v/>
      </c>
      <c r="M300" s="1"/>
    </row>
    <row r="301" customFormat="false" ht="15" hidden="false" customHeight="false" outlineLevel="0" collapsed="false">
      <c r="A301" s="27"/>
      <c r="B301" s="1"/>
      <c r="C301" s="24" t="str">
        <f aca="false">IF(B301="","",IFERROR(INDEX(Patients!$B$2:$B$501,MATCH(B301,Patients!$A$2:$A$501,0))&amp;"",""))</f>
        <v/>
      </c>
      <c r="D301" s="1"/>
      <c r="E301" s="28"/>
      <c r="F301" s="1"/>
      <c r="G301" s="1"/>
      <c r="H301" s="29"/>
      <c r="I301" s="1"/>
      <c r="J301" s="20" t="str">
        <f aca="false">IF(D301="","",IFERROR(INDEX(Settings!$C$49:$C$54,MATCH(D301,Settings!$A$49:$A$54,0)),0))</f>
        <v/>
      </c>
      <c r="K301" s="20" t="str">
        <f aca="false">IF(J301="","",IF(G301="",J301,J301*(1-IF(H301="",Settings!$B$6,H301))))</f>
        <v/>
      </c>
      <c r="L301" s="20" t="str">
        <f aca="false">IF(OR(J301="",G301=""),"",J301-K301)</f>
        <v/>
      </c>
      <c r="M301" s="1"/>
    </row>
    <row r="302" customFormat="false" ht="15" hidden="false" customHeight="false" outlineLevel="0" collapsed="false">
      <c r="A302" s="27"/>
      <c r="B302" s="1"/>
      <c r="C302" s="24" t="str">
        <f aca="false">IF(B302="","",IFERROR(INDEX(Patients!$B$2:$B$501,MATCH(B302,Patients!$A$2:$A$501,0))&amp;"",""))</f>
        <v/>
      </c>
      <c r="D302" s="1"/>
      <c r="E302" s="28"/>
      <c r="F302" s="1"/>
      <c r="G302" s="1"/>
      <c r="H302" s="29"/>
      <c r="I302" s="1"/>
      <c r="J302" s="20" t="str">
        <f aca="false">IF(D302="","",IFERROR(INDEX(Settings!$C$49:$C$54,MATCH(D302,Settings!$A$49:$A$54,0)),0))</f>
        <v/>
      </c>
      <c r="K302" s="20" t="str">
        <f aca="false">IF(J302="","",IF(G302="",J302,J302*(1-IF(H302="",Settings!$B$6,H302))))</f>
        <v/>
      </c>
      <c r="L302" s="20" t="str">
        <f aca="false">IF(OR(J302="",G302=""),"",J302-K302)</f>
        <v/>
      </c>
      <c r="M302" s="1"/>
    </row>
    <row r="303" customFormat="false" ht="15" hidden="false" customHeight="false" outlineLevel="0" collapsed="false">
      <c r="A303" s="27"/>
      <c r="B303" s="1"/>
      <c r="C303" s="24" t="str">
        <f aca="false">IF(B303="","",IFERROR(INDEX(Patients!$B$2:$B$501,MATCH(B303,Patients!$A$2:$A$501,0))&amp;"",""))</f>
        <v/>
      </c>
      <c r="D303" s="1"/>
      <c r="E303" s="28"/>
      <c r="F303" s="1"/>
      <c r="G303" s="1"/>
      <c r="H303" s="29"/>
      <c r="I303" s="1"/>
      <c r="J303" s="20" t="str">
        <f aca="false">IF(D303="","",IFERROR(INDEX(Settings!$C$49:$C$54,MATCH(D303,Settings!$A$49:$A$54,0)),0))</f>
        <v/>
      </c>
      <c r="K303" s="20" t="str">
        <f aca="false">IF(J303="","",IF(G303="",J303,J303*(1-IF(H303="",Settings!$B$6,H303))))</f>
        <v/>
      </c>
      <c r="L303" s="20" t="str">
        <f aca="false">IF(OR(J303="",G303=""),"",J303-K303)</f>
        <v/>
      </c>
      <c r="M303" s="1"/>
    </row>
    <row r="304" customFormat="false" ht="15" hidden="false" customHeight="false" outlineLevel="0" collapsed="false">
      <c r="A304" s="27"/>
      <c r="B304" s="1"/>
      <c r="C304" s="24" t="str">
        <f aca="false">IF(B304="","",IFERROR(INDEX(Patients!$B$2:$B$501,MATCH(B304,Patients!$A$2:$A$501,0))&amp;"",""))</f>
        <v/>
      </c>
      <c r="D304" s="1"/>
      <c r="E304" s="28"/>
      <c r="F304" s="1"/>
      <c r="G304" s="1"/>
      <c r="H304" s="29"/>
      <c r="I304" s="1"/>
      <c r="J304" s="20" t="str">
        <f aca="false">IF(D304="","",IFERROR(INDEX(Settings!$C$49:$C$54,MATCH(D304,Settings!$A$49:$A$54,0)),0))</f>
        <v/>
      </c>
      <c r="K304" s="20" t="str">
        <f aca="false">IF(J304="","",IF(G304="",J304,J304*(1-IF(H304="",Settings!$B$6,H304))))</f>
        <v/>
      </c>
      <c r="L304" s="20" t="str">
        <f aca="false">IF(OR(J304="",G304=""),"",J304-K304)</f>
        <v/>
      </c>
      <c r="M304" s="1"/>
    </row>
    <row r="305" customFormat="false" ht="15" hidden="false" customHeight="false" outlineLevel="0" collapsed="false">
      <c r="A305" s="27"/>
      <c r="B305" s="1"/>
      <c r="C305" s="24" t="str">
        <f aca="false">IF(B305="","",IFERROR(INDEX(Patients!$B$2:$B$501,MATCH(B305,Patients!$A$2:$A$501,0))&amp;"",""))</f>
        <v/>
      </c>
      <c r="D305" s="1"/>
      <c r="E305" s="28"/>
      <c r="F305" s="1"/>
      <c r="G305" s="1"/>
      <c r="H305" s="29"/>
      <c r="I305" s="1"/>
      <c r="J305" s="20" t="str">
        <f aca="false">IF(D305="","",IFERROR(INDEX(Settings!$C$49:$C$54,MATCH(D305,Settings!$A$49:$A$54,0)),0))</f>
        <v/>
      </c>
      <c r="K305" s="20" t="str">
        <f aca="false">IF(J305="","",IF(G305="",J305,J305*(1-IF(H305="",Settings!$B$6,H305))))</f>
        <v/>
      </c>
      <c r="L305" s="20" t="str">
        <f aca="false">IF(OR(J305="",G305=""),"",J305-K305)</f>
        <v/>
      </c>
      <c r="M305" s="1"/>
    </row>
    <row r="306" customFormat="false" ht="15" hidden="false" customHeight="false" outlineLevel="0" collapsed="false">
      <c r="A306" s="27"/>
      <c r="B306" s="1"/>
      <c r="C306" s="24" t="str">
        <f aca="false">IF(B306="","",IFERROR(INDEX(Patients!$B$2:$B$501,MATCH(B306,Patients!$A$2:$A$501,0))&amp;"",""))</f>
        <v/>
      </c>
      <c r="D306" s="1"/>
      <c r="E306" s="28"/>
      <c r="F306" s="1"/>
      <c r="G306" s="1"/>
      <c r="H306" s="29"/>
      <c r="I306" s="1"/>
      <c r="J306" s="20" t="str">
        <f aca="false">IF(D306="","",IFERROR(INDEX(Settings!$C$49:$C$54,MATCH(D306,Settings!$A$49:$A$54,0)),0))</f>
        <v/>
      </c>
      <c r="K306" s="20" t="str">
        <f aca="false">IF(J306="","",IF(G306="",J306,J306*(1-IF(H306="",Settings!$B$6,H306))))</f>
        <v/>
      </c>
      <c r="L306" s="20" t="str">
        <f aca="false">IF(OR(J306="",G306=""),"",J306-K306)</f>
        <v/>
      </c>
      <c r="M306" s="1"/>
    </row>
    <row r="307" customFormat="false" ht="15" hidden="false" customHeight="false" outlineLevel="0" collapsed="false">
      <c r="A307" s="27"/>
      <c r="B307" s="1"/>
      <c r="C307" s="24" t="str">
        <f aca="false">IF(B307="","",IFERROR(INDEX(Patients!$B$2:$B$501,MATCH(B307,Patients!$A$2:$A$501,0))&amp;"",""))</f>
        <v/>
      </c>
      <c r="D307" s="1"/>
      <c r="E307" s="28"/>
      <c r="F307" s="1"/>
      <c r="G307" s="1"/>
      <c r="H307" s="29"/>
      <c r="I307" s="1"/>
      <c r="J307" s="20" t="str">
        <f aca="false">IF(D307="","",IFERROR(INDEX(Settings!$C$49:$C$54,MATCH(D307,Settings!$A$49:$A$54,0)),0))</f>
        <v/>
      </c>
      <c r="K307" s="20" t="str">
        <f aca="false">IF(J307="","",IF(G307="",J307,J307*(1-IF(H307="",Settings!$B$6,H307))))</f>
        <v/>
      </c>
      <c r="L307" s="20" t="str">
        <f aca="false">IF(OR(J307="",G307=""),"",J307-K307)</f>
        <v/>
      </c>
      <c r="M307" s="1"/>
    </row>
    <row r="308" customFormat="false" ht="15" hidden="false" customHeight="false" outlineLevel="0" collapsed="false">
      <c r="A308" s="27"/>
      <c r="B308" s="1"/>
      <c r="C308" s="24" t="str">
        <f aca="false">IF(B308="","",IFERROR(INDEX(Patients!$B$2:$B$501,MATCH(B308,Patients!$A$2:$A$501,0))&amp;"",""))</f>
        <v/>
      </c>
      <c r="D308" s="1"/>
      <c r="E308" s="28"/>
      <c r="F308" s="1"/>
      <c r="G308" s="1"/>
      <c r="H308" s="29"/>
      <c r="I308" s="1"/>
      <c r="J308" s="20" t="str">
        <f aca="false">IF(D308="","",IFERROR(INDEX(Settings!$C$49:$C$54,MATCH(D308,Settings!$A$49:$A$54,0)),0))</f>
        <v/>
      </c>
      <c r="K308" s="20" t="str">
        <f aca="false">IF(J308="","",IF(G308="",J308,J308*(1-IF(H308="",Settings!$B$6,H308))))</f>
        <v/>
      </c>
      <c r="L308" s="20" t="str">
        <f aca="false">IF(OR(J308="",G308=""),"",J308-K308)</f>
        <v/>
      </c>
      <c r="M308" s="1"/>
    </row>
    <row r="309" customFormat="false" ht="15" hidden="false" customHeight="false" outlineLevel="0" collapsed="false">
      <c r="A309" s="27"/>
      <c r="B309" s="1"/>
      <c r="C309" s="24" t="str">
        <f aca="false">IF(B309="","",IFERROR(INDEX(Patients!$B$2:$B$501,MATCH(B309,Patients!$A$2:$A$501,0))&amp;"",""))</f>
        <v/>
      </c>
      <c r="D309" s="1"/>
      <c r="E309" s="28"/>
      <c r="F309" s="1"/>
      <c r="G309" s="1"/>
      <c r="H309" s="29"/>
      <c r="I309" s="1"/>
      <c r="J309" s="20" t="str">
        <f aca="false">IF(D309="","",IFERROR(INDEX(Settings!$C$49:$C$54,MATCH(D309,Settings!$A$49:$A$54,0)),0))</f>
        <v/>
      </c>
      <c r="K309" s="20" t="str">
        <f aca="false">IF(J309="","",IF(G309="",J309,J309*(1-IF(H309="",Settings!$B$6,H309))))</f>
        <v/>
      </c>
      <c r="L309" s="20" t="str">
        <f aca="false">IF(OR(J309="",G309=""),"",J309-K309)</f>
        <v/>
      </c>
      <c r="M309" s="1"/>
    </row>
    <row r="310" customFormat="false" ht="15" hidden="false" customHeight="false" outlineLevel="0" collapsed="false">
      <c r="A310" s="27"/>
      <c r="B310" s="1"/>
      <c r="C310" s="24" t="str">
        <f aca="false">IF(B310="","",IFERROR(INDEX(Patients!$B$2:$B$501,MATCH(B310,Patients!$A$2:$A$501,0))&amp;"",""))</f>
        <v/>
      </c>
      <c r="D310" s="1"/>
      <c r="E310" s="28"/>
      <c r="F310" s="1"/>
      <c r="G310" s="1"/>
      <c r="H310" s="29"/>
      <c r="I310" s="1"/>
      <c r="J310" s="20" t="str">
        <f aca="false">IF(D310="","",IFERROR(INDEX(Settings!$C$49:$C$54,MATCH(D310,Settings!$A$49:$A$54,0)),0))</f>
        <v/>
      </c>
      <c r="K310" s="20" t="str">
        <f aca="false">IF(J310="","",IF(G310="",J310,J310*(1-IF(H310="",Settings!$B$6,H310))))</f>
        <v/>
      </c>
      <c r="L310" s="20" t="str">
        <f aca="false">IF(OR(J310="",G310=""),"",J310-K310)</f>
        <v/>
      </c>
      <c r="M310" s="1"/>
    </row>
    <row r="311" customFormat="false" ht="15" hidden="false" customHeight="false" outlineLevel="0" collapsed="false">
      <c r="A311" s="27"/>
      <c r="B311" s="1"/>
      <c r="C311" s="24" t="str">
        <f aca="false">IF(B311="","",IFERROR(INDEX(Patients!$B$2:$B$501,MATCH(B311,Patients!$A$2:$A$501,0))&amp;"",""))</f>
        <v/>
      </c>
      <c r="D311" s="1"/>
      <c r="E311" s="28"/>
      <c r="F311" s="1"/>
      <c r="G311" s="1"/>
      <c r="H311" s="29"/>
      <c r="I311" s="1"/>
      <c r="J311" s="20" t="str">
        <f aca="false">IF(D311="","",IFERROR(INDEX(Settings!$C$49:$C$54,MATCH(D311,Settings!$A$49:$A$54,0)),0))</f>
        <v/>
      </c>
      <c r="K311" s="20" t="str">
        <f aca="false">IF(J311="","",IF(G311="",J311,J311*(1-IF(H311="",Settings!$B$6,H311))))</f>
        <v/>
      </c>
      <c r="L311" s="20" t="str">
        <f aca="false">IF(OR(J311="",G311=""),"",J311-K311)</f>
        <v/>
      </c>
      <c r="M311" s="1"/>
    </row>
    <row r="312" customFormat="false" ht="15" hidden="false" customHeight="false" outlineLevel="0" collapsed="false">
      <c r="A312" s="27"/>
      <c r="B312" s="1"/>
      <c r="C312" s="24" t="str">
        <f aca="false">IF(B312="","",IFERROR(INDEX(Patients!$B$2:$B$501,MATCH(B312,Patients!$A$2:$A$501,0))&amp;"",""))</f>
        <v/>
      </c>
      <c r="D312" s="1"/>
      <c r="E312" s="28"/>
      <c r="F312" s="1"/>
      <c r="G312" s="1"/>
      <c r="H312" s="29"/>
      <c r="I312" s="1"/>
      <c r="J312" s="20" t="str">
        <f aca="false">IF(D312="","",IFERROR(INDEX(Settings!$C$49:$C$54,MATCH(D312,Settings!$A$49:$A$54,0)),0))</f>
        <v/>
      </c>
      <c r="K312" s="20" t="str">
        <f aca="false">IF(J312="","",IF(G312="",J312,J312*(1-IF(H312="",Settings!$B$6,H312))))</f>
        <v/>
      </c>
      <c r="L312" s="20" t="str">
        <f aca="false">IF(OR(J312="",G312=""),"",J312-K312)</f>
        <v/>
      </c>
      <c r="M312" s="1"/>
    </row>
    <row r="313" customFormat="false" ht="15" hidden="false" customHeight="false" outlineLevel="0" collapsed="false">
      <c r="A313" s="27"/>
      <c r="B313" s="1"/>
      <c r="C313" s="24" t="str">
        <f aca="false">IF(B313="","",IFERROR(INDEX(Patients!$B$2:$B$501,MATCH(B313,Patients!$A$2:$A$501,0))&amp;"",""))</f>
        <v/>
      </c>
      <c r="D313" s="1"/>
      <c r="E313" s="28"/>
      <c r="F313" s="1"/>
      <c r="G313" s="1"/>
      <c r="H313" s="29"/>
      <c r="I313" s="1"/>
      <c r="J313" s="20" t="str">
        <f aca="false">IF(D313="","",IFERROR(INDEX(Settings!$C$49:$C$54,MATCH(D313,Settings!$A$49:$A$54,0)),0))</f>
        <v/>
      </c>
      <c r="K313" s="20" t="str">
        <f aca="false">IF(J313="","",IF(G313="",J313,J313*(1-IF(H313="",Settings!$B$6,H313))))</f>
        <v/>
      </c>
      <c r="L313" s="20" t="str">
        <f aca="false">IF(OR(J313="",G313=""),"",J313-K313)</f>
        <v/>
      </c>
      <c r="M313" s="1"/>
    </row>
    <row r="314" customFormat="false" ht="15" hidden="false" customHeight="false" outlineLevel="0" collapsed="false">
      <c r="A314" s="27"/>
      <c r="B314" s="1"/>
      <c r="C314" s="24" t="str">
        <f aca="false">IF(B314="","",IFERROR(INDEX(Patients!$B$2:$B$501,MATCH(B314,Patients!$A$2:$A$501,0))&amp;"",""))</f>
        <v/>
      </c>
      <c r="D314" s="1"/>
      <c r="E314" s="28"/>
      <c r="F314" s="1"/>
      <c r="G314" s="1"/>
      <c r="H314" s="29"/>
      <c r="I314" s="1"/>
      <c r="J314" s="20" t="str">
        <f aca="false">IF(D314="","",IFERROR(INDEX(Settings!$C$49:$C$54,MATCH(D314,Settings!$A$49:$A$54,0)),0))</f>
        <v/>
      </c>
      <c r="K314" s="20" t="str">
        <f aca="false">IF(J314="","",IF(G314="",J314,J314*(1-IF(H314="",Settings!$B$6,H314))))</f>
        <v/>
      </c>
      <c r="L314" s="20" t="str">
        <f aca="false">IF(OR(J314="",G314=""),"",J314-K314)</f>
        <v/>
      </c>
      <c r="M314" s="1"/>
    </row>
    <row r="315" customFormat="false" ht="15" hidden="false" customHeight="false" outlineLevel="0" collapsed="false">
      <c r="A315" s="27"/>
      <c r="B315" s="1"/>
      <c r="C315" s="24" t="str">
        <f aca="false">IF(B315="","",IFERROR(INDEX(Patients!$B$2:$B$501,MATCH(B315,Patients!$A$2:$A$501,0))&amp;"",""))</f>
        <v/>
      </c>
      <c r="D315" s="1"/>
      <c r="E315" s="28"/>
      <c r="F315" s="1"/>
      <c r="G315" s="1"/>
      <c r="H315" s="29"/>
      <c r="I315" s="1"/>
      <c r="J315" s="20" t="str">
        <f aca="false">IF(D315="","",IFERROR(INDEX(Settings!$C$49:$C$54,MATCH(D315,Settings!$A$49:$A$54,0)),0))</f>
        <v/>
      </c>
      <c r="K315" s="20" t="str">
        <f aca="false">IF(J315="","",IF(G315="",J315,J315*(1-IF(H315="",Settings!$B$6,H315))))</f>
        <v/>
      </c>
      <c r="L315" s="20" t="str">
        <f aca="false">IF(OR(J315="",G315=""),"",J315-K315)</f>
        <v/>
      </c>
      <c r="M315" s="1"/>
    </row>
    <row r="316" customFormat="false" ht="15" hidden="false" customHeight="false" outlineLevel="0" collapsed="false">
      <c r="A316" s="27"/>
      <c r="B316" s="1"/>
      <c r="C316" s="24" t="str">
        <f aca="false">IF(B316="","",IFERROR(INDEX(Patients!$B$2:$B$501,MATCH(B316,Patients!$A$2:$A$501,0))&amp;"",""))</f>
        <v/>
      </c>
      <c r="D316" s="1"/>
      <c r="E316" s="28"/>
      <c r="F316" s="1"/>
      <c r="G316" s="1"/>
      <c r="H316" s="29"/>
      <c r="I316" s="1"/>
      <c r="J316" s="20" t="str">
        <f aca="false">IF(D316="","",IFERROR(INDEX(Settings!$C$49:$C$54,MATCH(D316,Settings!$A$49:$A$54,0)),0))</f>
        <v/>
      </c>
      <c r="K316" s="20" t="str">
        <f aca="false">IF(J316="","",IF(G316="",J316,J316*(1-IF(H316="",Settings!$B$6,H316))))</f>
        <v/>
      </c>
      <c r="L316" s="20" t="str">
        <f aca="false">IF(OR(J316="",G316=""),"",J316-K316)</f>
        <v/>
      </c>
      <c r="M316" s="1"/>
    </row>
    <row r="317" customFormat="false" ht="15" hidden="false" customHeight="false" outlineLevel="0" collapsed="false">
      <c r="A317" s="27"/>
      <c r="B317" s="1"/>
      <c r="C317" s="24" t="str">
        <f aca="false">IF(B317="","",IFERROR(INDEX(Patients!$B$2:$B$501,MATCH(B317,Patients!$A$2:$A$501,0))&amp;"",""))</f>
        <v/>
      </c>
      <c r="D317" s="1"/>
      <c r="E317" s="28"/>
      <c r="F317" s="1"/>
      <c r="G317" s="1"/>
      <c r="H317" s="29"/>
      <c r="I317" s="1"/>
      <c r="J317" s="20" t="str">
        <f aca="false">IF(D317="","",IFERROR(INDEX(Settings!$C$49:$C$54,MATCH(D317,Settings!$A$49:$A$54,0)),0))</f>
        <v/>
      </c>
      <c r="K317" s="20" t="str">
        <f aca="false">IF(J317="","",IF(G317="",J317,J317*(1-IF(H317="",Settings!$B$6,H317))))</f>
        <v/>
      </c>
      <c r="L317" s="20" t="str">
        <f aca="false">IF(OR(J317="",G317=""),"",J317-K317)</f>
        <v/>
      </c>
      <c r="M317" s="1"/>
    </row>
    <row r="318" customFormat="false" ht="15" hidden="false" customHeight="false" outlineLevel="0" collapsed="false">
      <c r="A318" s="27"/>
      <c r="B318" s="1"/>
      <c r="C318" s="24" t="str">
        <f aca="false">IF(B318="","",IFERROR(INDEX(Patients!$B$2:$B$501,MATCH(B318,Patients!$A$2:$A$501,0))&amp;"",""))</f>
        <v/>
      </c>
      <c r="D318" s="1"/>
      <c r="E318" s="28"/>
      <c r="F318" s="1"/>
      <c r="G318" s="1"/>
      <c r="H318" s="29"/>
      <c r="I318" s="1"/>
      <c r="J318" s="20" t="str">
        <f aca="false">IF(D318="","",IFERROR(INDEX(Settings!$C$49:$C$54,MATCH(D318,Settings!$A$49:$A$54,0)),0))</f>
        <v/>
      </c>
      <c r="K318" s="20" t="str">
        <f aca="false">IF(J318="","",IF(G318="",J318,J318*(1-IF(H318="",Settings!$B$6,H318))))</f>
        <v/>
      </c>
      <c r="L318" s="20" t="str">
        <f aca="false">IF(OR(J318="",G318=""),"",J318-K318)</f>
        <v/>
      </c>
      <c r="M318" s="1"/>
    </row>
    <row r="319" customFormat="false" ht="15" hidden="false" customHeight="false" outlineLevel="0" collapsed="false">
      <c r="A319" s="27"/>
      <c r="B319" s="1"/>
      <c r="C319" s="24" t="str">
        <f aca="false">IF(B319="","",IFERROR(INDEX(Patients!$B$2:$B$501,MATCH(B319,Patients!$A$2:$A$501,0))&amp;"",""))</f>
        <v/>
      </c>
      <c r="D319" s="1"/>
      <c r="E319" s="28"/>
      <c r="F319" s="1"/>
      <c r="G319" s="1"/>
      <c r="H319" s="29"/>
      <c r="I319" s="1"/>
      <c r="J319" s="20" t="str">
        <f aca="false">IF(D319="","",IFERROR(INDEX(Settings!$C$49:$C$54,MATCH(D319,Settings!$A$49:$A$54,0)),0))</f>
        <v/>
      </c>
      <c r="K319" s="20" t="str">
        <f aca="false">IF(J319="","",IF(G319="",J319,J319*(1-IF(H319="",Settings!$B$6,H319))))</f>
        <v/>
      </c>
      <c r="L319" s="20" t="str">
        <f aca="false">IF(OR(J319="",G319=""),"",J319-K319)</f>
        <v/>
      </c>
      <c r="M319" s="1"/>
    </row>
    <row r="320" customFormat="false" ht="15" hidden="false" customHeight="false" outlineLevel="0" collapsed="false">
      <c r="A320" s="27"/>
      <c r="B320" s="1"/>
      <c r="C320" s="24" t="str">
        <f aca="false">IF(B320="","",IFERROR(INDEX(Patients!$B$2:$B$501,MATCH(B320,Patients!$A$2:$A$501,0))&amp;"",""))</f>
        <v/>
      </c>
      <c r="D320" s="1"/>
      <c r="E320" s="28"/>
      <c r="F320" s="1"/>
      <c r="G320" s="1"/>
      <c r="H320" s="29"/>
      <c r="I320" s="1"/>
      <c r="J320" s="20" t="str">
        <f aca="false">IF(D320="","",IFERROR(INDEX(Settings!$C$49:$C$54,MATCH(D320,Settings!$A$49:$A$54,0)),0))</f>
        <v/>
      </c>
      <c r="K320" s="20" t="str">
        <f aca="false">IF(J320="","",IF(G320="",J320,J320*(1-IF(H320="",Settings!$B$6,H320))))</f>
        <v/>
      </c>
      <c r="L320" s="20" t="str">
        <f aca="false">IF(OR(J320="",G320=""),"",J320-K320)</f>
        <v/>
      </c>
      <c r="M320" s="1"/>
    </row>
    <row r="321" customFormat="false" ht="15" hidden="false" customHeight="false" outlineLevel="0" collapsed="false">
      <c r="A321" s="27"/>
      <c r="B321" s="1"/>
      <c r="C321" s="24" t="str">
        <f aca="false">IF(B321="","",IFERROR(INDEX(Patients!$B$2:$B$501,MATCH(B321,Patients!$A$2:$A$501,0))&amp;"",""))</f>
        <v/>
      </c>
      <c r="D321" s="1"/>
      <c r="E321" s="28"/>
      <c r="F321" s="1"/>
      <c r="G321" s="1"/>
      <c r="H321" s="29"/>
      <c r="I321" s="1"/>
      <c r="J321" s="20" t="str">
        <f aca="false">IF(D321="","",IFERROR(INDEX(Settings!$C$49:$C$54,MATCH(D321,Settings!$A$49:$A$54,0)),0))</f>
        <v/>
      </c>
      <c r="K321" s="20" t="str">
        <f aca="false">IF(J321="","",IF(G321="",J321,J321*(1-IF(H321="",Settings!$B$6,H321))))</f>
        <v/>
      </c>
      <c r="L321" s="20" t="str">
        <f aca="false">IF(OR(J321="",G321=""),"",J321-K321)</f>
        <v/>
      </c>
      <c r="M321" s="1"/>
    </row>
    <row r="322" customFormat="false" ht="15" hidden="false" customHeight="false" outlineLevel="0" collapsed="false">
      <c r="A322" s="27"/>
      <c r="B322" s="1"/>
      <c r="C322" s="24" t="str">
        <f aca="false">IF(B322="","",IFERROR(INDEX(Patients!$B$2:$B$501,MATCH(B322,Patients!$A$2:$A$501,0))&amp;"",""))</f>
        <v/>
      </c>
      <c r="D322" s="1"/>
      <c r="E322" s="28"/>
      <c r="F322" s="1"/>
      <c r="G322" s="1"/>
      <c r="H322" s="29"/>
      <c r="I322" s="1"/>
      <c r="J322" s="20" t="str">
        <f aca="false">IF(D322="","",IFERROR(INDEX(Settings!$C$49:$C$54,MATCH(D322,Settings!$A$49:$A$54,0)),0))</f>
        <v/>
      </c>
      <c r="K322" s="20" t="str">
        <f aca="false">IF(J322="","",IF(G322="",J322,J322*(1-IF(H322="",Settings!$B$6,H322))))</f>
        <v/>
      </c>
      <c r="L322" s="20" t="str">
        <f aca="false">IF(OR(J322="",G322=""),"",J322-K322)</f>
        <v/>
      </c>
      <c r="M322" s="1"/>
    </row>
    <row r="323" customFormat="false" ht="15" hidden="false" customHeight="false" outlineLevel="0" collapsed="false">
      <c r="A323" s="27"/>
      <c r="B323" s="1"/>
      <c r="C323" s="24" t="str">
        <f aca="false">IF(B323="","",IFERROR(INDEX(Patients!$B$2:$B$501,MATCH(B323,Patients!$A$2:$A$501,0))&amp;"",""))</f>
        <v/>
      </c>
      <c r="D323" s="1"/>
      <c r="E323" s="28"/>
      <c r="F323" s="1"/>
      <c r="G323" s="1"/>
      <c r="H323" s="29"/>
      <c r="I323" s="1"/>
      <c r="J323" s="20" t="str">
        <f aca="false">IF(D323="","",IFERROR(INDEX(Settings!$C$49:$C$54,MATCH(D323,Settings!$A$49:$A$54,0)),0))</f>
        <v/>
      </c>
      <c r="K323" s="20" t="str">
        <f aca="false">IF(J323="","",IF(G323="",J323,J323*(1-IF(H323="",Settings!$B$6,H323))))</f>
        <v/>
      </c>
      <c r="L323" s="20" t="str">
        <f aca="false">IF(OR(J323="",G323=""),"",J323-K323)</f>
        <v/>
      </c>
      <c r="M323" s="1"/>
    </row>
    <row r="324" customFormat="false" ht="15" hidden="false" customHeight="false" outlineLevel="0" collapsed="false">
      <c r="A324" s="27"/>
      <c r="B324" s="1"/>
      <c r="C324" s="24" t="str">
        <f aca="false">IF(B324="","",IFERROR(INDEX(Patients!$B$2:$B$501,MATCH(B324,Patients!$A$2:$A$501,0))&amp;"",""))</f>
        <v/>
      </c>
      <c r="D324" s="1"/>
      <c r="E324" s="28"/>
      <c r="F324" s="1"/>
      <c r="G324" s="1"/>
      <c r="H324" s="29"/>
      <c r="I324" s="1"/>
      <c r="J324" s="20" t="str">
        <f aca="false">IF(D324="","",IFERROR(INDEX(Settings!$C$49:$C$54,MATCH(D324,Settings!$A$49:$A$54,0)),0))</f>
        <v/>
      </c>
      <c r="K324" s="20" t="str">
        <f aca="false">IF(J324="","",IF(G324="",J324,J324*(1-IF(H324="",Settings!$B$6,H324))))</f>
        <v/>
      </c>
      <c r="L324" s="20" t="str">
        <f aca="false">IF(OR(J324="",G324=""),"",J324-K324)</f>
        <v/>
      </c>
      <c r="M324" s="1"/>
    </row>
    <row r="325" customFormat="false" ht="15" hidden="false" customHeight="false" outlineLevel="0" collapsed="false">
      <c r="A325" s="27"/>
      <c r="B325" s="1"/>
      <c r="C325" s="24" t="str">
        <f aca="false">IF(B325="","",IFERROR(INDEX(Patients!$B$2:$B$501,MATCH(B325,Patients!$A$2:$A$501,0))&amp;"",""))</f>
        <v/>
      </c>
      <c r="D325" s="1"/>
      <c r="E325" s="28"/>
      <c r="F325" s="1"/>
      <c r="G325" s="1"/>
      <c r="H325" s="29"/>
      <c r="I325" s="1"/>
      <c r="J325" s="20" t="str">
        <f aca="false">IF(D325="","",IFERROR(INDEX(Settings!$C$49:$C$54,MATCH(D325,Settings!$A$49:$A$54,0)),0))</f>
        <v/>
      </c>
      <c r="K325" s="20" t="str">
        <f aca="false">IF(J325="","",IF(G325="",J325,J325*(1-IF(H325="",Settings!$B$6,H325))))</f>
        <v/>
      </c>
      <c r="L325" s="20" t="str">
        <f aca="false">IF(OR(J325="",G325=""),"",J325-K325)</f>
        <v/>
      </c>
      <c r="M325" s="1"/>
    </row>
    <row r="326" customFormat="false" ht="15" hidden="false" customHeight="false" outlineLevel="0" collapsed="false">
      <c r="A326" s="27"/>
      <c r="B326" s="1"/>
      <c r="C326" s="24" t="str">
        <f aca="false">IF(B326="","",IFERROR(INDEX(Patients!$B$2:$B$501,MATCH(B326,Patients!$A$2:$A$501,0))&amp;"",""))</f>
        <v/>
      </c>
      <c r="D326" s="1"/>
      <c r="E326" s="28"/>
      <c r="F326" s="1"/>
      <c r="G326" s="1"/>
      <c r="H326" s="29"/>
      <c r="I326" s="1"/>
      <c r="J326" s="20" t="str">
        <f aca="false">IF(D326="","",IFERROR(INDEX(Settings!$C$49:$C$54,MATCH(D326,Settings!$A$49:$A$54,0)),0))</f>
        <v/>
      </c>
      <c r="K326" s="20" t="str">
        <f aca="false">IF(J326="","",IF(G326="",J326,J326*(1-IF(H326="",Settings!$B$6,H326))))</f>
        <v/>
      </c>
      <c r="L326" s="20" t="str">
        <f aca="false">IF(OR(J326="",G326=""),"",J326-K326)</f>
        <v/>
      </c>
      <c r="M326" s="1"/>
    </row>
    <row r="327" customFormat="false" ht="15" hidden="false" customHeight="false" outlineLevel="0" collapsed="false">
      <c r="A327" s="27"/>
      <c r="B327" s="1"/>
      <c r="C327" s="24" t="str">
        <f aca="false">IF(B327="","",IFERROR(INDEX(Patients!$B$2:$B$501,MATCH(B327,Patients!$A$2:$A$501,0))&amp;"",""))</f>
        <v/>
      </c>
      <c r="D327" s="1"/>
      <c r="E327" s="28"/>
      <c r="F327" s="1"/>
      <c r="G327" s="1"/>
      <c r="H327" s="29"/>
      <c r="I327" s="1"/>
      <c r="J327" s="20" t="str">
        <f aca="false">IF(D327="","",IFERROR(INDEX(Settings!$C$49:$C$54,MATCH(D327,Settings!$A$49:$A$54,0)),0))</f>
        <v/>
      </c>
      <c r="K327" s="20" t="str">
        <f aca="false">IF(J327="","",IF(G327="",J327,J327*(1-IF(H327="",Settings!$B$6,H327))))</f>
        <v/>
      </c>
      <c r="L327" s="20" t="str">
        <f aca="false">IF(OR(J327="",G327=""),"",J327-K327)</f>
        <v/>
      </c>
      <c r="M327" s="1"/>
    </row>
    <row r="328" customFormat="false" ht="15" hidden="false" customHeight="false" outlineLevel="0" collapsed="false">
      <c r="A328" s="27"/>
      <c r="B328" s="1"/>
      <c r="C328" s="24" t="str">
        <f aca="false">IF(B328="","",IFERROR(INDEX(Patients!$B$2:$B$501,MATCH(B328,Patients!$A$2:$A$501,0))&amp;"",""))</f>
        <v/>
      </c>
      <c r="D328" s="1"/>
      <c r="E328" s="28"/>
      <c r="F328" s="1"/>
      <c r="G328" s="1"/>
      <c r="H328" s="29"/>
      <c r="I328" s="1"/>
      <c r="J328" s="20" t="str">
        <f aca="false">IF(D328="","",IFERROR(INDEX(Settings!$C$49:$C$54,MATCH(D328,Settings!$A$49:$A$54,0)),0))</f>
        <v/>
      </c>
      <c r="K328" s="20" t="str">
        <f aca="false">IF(J328="","",IF(G328="",J328,J328*(1-IF(H328="",Settings!$B$6,H328))))</f>
        <v/>
      </c>
      <c r="L328" s="20" t="str">
        <f aca="false">IF(OR(J328="",G328=""),"",J328-K328)</f>
        <v/>
      </c>
      <c r="M328" s="1"/>
    </row>
    <row r="329" customFormat="false" ht="15" hidden="false" customHeight="false" outlineLevel="0" collapsed="false">
      <c r="A329" s="27"/>
      <c r="B329" s="1"/>
      <c r="C329" s="24" t="str">
        <f aca="false">IF(B329="","",IFERROR(INDEX(Patients!$B$2:$B$501,MATCH(B329,Patients!$A$2:$A$501,0))&amp;"",""))</f>
        <v/>
      </c>
      <c r="D329" s="1"/>
      <c r="E329" s="28"/>
      <c r="F329" s="1"/>
      <c r="G329" s="1"/>
      <c r="H329" s="29"/>
      <c r="I329" s="1"/>
      <c r="J329" s="20" t="str">
        <f aca="false">IF(D329="","",IFERROR(INDEX(Settings!$C$49:$C$54,MATCH(D329,Settings!$A$49:$A$54,0)),0))</f>
        <v/>
      </c>
      <c r="K329" s="20" t="str">
        <f aca="false">IF(J329="","",IF(G329="",J329,J329*(1-IF(H329="",Settings!$B$6,H329))))</f>
        <v/>
      </c>
      <c r="L329" s="20" t="str">
        <f aca="false">IF(OR(J329="",G329=""),"",J329-K329)</f>
        <v/>
      </c>
      <c r="M329" s="1"/>
    </row>
    <row r="330" customFormat="false" ht="15" hidden="false" customHeight="false" outlineLevel="0" collapsed="false">
      <c r="A330" s="27"/>
      <c r="B330" s="1"/>
      <c r="C330" s="24" t="str">
        <f aca="false">IF(B330="","",IFERROR(INDEX(Patients!$B$2:$B$501,MATCH(B330,Patients!$A$2:$A$501,0))&amp;"",""))</f>
        <v/>
      </c>
      <c r="D330" s="1"/>
      <c r="E330" s="28"/>
      <c r="F330" s="1"/>
      <c r="G330" s="1"/>
      <c r="H330" s="29"/>
      <c r="I330" s="1"/>
      <c r="J330" s="20" t="str">
        <f aca="false">IF(D330="","",IFERROR(INDEX(Settings!$C$49:$C$54,MATCH(D330,Settings!$A$49:$A$54,0)),0))</f>
        <v/>
      </c>
      <c r="K330" s="20" t="str">
        <f aca="false">IF(J330="","",IF(G330="",J330,J330*(1-IF(H330="",Settings!$B$6,H330))))</f>
        <v/>
      </c>
      <c r="L330" s="20" t="str">
        <f aca="false">IF(OR(J330="",G330=""),"",J330-K330)</f>
        <v/>
      </c>
      <c r="M330" s="1"/>
    </row>
    <row r="331" customFormat="false" ht="15" hidden="false" customHeight="false" outlineLevel="0" collapsed="false">
      <c r="A331" s="27"/>
      <c r="B331" s="1"/>
      <c r="C331" s="24" t="str">
        <f aca="false">IF(B331="","",IFERROR(INDEX(Patients!$B$2:$B$501,MATCH(B331,Patients!$A$2:$A$501,0))&amp;"",""))</f>
        <v/>
      </c>
      <c r="D331" s="1"/>
      <c r="E331" s="28"/>
      <c r="F331" s="1"/>
      <c r="G331" s="1"/>
      <c r="H331" s="29"/>
      <c r="I331" s="1"/>
      <c r="J331" s="20" t="str">
        <f aca="false">IF(D331="","",IFERROR(INDEX(Settings!$C$49:$C$54,MATCH(D331,Settings!$A$49:$A$54,0)),0))</f>
        <v/>
      </c>
      <c r="K331" s="20" t="str">
        <f aca="false">IF(J331="","",IF(G331="",J331,J331*(1-IF(H331="",Settings!$B$6,H331))))</f>
        <v/>
      </c>
      <c r="L331" s="20" t="str">
        <f aca="false">IF(OR(J331="",G331=""),"",J331-K331)</f>
        <v/>
      </c>
      <c r="M331" s="1"/>
    </row>
    <row r="332" customFormat="false" ht="15" hidden="false" customHeight="false" outlineLevel="0" collapsed="false">
      <c r="A332" s="27"/>
      <c r="B332" s="1"/>
      <c r="C332" s="24" t="str">
        <f aca="false">IF(B332="","",IFERROR(INDEX(Patients!$B$2:$B$501,MATCH(B332,Patients!$A$2:$A$501,0))&amp;"",""))</f>
        <v/>
      </c>
      <c r="D332" s="1"/>
      <c r="E332" s="28"/>
      <c r="F332" s="1"/>
      <c r="G332" s="1"/>
      <c r="H332" s="29"/>
      <c r="I332" s="1"/>
      <c r="J332" s="20" t="str">
        <f aca="false">IF(D332="","",IFERROR(INDEX(Settings!$C$49:$C$54,MATCH(D332,Settings!$A$49:$A$54,0)),0))</f>
        <v/>
      </c>
      <c r="K332" s="20" t="str">
        <f aca="false">IF(J332="","",IF(G332="",J332,J332*(1-IF(H332="",Settings!$B$6,H332))))</f>
        <v/>
      </c>
      <c r="L332" s="20" t="str">
        <f aca="false">IF(OR(J332="",G332=""),"",J332-K332)</f>
        <v/>
      </c>
      <c r="M332" s="1"/>
    </row>
    <row r="333" customFormat="false" ht="15" hidden="false" customHeight="false" outlineLevel="0" collapsed="false">
      <c r="A333" s="27"/>
      <c r="B333" s="1"/>
      <c r="C333" s="24" t="str">
        <f aca="false">IF(B333="","",IFERROR(INDEX(Patients!$B$2:$B$501,MATCH(B333,Patients!$A$2:$A$501,0))&amp;"",""))</f>
        <v/>
      </c>
      <c r="D333" s="1"/>
      <c r="E333" s="28"/>
      <c r="F333" s="1"/>
      <c r="G333" s="1"/>
      <c r="H333" s="29"/>
      <c r="I333" s="1"/>
      <c r="J333" s="20" t="str">
        <f aca="false">IF(D333="","",IFERROR(INDEX(Settings!$C$49:$C$54,MATCH(D333,Settings!$A$49:$A$54,0)),0))</f>
        <v/>
      </c>
      <c r="K333" s="20" t="str">
        <f aca="false">IF(J333="","",IF(G333="",J333,J333*(1-IF(H333="",Settings!$B$6,H333))))</f>
        <v/>
      </c>
      <c r="L333" s="20" t="str">
        <f aca="false">IF(OR(J333="",G333=""),"",J333-K333)</f>
        <v/>
      </c>
      <c r="M333" s="1"/>
    </row>
    <row r="334" customFormat="false" ht="15" hidden="false" customHeight="false" outlineLevel="0" collapsed="false">
      <c r="A334" s="27"/>
      <c r="B334" s="1"/>
      <c r="C334" s="24" t="str">
        <f aca="false">IF(B334="","",IFERROR(INDEX(Patients!$B$2:$B$501,MATCH(B334,Patients!$A$2:$A$501,0))&amp;"",""))</f>
        <v/>
      </c>
      <c r="D334" s="1"/>
      <c r="E334" s="28"/>
      <c r="F334" s="1"/>
      <c r="G334" s="1"/>
      <c r="H334" s="29"/>
      <c r="I334" s="1"/>
      <c r="J334" s="20" t="str">
        <f aca="false">IF(D334="","",IFERROR(INDEX(Settings!$C$49:$C$54,MATCH(D334,Settings!$A$49:$A$54,0)),0))</f>
        <v/>
      </c>
      <c r="K334" s="20" t="str">
        <f aca="false">IF(J334="","",IF(G334="",J334,J334*(1-IF(H334="",Settings!$B$6,H334))))</f>
        <v/>
      </c>
      <c r="L334" s="20" t="str">
        <f aca="false">IF(OR(J334="",G334=""),"",J334-K334)</f>
        <v/>
      </c>
      <c r="M334" s="1"/>
    </row>
    <row r="335" customFormat="false" ht="15" hidden="false" customHeight="false" outlineLevel="0" collapsed="false">
      <c r="A335" s="27"/>
      <c r="B335" s="1"/>
      <c r="C335" s="24" t="str">
        <f aca="false">IF(B335="","",IFERROR(INDEX(Patients!$B$2:$B$501,MATCH(B335,Patients!$A$2:$A$501,0))&amp;"",""))</f>
        <v/>
      </c>
      <c r="D335" s="1"/>
      <c r="E335" s="28"/>
      <c r="F335" s="1"/>
      <c r="G335" s="1"/>
      <c r="H335" s="29"/>
      <c r="I335" s="1"/>
      <c r="J335" s="20" t="str">
        <f aca="false">IF(D335="","",IFERROR(INDEX(Settings!$C$49:$C$54,MATCH(D335,Settings!$A$49:$A$54,0)),0))</f>
        <v/>
      </c>
      <c r="K335" s="20" t="str">
        <f aca="false">IF(J335="","",IF(G335="",J335,J335*(1-IF(H335="",Settings!$B$6,H335))))</f>
        <v/>
      </c>
      <c r="L335" s="20" t="str">
        <f aca="false">IF(OR(J335="",G335=""),"",J335-K335)</f>
        <v/>
      </c>
      <c r="M335" s="1"/>
    </row>
    <row r="336" customFormat="false" ht="15" hidden="false" customHeight="false" outlineLevel="0" collapsed="false">
      <c r="A336" s="27"/>
      <c r="B336" s="1"/>
      <c r="C336" s="24" t="str">
        <f aca="false">IF(B336="","",IFERROR(INDEX(Patients!$B$2:$B$501,MATCH(B336,Patients!$A$2:$A$501,0))&amp;"",""))</f>
        <v/>
      </c>
      <c r="D336" s="1"/>
      <c r="E336" s="28"/>
      <c r="F336" s="1"/>
      <c r="G336" s="1"/>
      <c r="H336" s="29"/>
      <c r="I336" s="1"/>
      <c r="J336" s="20" t="str">
        <f aca="false">IF(D336="","",IFERROR(INDEX(Settings!$C$49:$C$54,MATCH(D336,Settings!$A$49:$A$54,0)),0))</f>
        <v/>
      </c>
      <c r="K336" s="20" t="str">
        <f aca="false">IF(J336="","",IF(G336="",J336,J336*(1-IF(H336="",Settings!$B$6,H336))))</f>
        <v/>
      </c>
      <c r="L336" s="20" t="str">
        <f aca="false">IF(OR(J336="",G336=""),"",J336-K336)</f>
        <v/>
      </c>
      <c r="M336" s="1"/>
    </row>
    <row r="337" customFormat="false" ht="15" hidden="false" customHeight="false" outlineLevel="0" collapsed="false">
      <c r="A337" s="27"/>
      <c r="B337" s="1"/>
      <c r="C337" s="24" t="str">
        <f aca="false">IF(B337="","",IFERROR(INDEX(Patients!$B$2:$B$501,MATCH(B337,Patients!$A$2:$A$501,0))&amp;"",""))</f>
        <v/>
      </c>
      <c r="D337" s="1"/>
      <c r="E337" s="28"/>
      <c r="F337" s="1"/>
      <c r="G337" s="1"/>
      <c r="H337" s="29"/>
      <c r="I337" s="1"/>
      <c r="J337" s="20" t="str">
        <f aca="false">IF(D337="","",IFERROR(INDEX(Settings!$C$49:$C$54,MATCH(D337,Settings!$A$49:$A$54,0)),0))</f>
        <v/>
      </c>
      <c r="K337" s="20" t="str">
        <f aca="false">IF(J337="","",IF(G337="",J337,J337*(1-IF(H337="",Settings!$B$6,H337))))</f>
        <v/>
      </c>
      <c r="L337" s="20" t="str">
        <f aca="false">IF(OR(J337="",G337=""),"",J337-K337)</f>
        <v/>
      </c>
      <c r="M337" s="1"/>
    </row>
    <row r="338" customFormat="false" ht="15" hidden="false" customHeight="false" outlineLevel="0" collapsed="false">
      <c r="A338" s="27"/>
      <c r="B338" s="1"/>
      <c r="C338" s="24" t="str">
        <f aca="false">IF(B338="","",IFERROR(INDEX(Patients!$B$2:$B$501,MATCH(B338,Patients!$A$2:$A$501,0))&amp;"",""))</f>
        <v/>
      </c>
      <c r="D338" s="1"/>
      <c r="E338" s="28"/>
      <c r="F338" s="1"/>
      <c r="G338" s="1"/>
      <c r="H338" s="29"/>
      <c r="I338" s="1"/>
      <c r="J338" s="20" t="str">
        <f aca="false">IF(D338="","",IFERROR(INDEX(Settings!$C$49:$C$54,MATCH(D338,Settings!$A$49:$A$54,0)),0))</f>
        <v/>
      </c>
      <c r="K338" s="20" t="str">
        <f aca="false">IF(J338="","",IF(G338="",J338,J338*(1-IF(H338="",Settings!$B$6,H338))))</f>
        <v/>
      </c>
      <c r="L338" s="20" t="str">
        <f aca="false">IF(OR(J338="",G338=""),"",J338-K338)</f>
        <v/>
      </c>
      <c r="M338" s="1"/>
    </row>
    <row r="339" customFormat="false" ht="15" hidden="false" customHeight="false" outlineLevel="0" collapsed="false">
      <c r="A339" s="27"/>
      <c r="B339" s="1"/>
      <c r="C339" s="24" t="str">
        <f aca="false">IF(B339="","",IFERROR(INDEX(Patients!$B$2:$B$501,MATCH(B339,Patients!$A$2:$A$501,0))&amp;"",""))</f>
        <v/>
      </c>
      <c r="D339" s="1"/>
      <c r="E339" s="28"/>
      <c r="F339" s="1"/>
      <c r="G339" s="1"/>
      <c r="H339" s="29"/>
      <c r="I339" s="1"/>
      <c r="J339" s="20" t="str">
        <f aca="false">IF(D339="","",IFERROR(INDEX(Settings!$C$49:$C$54,MATCH(D339,Settings!$A$49:$A$54,0)),0))</f>
        <v/>
      </c>
      <c r="K339" s="20" t="str">
        <f aca="false">IF(J339="","",IF(G339="",J339,J339*(1-IF(H339="",Settings!$B$6,H339))))</f>
        <v/>
      </c>
      <c r="L339" s="20" t="str">
        <f aca="false">IF(OR(J339="",G339=""),"",J339-K339)</f>
        <v/>
      </c>
      <c r="M339" s="1"/>
    </row>
    <row r="340" customFormat="false" ht="15" hidden="false" customHeight="false" outlineLevel="0" collapsed="false">
      <c r="A340" s="27"/>
      <c r="B340" s="1"/>
      <c r="C340" s="24" t="str">
        <f aca="false">IF(B340="","",IFERROR(INDEX(Patients!$B$2:$B$501,MATCH(B340,Patients!$A$2:$A$501,0))&amp;"",""))</f>
        <v/>
      </c>
      <c r="D340" s="1"/>
      <c r="E340" s="28"/>
      <c r="F340" s="1"/>
      <c r="G340" s="1"/>
      <c r="H340" s="29"/>
      <c r="I340" s="1"/>
      <c r="J340" s="20" t="str">
        <f aca="false">IF(D340="","",IFERROR(INDEX(Settings!$C$49:$C$54,MATCH(D340,Settings!$A$49:$A$54,0)),0))</f>
        <v/>
      </c>
      <c r="K340" s="20" t="str">
        <f aca="false">IF(J340="","",IF(G340="",J340,J340*(1-IF(H340="",Settings!$B$6,H340))))</f>
        <v/>
      </c>
      <c r="L340" s="20" t="str">
        <f aca="false">IF(OR(J340="",G340=""),"",J340-K340)</f>
        <v/>
      </c>
      <c r="M340" s="1"/>
    </row>
    <row r="341" customFormat="false" ht="15" hidden="false" customHeight="false" outlineLevel="0" collapsed="false">
      <c r="A341" s="27"/>
      <c r="B341" s="1"/>
      <c r="C341" s="24" t="str">
        <f aca="false">IF(B341="","",IFERROR(INDEX(Patients!$B$2:$B$501,MATCH(B341,Patients!$A$2:$A$501,0))&amp;"",""))</f>
        <v/>
      </c>
      <c r="D341" s="1"/>
      <c r="E341" s="28"/>
      <c r="F341" s="1"/>
      <c r="G341" s="1"/>
      <c r="H341" s="29"/>
      <c r="I341" s="1"/>
      <c r="J341" s="20" t="str">
        <f aca="false">IF(D341="","",IFERROR(INDEX(Settings!$C$49:$C$54,MATCH(D341,Settings!$A$49:$A$54,0)),0))</f>
        <v/>
      </c>
      <c r="K341" s="20" t="str">
        <f aca="false">IF(J341="","",IF(G341="",J341,J341*(1-IF(H341="",Settings!$B$6,H341))))</f>
        <v/>
      </c>
      <c r="L341" s="20" t="str">
        <f aca="false">IF(OR(J341="",G341=""),"",J341-K341)</f>
        <v/>
      </c>
      <c r="M341" s="1"/>
    </row>
    <row r="342" customFormat="false" ht="15" hidden="false" customHeight="false" outlineLevel="0" collapsed="false">
      <c r="A342" s="27"/>
      <c r="B342" s="1"/>
      <c r="C342" s="24" t="str">
        <f aca="false">IF(B342="","",IFERROR(INDEX(Patients!$B$2:$B$501,MATCH(B342,Patients!$A$2:$A$501,0))&amp;"",""))</f>
        <v/>
      </c>
      <c r="D342" s="1"/>
      <c r="E342" s="28"/>
      <c r="F342" s="1"/>
      <c r="G342" s="1"/>
      <c r="H342" s="29"/>
      <c r="I342" s="1"/>
      <c r="J342" s="20" t="str">
        <f aca="false">IF(D342="","",IFERROR(INDEX(Settings!$C$49:$C$54,MATCH(D342,Settings!$A$49:$A$54,0)),0))</f>
        <v/>
      </c>
      <c r="K342" s="20" t="str">
        <f aca="false">IF(J342="","",IF(G342="",J342,J342*(1-IF(H342="",Settings!$B$6,H342))))</f>
        <v/>
      </c>
      <c r="L342" s="20" t="str">
        <f aca="false">IF(OR(J342="",G342=""),"",J342-K342)</f>
        <v/>
      </c>
      <c r="M342" s="1"/>
    </row>
    <row r="343" customFormat="false" ht="15" hidden="false" customHeight="false" outlineLevel="0" collapsed="false">
      <c r="A343" s="27"/>
      <c r="B343" s="1"/>
      <c r="C343" s="24" t="str">
        <f aca="false">IF(B343="","",IFERROR(INDEX(Patients!$B$2:$B$501,MATCH(B343,Patients!$A$2:$A$501,0))&amp;"",""))</f>
        <v/>
      </c>
      <c r="D343" s="1"/>
      <c r="E343" s="28"/>
      <c r="F343" s="1"/>
      <c r="G343" s="1"/>
      <c r="H343" s="29"/>
      <c r="I343" s="1"/>
      <c r="J343" s="20" t="str">
        <f aca="false">IF(D343="","",IFERROR(INDEX(Settings!$C$49:$C$54,MATCH(D343,Settings!$A$49:$A$54,0)),0))</f>
        <v/>
      </c>
      <c r="K343" s="20" t="str">
        <f aca="false">IF(J343="","",IF(G343="",J343,J343*(1-IF(H343="",Settings!$B$6,H343))))</f>
        <v/>
      </c>
      <c r="L343" s="20" t="str">
        <f aca="false">IF(OR(J343="",G343=""),"",J343-K343)</f>
        <v/>
      </c>
      <c r="M343" s="1"/>
    </row>
    <row r="344" customFormat="false" ht="15" hidden="false" customHeight="false" outlineLevel="0" collapsed="false">
      <c r="A344" s="27"/>
      <c r="B344" s="1"/>
      <c r="C344" s="24" t="str">
        <f aca="false">IF(B344="","",IFERROR(INDEX(Patients!$B$2:$B$501,MATCH(B344,Patients!$A$2:$A$501,0))&amp;"",""))</f>
        <v/>
      </c>
      <c r="D344" s="1"/>
      <c r="E344" s="28"/>
      <c r="F344" s="1"/>
      <c r="G344" s="1"/>
      <c r="H344" s="29"/>
      <c r="I344" s="1"/>
      <c r="J344" s="20" t="str">
        <f aca="false">IF(D344="","",IFERROR(INDEX(Settings!$C$49:$C$54,MATCH(D344,Settings!$A$49:$A$54,0)),0))</f>
        <v/>
      </c>
      <c r="K344" s="20" t="str">
        <f aca="false">IF(J344="","",IF(G344="",J344,J344*(1-IF(H344="",Settings!$B$6,H344))))</f>
        <v/>
      </c>
      <c r="L344" s="20" t="str">
        <f aca="false">IF(OR(J344="",G344=""),"",J344-K344)</f>
        <v/>
      </c>
      <c r="M344" s="1"/>
    </row>
    <row r="345" customFormat="false" ht="15" hidden="false" customHeight="false" outlineLevel="0" collapsed="false">
      <c r="A345" s="27"/>
      <c r="B345" s="1"/>
      <c r="C345" s="24" t="str">
        <f aca="false">IF(B345="","",IFERROR(INDEX(Patients!$B$2:$B$501,MATCH(B345,Patients!$A$2:$A$501,0))&amp;"",""))</f>
        <v/>
      </c>
      <c r="D345" s="1"/>
      <c r="E345" s="28"/>
      <c r="F345" s="1"/>
      <c r="G345" s="1"/>
      <c r="H345" s="29"/>
      <c r="I345" s="1"/>
      <c r="J345" s="20" t="str">
        <f aca="false">IF(D345="","",IFERROR(INDEX(Settings!$C$49:$C$54,MATCH(D345,Settings!$A$49:$A$54,0)),0))</f>
        <v/>
      </c>
      <c r="K345" s="20" t="str">
        <f aca="false">IF(J345="","",IF(G345="",J345,J345*(1-IF(H345="",Settings!$B$6,H345))))</f>
        <v/>
      </c>
      <c r="L345" s="20" t="str">
        <f aca="false">IF(OR(J345="",G345=""),"",J345-K345)</f>
        <v/>
      </c>
      <c r="M345" s="1"/>
    </row>
    <row r="346" customFormat="false" ht="15" hidden="false" customHeight="false" outlineLevel="0" collapsed="false">
      <c r="A346" s="27"/>
      <c r="B346" s="1"/>
      <c r="C346" s="24" t="str">
        <f aca="false">IF(B346="","",IFERROR(INDEX(Patients!$B$2:$B$501,MATCH(B346,Patients!$A$2:$A$501,0))&amp;"",""))</f>
        <v/>
      </c>
      <c r="D346" s="1"/>
      <c r="E346" s="28"/>
      <c r="F346" s="1"/>
      <c r="G346" s="1"/>
      <c r="H346" s="29"/>
      <c r="I346" s="1"/>
      <c r="J346" s="20" t="str">
        <f aca="false">IF(D346="","",IFERROR(INDEX(Settings!$C$49:$C$54,MATCH(D346,Settings!$A$49:$A$54,0)),0))</f>
        <v/>
      </c>
      <c r="K346" s="20" t="str">
        <f aca="false">IF(J346="","",IF(G346="",J346,J346*(1-IF(H346="",Settings!$B$6,H346))))</f>
        <v/>
      </c>
      <c r="L346" s="20" t="str">
        <f aca="false">IF(OR(J346="",G346=""),"",J346-K346)</f>
        <v/>
      </c>
      <c r="M346" s="1"/>
    </row>
    <row r="347" customFormat="false" ht="15" hidden="false" customHeight="false" outlineLevel="0" collapsed="false">
      <c r="A347" s="27"/>
      <c r="B347" s="1"/>
      <c r="C347" s="24" t="str">
        <f aca="false">IF(B347="","",IFERROR(INDEX(Patients!$B$2:$B$501,MATCH(B347,Patients!$A$2:$A$501,0))&amp;"",""))</f>
        <v/>
      </c>
      <c r="D347" s="1"/>
      <c r="E347" s="28"/>
      <c r="F347" s="1"/>
      <c r="G347" s="1"/>
      <c r="H347" s="29"/>
      <c r="I347" s="1"/>
      <c r="J347" s="20" t="str">
        <f aca="false">IF(D347="","",IFERROR(INDEX(Settings!$C$49:$C$54,MATCH(D347,Settings!$A$49:$A$54,0)),0))</f>
        <v/>
      </c>
      <c r="K347" s="20" t="str">
        <f aca="false">IF(J347="","",IF(G347="",J347,J347*(1-IF(H347="",Settings!$B$6,H347))))</f>
        <v/>
      </c>
      <c r="L347" s="20" t="str">
        <f aca="false">IF(OR(J347="",G347=""),"",J347-K347)</f>
        <v/>
      </c>
      <c r="M347" s="1"/>
    </row>
    <row r="348" customFormat="false" ht="15" hidden="false" customHeight="false" outlineLevel="0" collapsed="false">
      <c r="A348" s="27"/>
      <c r="B348" s="1"/>
      <c r="C348" s="24" t="str">
        <f aca="false">IF(B348="","",IFERROR(INDEX(Patients!$B$2:$B$501,MATCH(B348,Patients!$A$2:$A$501,0))&amp;"",""))</f>
        <v/>
      </c>
      <c r="D348" s="1"/>
      <c r="E348" s="28"/>
      <c r="F348" s="1"/>
      <c r="G348" s="1"/>
      <c r="H348" s="29"/>
      <c r="I348" s="1"/>
      <c r="J348" s="20" t="str">
        <f aca="false">IF(D348="","",IFERROR(INDEX(Settings!$C$49:$C$54,MATCH(D348,Settings!$A$49:$A$54,0)),0))</f>
        <v/>
      </c>
      <c r="K348" s="20" t="str">
        <f aca="false">IF(J348="","",IF(G348="",J348,J348*(1-IF(H348="",Settings!$B$6,H348))))</f>
        <v/>
      </c>
      <c r="L348" s="20" t="str">
        <f aca="false">IF(OR(J348="",G348=""),"",J348-K348)</f>
        <v/>
      </c>
      <c r="M348" s="1"/>
    </row>
    <row r="349" customFormat="false" ht="15" hidden="false" customHeight="false" outlineLevel="0" collapsed="false">
      <c r="A349" s="27"/>
      <c r="B349" s="1"/>
      <c r="C349" s="24" t="str">
        <f aca="false">IF(B349="","",IFERROR(INDEX(Patients!$B$2:$B$501,MATCH(B349,Patients!$A$2:$A$501,0))&amp;"",""))</f>
        <v/>
      </c>
      <c r="D349" s="1"/>
      <c r="E349" s="28"/>
      <c r="F349" s="1"/>
      <c r="G349" s="1"/>
      <c r="H349" s="29"/>
      <c r="I349" s="1"/>
      <c r="J349" s="20" t="str">
        <f aca="false">IF(D349="","",IFERROR(INDEX(Settings!$C$49:$C$54,MATCH(D349,Settings!$A$49:$A$54,0)),0))</f>
        <v/>
      </c>
      <c r="K349" s="20" t="str">
        <f aca="false">IF(J349="","",IF(G349="",J349,J349*(1-IF(H349="",Settings!$B$6,H349))))</f>
        <v/>
      </c>
      <c r="L349" s="20" t="str">
        <f aca="false">IF(OR(J349="",G349=""),"",J349-K349)</f>
        <v/>
      </c>
      <c r="M349" s="1"/>
    </row>
    <row r="350" customFormat="false" ht="15" hidden="false" customHeight="false" outlineLevel="0" collapsed="false">
      <c r="A350" s="27"/>
      <c r="B350" s="1"/>
      <c r="C350" s="24" t="str">
        <f aca="false">IF(B350="","",IFERROR(INDEX(Patients!$B$2:$B$501,MATCH(B350,Patients!$A$2:$A$501,0))&amp;"",""))</f>
        <v/>
      </c>
      <c r="D350" s="1"/>
      <c r="E350" s="28"/>
      <c r="F350" s="1"/>
      <c r="G350" s="1"/>
      <c r="H350" s="29"/>
      <c r="I350" s="1"/>
      <c r="J350" s="20" t="str">
        <f aca="false">IF(D350="","",IFERROR(INDEX(Settings!$C$49:$C$54,MATCH(D350,Settings!$A$49:$A$54,0)),0))</f>
        <v/>
      </c>
      <c r="K350" s="20" t="str">
        <f aca="false">IF(J350="","",IF(G350="",J350,J350*(1-IF(H350="",Settings!$B$6,H350))))</f>
        <v/>
      </c>
      <c r="L350" s="20" t="str">
        <f aca="false">IF(OR(J350="",G350=""),"",J350-K350)</f>
        <v/>
      </c>
      <c r="M350" s="1"/>
    </row>
    <row r="351" customFormat="false" ht="15" hidden="false" customHeight="false" outlineLevel="0" collapsed="false">
      <c r="A351" s="27"/>
      <c r="B351" s="1"/>
      <c r="C351" s="24" t="str">
        <f aca="false">IF(B351="","",IFERROR(INDEX(Patients!$B$2:$B$501,MATCH(B351,Patients!$A$2:$A$501,0))&amp;"",""))</f>
        <v/>
      </c>
      <c r="D351" s="1"/>
      <c r="E351" s="28"/>
      <c r="F351" s="1"/>
      <c r="G351" s="1"/>
      <c r="H351" s="29"/>
      <c r="I351" s="1"/>
      <c r="J351" s="20" t="str">
        <f aca="false">IF(D351="","",IFERROR(INDEX(Settings!$C$49:$C$54,MATCH(D351,Settings!$A$49:$A$54,0)),0))</f>
        <v/>
      </c>
      <c r="K351" s="20" t="str">
        <f aca="false">IF(J351="","",IF(G351="",J351,J351*(1-IF(H351="",Settings!$B$6,H351))))</f>
        <v/>
      </c>
      <c r="L351" s="20" t="str">
        <f aca="false">IF(OR(J351="",G351=""),"",J351-K351)</f>
        <v/>
      </c>
      <c r="M351" s="1"/>
    </row>
    <row r="352" customFormat="false" ht="15" hidden="false" customHeight="false" outlineLevel="0" collapsed="false">
      <c r="A352" s="27"/>
      <c r="B352" s="1"/>
      <c r="C352" s="24" t="str">
        <f aca="false">IF(B352="","",IFERROR(INDEX(Patients!$B$2:$B$501,MATCH(B352,Patients!$A$2:$A$501,0))&amp;"",""))</f>
        <v/>
      </c>
      <c r="D352" s="1"/>
      <c r="E352" s="28"/>
      <c r="F352" s="1"/>
      <c r="G352" s="1"/>
      <c r="H352" s="29"/>
      <c r="I352" s="1"/>
      <c r="J352" s="20" t="str">
        <f aca="false">IF(D352="","",IFERROR(INDEX(Settings!$C$49:$C$54,MATCH(D352,Settings!$A$49:$A$54,0)),0))</f>
        <v/>
      </c>
      <c r="K352" s="20" t="str">
        <f aca="false">IF(J352="","",IF(G352="",J352,J352*(1-IF(H352="",Settings!$B$6,H352))))</f>
        <v/>
      </c>
      <c r="L352" s="20" t="str">
        <f aca="false">IF(OR(J352="",G352=""),"",J352-K352)</f>
        <v/>
      </c>
      <c r="M352" s="1"/>
    </row>
    <row r="353" customFormat="false" ht="15" hidden="false" customHeight="false" outlineLevel="0" collapsed="false">
      <c r="A353" s="27"/>
      <c r="B353" s="1"/>
      <c r="C353" s="24" t="str">
        <f aca="false">IF(B353="","",IFERROR(INDEX(Patients!$B$2:$B$501,MATCH(B353,Patients!$A$2:$A$501,0))&amp;"",""))</f>
        <v/>
      </c>
      <c r="D353" s="1"/>
      <c r="E353" s="28"/>
      <c r="F353" s="1"/>
      <c r="G353" s="1"/>
      <c r="H353" s="29"/>
      <c r="I353" s="1"/>
      <c r="J353" s="20" t="str">
        <f aca="false">IF(D353="","",IFERROR(INDEX(Settings!$C$49:$C$54,MATCH(D353,Settings!$A$49:$A$54,0)),0))</f>
        <v/>
      </c>
      <c r="K353" s="20" t="str">
        <f aca="false">IF(J353="","",IF(G353="",J353,J353*(1-IF(H353="",Settings!$B$6,H353))))</f>
        <v/>
      </c>
      <c r="L353" s="20" t="str">
        <f aca="false">IF(OR(J353="",G353=""),"",J353-K353)</f>
        <v/>
      </c>
      <c r="M353" s="1"/>
    </row>
    <row r="354" customFormat="false" ht="15" hidden="false" customHeight="false" outlineLevel="0" collapsed="false">
      <c r="A354" s="27"/>
      <c r="B354" s="1"/>
      <c r="C354" s="24" t="str">
        <f aca="false">IF(B354="","",IFERROR(INDEX(Patients!$B$2:$B$501,MATCH(B354,Patients!$A$2:$A$501,0))&amp;"",""))</f>
        <v/>
      </c>
      <c r="D354" s="1"/>
      <c r="E354" s="28"/>
      <c r="F354" s="1"/>
      <c r="G354" s="1"/>
      <c r="H354" s="29"/>
      <c r="I354" s="1"/>
      <c r="J354" s="20" t="str">
        <f aca="false">IF(D354="","",IFERROR(INDEX(Settings!$C$49:$C$54,MATCH(D354,Settings!$A$49:$A$54,0)),0))</f>
        <v/>
      </c>
      <c r="K354" s="20" t="str">
        <f aca="false">IF(J354="","",IF(G354="",J354,J354*(1-IF(H354="",Settings!$B$6,H354))))</f>
        <v/>
      </c>
      <c r="L354" s="20" t="str">
        <f aca="false">IF(OR(J354="",G354=""),"",J354-K354)</f>
        <v/>
      </c>
      <c r="M354" s="1"/>
    </row>
    <row r="355" customFormat="false" ht="15" hidden="false" customHeight="false" outlineLevel="0" collapsed="false">
      <c r="A355" s="27"/>
      <c r="B355" s="1"/>
      <c r="C355" s="24" t="str">
        <f aca="false">IF(B355="","",IFERROR(INDEX(Patients!$B$2:$B$501,MATCH(B355,Patients!$A$2:$A$501,0))&amp;"",""))</f>
        <v/>
      </c>
      <c r="D355" s="1"/>
      <c r="E355" s="28"/>
      <c r="F355" s="1"/>
      <c r="G355" s="1"/>
      <c r="H355" s="29"/>
      <c r="I355" s="1"/>
      <c r="J355" s="20" t="str">
        <f aca="false">IF(D355="","",IFERROR(INDEX(Settings!$C$49:$C$54,MATCH(D355,Settings!$A$49:$A$54,0)),0))</f>
        <v/>
      </c>
      <c r="K355" s="20" t="str">
        <f aca="false">IF(J355="","",IF(G355="",J355,J355*(1-IF(H355="",Settings!$B$6,H355))))</f>
        <v/>
      </c>
      <c r="L355" s="20" t="str">
        <f aca="false">IF(OR(J355="",G355=""),"",J355-K355)</f>
        <v/>
      </c>
      <c r="M355" s="1"/>
    </row>
    <row r="356" customFormat="false" ht="15" hidden="false" customHeight="false" outlineLevel="0" collapsed="false">
      <c r="A356" s="27"/>
      <c r="B356" s="1"/>
      <c r="C356" s="24" t="str">
        <f aca="false">IF(B356="","",IFERROR(INDEX(Patients!$B$2:$B$501,MATCH(B356,Patients!$A$2:$A$501,0))&amp;"",""))</f>
        <v/>
      </c>
      <c r="D356" s="1"/>
      <c r="E356" s="28"/>
      <c r="F356" s="1"/>
      <c r="G356" s="1"/>
      <c r="H356" s="29"/>
      <c r="I356" s="1"/>
      <c r="J356" s="20" t="str">
        <f aca="false">IF(D356="","",IFERROR(INDEX(Settings!$C$49:$C$54,MATCH(D356,Settings!$A$49:$A$54,0)),0))</f>
        <v/>
      </c>
      <c r="K356" s="20" t="str">
        <f aca="false">IF(J356="","",IF(G356="",J356,J356*(1-IF(H356="",Settings!$B$6,H356))))</f>
        <v/>
      </c>
      <c r="L356" s="20" t="str">
        <f aca="false">IF(OR(J356="",G356=""),"",J356-K356)</f>
        <v/>
      </c>
      <c r="M356" s="1"/>
    </row>
    <row r="357" customFormat="false" ht="15" hidden="false" customHeight="false" outlineLevel="0" collapsed="false">
      <c r="A357" s="27"/>
      <c r="B357" s="1"/>
      <c r="C357" s="24" t="str">
        <f aca="false">IF(B357="","",IFERROR(INDEX(Patients!$B$2:$B$501,MATCH(B357,Patients!$A$2:$A$501,0))&amp;"",""))</f>
        <v/>
      </c>
      <c r="D357" s="1"/>
      <c r="E357" s="28"/>
      <c r="F357" s="1"/>
      <c r="G357" s="1"/>
      <c r="H357" s="29"/>
      <c r="I357" s="1"/>
      <c r="J357" s="20" t="str">
        <f aca="false">IF(D357="","",IFERROR(INDEX(Settings!$C$49:$C$54,MATCH(D357,Settings!$A$49:$A$54,0)),0))</f>
        <v/>
      </c>
      <c r="K357" s="20" t="str">
        <f aca="false">IF(J357="","",IF(G357="",J357,J357*(1-IF(H357="",Settings!$B$6,H357))))</f>
        <v/>
      </c>
      <c r="L357" s="20" t="str">
        <f aca="false">IF(OR(J357="",G357=""),"",J357-K357)</f>
        <v/>
      </c>
      <c r="M357" s="1"/>
    </row>
    <row r="358" customFormat="false" ht="15" hidden="false" customHeight="false" outlineLevel="0" collapsed="false">
      <c r="A358" s="27"/>
      <c r="B358" s="1"/>
      <c r="C358" s="24" t="str">
        <f aca="false">IF(B358="","",IFERROR(INDEX(Patients!$B$2:$B$501,MATCH(B358,Patients!$A$2:$A$501,0))&amp;"",""))</f>
        <v/>
      </c>
      <c r="D358" s="1"/>
      <c r="E358" s="28"/>
      <c r="F358" s="1"/>
      <c r="G358" s="1"/>
      <c r="H358" s="29"/>
      <c r="I358" s="1"/>
      <c r="J358" s="20" t="str">
        <f aca="false">IF(D358="","",IFERROR(INDEX(Settings!$C$49:$C$54,MATCH(D358,Settings!$A$49:$A$54,0)),0))</f>
        <v/>
      </c>
      <c r="K358" s="20" t="str">
        <f aca="false">IF(J358="","",IF(G358="",J358,J358*(1-IF(H358="",Settings!$B$6,H358))))</f>
        <v/>
      </c>
      <c r="L358" s="20" t="str">
        <f aca="false">IF(OR(J358="",G358=""),"",J358-K358)</f>
        <v/>
      </c>
      <c r="M358" s="1"/>
    </row>
    <row r="359" customFormat="false" ht="15" hidden="false" customHeight="false" outlineLevel="0" collapsed="false">
      <c r="A359" s="27"/>
      <c r="B359" s="1"/>
      <c r="C359" s="24" t="str">
        <f aca="false">IF(B359="","",IFERROR(INDEX(Patients!$B$2:$B$501,MATCH(B359,Patients!$A$2:$A$501,0))&amp;"",""))</f>
        <v/>
      </c>
      <c r="D359" s="1"/>
      <c r="E359" s="28"/>
      <c r="F359" s="1"/>
      <c r="G359" s="1"/>
      <c r="H359" s="29"/>
      <c r="I359" s="1"/>
      <c r="J359" s="20" t="str">
        <f aca="false">IF(D359="","",IFERROR(INDEX(Settings!$C$49:$C$54,MATCH(D359,Settings!$A$49:$A$54,0)),0))</f>
        <v/>
      </c>
      <c r="K359" s="20" t="str">
        <f aca="false">IF(J359="","",IF(G359="",J359,J359*(1-IF(H359="",Settings!$B$6,H359))))</f>
        <v/>
      </c>
      <c r="L359" s="20" t="str">
        <f aca="false">IF(OR(J359="",G359=""),"",J359-K359)</f>
        <v/>
      </c>
      <c r="M359" s="1"/>
    </row>
    <row r="360" customFormat="false" ht="15" hidden="false" customHeight="false" outlineLevel="0" collapsed="false">
      <c r="A360" s="27"/>
      <c r="B360" s="1"/>
      <c r="C360" s="24" t="str">
        <f aca="false">IF(B360="","",IFERROR(INDEX(Patients!$B$2:$B$501,MATCH(B360,Patients!$A$2:$A$501,0))&amp;"",""))</f>
        <v/>
      </c>
      <c r="D360" s="1"/>
      <c r="E360" s="28"/>
      <c r="F360" s="1"/>
      <c r="G360" s="1"/>
      <c r="H360" s="29"/>
      <c r="I360" s="1"/>
      <c r="J360" s="20" t="str">
        <f aca="false">IF(D360="","",IFERROR(INDEX(Settings!$C$49:$C$54,MATCH(D360,Settings!$A$49:$A$54,0)),0))</f>
        <v/>
      </c>
      <c r="K360" s="20" t="str">
        <f aca="false">IF(J360="","",IF(G360="",J360,J360*(1-IF(H360="",Settings!$B$6,H360))))</f>
        <v/>
      </c>
      <c r="L360" s="20" t="str">
        <f aca="false">IF(OR(J360="",G360=""),"",J360-K360)</f>
        <v/>
      </c>
      <c r="M360" s="1"/>
    </row>
    <row r="361" customFormat="false" ht="15" hidden="false" customHeight="false" outlineLevel="0" collapsed="false">
      <c r="A361" s="27"/>
      <c r="B361" s="1"/>
      <c r="C361" s="24" t="str">
        <f aca="false">IF(B361="","",IFERROR(INDEX(Patients!$B$2:$B$501,MATCH(B361,Patients!$A$2:$A$501,0))&amp;"",""))</f>
        <v/>
      </c>
      <c r="D361" s="1"/>
      <c r="E361" s="28"/>
      <c r="F361" s="1"/>
      <c r="G361" s="1"/>
      <c r="H361" s="29"/>
      <c r="I361" s="1"/>
      <c r="J361" s="20" t="str">
        <f aca="false">IF(D361="","",IFERROR(INDEX(Settings!$C$49:$C$54,MATCH(D361,Settings!$A$49:$A$54,0)),0))</f>
        <v/>
      </c>
      <c r="K361" s="20" t="str">
        <f aca="false">IF(J361="","",IF(G361="",J361,J361*(1-IF(H361="",Settings!$B$6,H361))))</f>
        <v/>
      </c>
      <c r="L361" s="20" t="str">
        <f aca="false">IF(OR(J361="",G361=""),"",J361-K361)</f>
        <v/>
      </c>
      <c r="M361" s="1"/>
    </row>
    <row r="362" customFormat="false" ht="15" hidden="false" customHeight="false" outlineLevel="0" collapsed="false">
      <c r="A362" s="27"/>
      <c r="B362" s="1"/>
      <c r="C362" s="24" t="str">
        <f aca="false">IF(B362="","",IFERROR(INDEX(Patients!$B$2:$B$501,MATCH(B362,Patients!$A$2:$A$501,0))&amp;"",""))</f>
        <v/>
      </c>
      <c r="D362" s="1"/>
      <c r="E362" s="28"/>
      <c r="F362" s="1"/>
      <c r="G362" s="1"/>
      <c r="H362" s="29"/>
      <c r="I362" s="1"/>
      <c r="J362" s="20" t="str">
        <f aca="false">IF(D362="","",IFERROR(INDEX(Settings!$C$49:$C$54,MATCH(D362,Settings!$A$49:$A$54,0)),0))</f>
        <v/>
      </c>
      <c r="K362" s="20" t="str">
        <f aca="false">IF(J362="","",IF(G362="",J362,J362*(1-IF(H362="",Settings!$B$6,H362))))</f>
        <v/>
      </c>
      <c r="L362" s="20" t="str">
        <f aca="false">IF(OR(J362="",G362=""),"",J362-K362)</f>
        <v/>
      </c>
      <c r="M362" s="1"/>
    </row>
    <row r="363" customFormat="false" ht="15" hidden="false" customHeight="false" outlineLevel="0" collapsed="false">
      <c r="A363" s="27"/>
      <c r="B363" s="1"/>
      <c r="C363" s="24" t="str">
        <f aca="false">IF(B363="","",IFERROR(INDEX(Patients!$B$2:$B$501,MATCH(B363,Patients!$A$2:$A$501,0))&amp;"",""))</f>
        <v/>
      </c>
      <c r="D363" s="1"/>
      <c r="E363" s="28"/>
      <c r="F363" s="1"/>
      <c r="G363" s="1"/>
      <c r="H363" s="29"/>
      <c r="I363" s="1"/>
      <c r="J363" s="20" t="str">
        <f aca="false">IF(D363="","",IFERROR(INDEX(Settings!$C$49:$C$54,MATCH(D363,Settings!$A$49:$A$54,0)),0))</f>
        <v/>
      </c>
      <c r="K363" s="20" t="str">
        <f aca="false">IF(J363="","",IF(G363="",J363,J363*(1-IF(H363="",Settings!$B$6,H363))))</f>
        <v/>
      </c>
      <c r="L363" s="20" t="str">
        <f aca="false">IF(OR(J363="",G363=""),"",J363-K363)</f>
        <v/>
      </c>
      <c r="M363" s="1"/>
    </row>
    <row r="364" customFormat="false" ht="15" hidden="false" customHeight="false" outlineLevel="0" collapsed="false">
      <c r="A364" s="27"/>
      <c r="B364" s="1"/>
      <c r="C364" s="24" t="str">
        <f aca="false">IF(B364="","",IFERROR(INDEX(Patients!$B$2:$B$501,MATCH(B364,Patients!$A$2:$A$501,0))&amp;"",""))</f>
        <v/>
      </c>
      <c r="D364" s="1"/>
      <c r="E364" s="28"/>
      <c r="F364" s="1"/>
      <c r="G364" s="1"/>
      <c r="H364" s="29"/>
      <c r="I364" s="1"/>
      <c r="J364" s="20" t="str">
        <f aca="false">IF(D364="","",IFERROR(INDEX(Settings!$C$49:$C$54,MATCH(D364,Settings!$A$49:$A$54,0)),0))</f>
        <v/>
      </c>
      <c r="K364" s="20" t="str">
        <f aca="false">IF(J364="","",IF(G364="",J364,J364*(1-IF(H364="",Settings!$B$6,H364))))</f>
        <v/>
      </c>
      <c r="L364" s="20" t="str">
        <f aca="false">IF(OR(J364="",G364=""),"",J364-K364)</f>
        <v/>
      </c>
      <c r="M364" s="1"/>
    </row>
    <row r="365" customFormat="false" ht="15" hidden="false" customHeight="false" outlineLevel="0" collapsed="false">
      <c r="A365" s="27"/>
      <c r="B365" s="1"/>
      <c r="C365" s="24" t="str">
        <f aca="false">IF(B365="","",IFERROR(INDEX(Patients!$B$2:$B$501,MATCH(B365,Patients!$A$2:$A$501,0))&amp;"",""))</f>
        <v/>
      </c>
      <c r="D365" s="1"/>
      <c r="E365" s="28"/>
      <c r="F365" s="1"/>
      <c r="G365" s="1"/>
      <c r="H365" s="29"/>
      <c r="I365" s="1"/>
      <c r="J365" s="20" t="str">
        <f aca="false">IF(D365="","",IFERROR(INDEX(Settings!$C$49:$C$54,MATCH(D365,Settings!$A$49:$A$54,0)),0))</f>
        <v/>
      </c>
      <c r="K365" s="20" t="str">
        <f aca="false">IF(J365="","",IF(G365="",J365,J365*(1-IF(H365="",Settings!$B$6,H365))))</f>
        <v/>
      </c>
      <c r="L365" s="20" t="str">
        <f aca="false">IF(OR(J365="",G365=""),"",J365-K365)</f>
        <v/>
      </c>
      <c r="M365" s="1"/>
    </row>
    <row r="366" customFormat="false" ht="15" hidden="false" customHeight="false" outlineLevel="0" collapsed="false">
      <c r="A366" s="27"/>
      <c r="B366" s="1"/>
      <c r="C366" s="24" t="str">
        <f aca="false">IF(B366="","",IFERROR(INDEX(Patients!$B$2:$B$501,MATCH(B366,Patients!$A$2:$A$501,0))&amp;"",""))</f>
        <v/>
      </c>
      <c r="D366" s="1"/>
      <c r="E366" s="28"/>
      <c r="F366" s="1"/>
      <c r="G366" s="1"/>
      <c r="H366" s="29"/>
      <c r="I366" s="1"/>
      <c r="J366" s="20" t="str">
        <f aca="false">IF(D366="","",IFERROR(INDEX(Settings!$C$49:$C$54,MATCH(D366,Settings!$A$49:$A$54,0)),0))</f>
        <v/>
      </c>
      <c r="K366" s="20" t="str">
        <f aca="false">IF(J366="","",IF(G366="",J366,J366*(1-IF(H366="",Settings!$B$6,H366))))</f>
        <v/>
      </c>
      <c r="L366" s="20" t="str">
        <f aca="false">IF(OR(J366="",G366=""),"",J366-K366)</f>
        <v/>
      </c>
      <c r="M366" s="1"/>
    </row>
    <row r="367" customFormat="false" ht="15" hidden="false" customHeight="false" outlineLevel="0" collapsed="false">
      <c r="A367" s="27"/>
      <c r="B367" s="1"/>
      <c r="C367" s="24" t="str">
        <f aca="false">IF(B367="","",IFERROR(INDEX(Patients!$B$2:$B$501,MATCH(B367,Patients!$A$2:$A$501,0))&amp;"",""))</f>
        <v/>
      </c>
      <c r="D367" s="1"/>
      <c r="E367" s="28"/>
      <c r="F367" s="1"/>
      <c r="G367" s="1"/>
      <c r="H367" s="29"/>
      <c r="I367" s="1"/>
      <c r="J367" s="20" t="str">
        <f aca="false">IF(D367="","",IFERROR(INDEX(Settings!$C$49:$C$54,MATCH(D367,Settings!$A$49:$A$54,0)),0))</f>
        <v/>
      </c>
      <c r="K367" s="20" t="str">
        <f aca="false">IF(J367="","",IF(G367="",J367,J367*(1-IF(H367="",Settings!$B$6,H367))))</f>
        <v/>
      </c>
      <c r="L367" s="20" t="str">
        <f aca="false">IF(OR(J367="",G367=""),"",J367-K367)</f>
        <v/>
      </c>
      <c r="M367" s="1"/>
    </row>
    <row r="368" customFormat="false" ht="15" hidden="false" customHeight="false" outlineLevel="0" collapsed="false">
      <c r="A368" s="27"/>
      <c r="B368" s="1"/>
      <c r="C368" s="24" t="str">
        <f aca="false">IF(B368="","",IFERROR(INDEX(Patients!$B$2:$B$501,MATCH(B368,Patients!$A$2:$A$501,0))&amp;"",""))</f>
        <v/>
      </c>
      <c r="D368" s="1"/>
      <c r="E368" s="28"/>
      <c r="F368" s="1"/>
      <c r="G368" s="1"/>
      <c r="H368" s="29"/>
      <c r="I368" s="1"/>
      <c r="J368" s="20" t="str">
        <f aca="false">IF(D368="","",IFERROR(INDEX(Settings!$C$49:$C$54,MATCH(D368,Settings!$A$49:$A$54,0)),0))</f>
        <v/>
      </c>
      <c r="K368" s="20" t="str">
        <f aca="false">IF(J368="","",IF(G368="",J368,J368*(1-IF(H368="",Settings!$B$6,H368))))</f>
        <v/>
      </c>
      <c r="L368" s="20" t="str">
        <f aca="false">IF(OR(J368="",G368=""),"",J368-K368)</f>
        <v/>
      </c>
      <c r="M368" s="1"/>
    </row>
    <row r="369" customFormat="false" ht="15" hidden="false" customHeight="false" outlineLevel="0" collapsed="false">
      <c r="A369" s="27"/>
      <c r="B369" s="1"/>
      <c r="C369" s="24" t="str">
        <f aca="false">IF(B369="","",IFERROR(INDEX(Patients!$B$2:$B$501,MATCH(B369,Patients!$A$2:$A$501,0))&amp;"",""))</f>
        <v/>
      </c>
      <c r="D369" s="1"/>
      <c r="E369" s="28"/>
      <c r="F369" s="1"/>
      <c r="G369" s="1"/>
      <c r="H369" s="29"/>
      <c r="I369" s="1"/>
      <c r="J369" s="20" t="str">
        <f aca="false">IF(D369="","",IFERROR(INDEX(Settings!$C$49:$C$54,MATCH(D369,Settings!$A$49:$A$54,0)),0))</f>
        <v/>
      </c>
      <c r="K369" s="20" t="str">
        <f aca="false">IF(J369="","",IF(G369="",J369,J369*(1-IF(H369="",Settings!$B$6,H369))))</f>
        <v/>
      </c>
      <c r="L369" s="20" t="str">
        <f aca="false">IF(OR(J369="",G369=""),"",J369-K369)</f>
        <v/>
      </c>
      <c r="M369" s="1"/>
    </row>
    <row r="370" customFormat="false" ht="15" hidden="false" customHeight="false" outlineLevel="0" collapsed="false">
      <c r="A370" s="27"/>
      <c r="B370" s="1"/>
      <c r="C370" s="24" t="str">
        <f aca="false">IF(B370="","",IFERROR(INDEX(Patients!$B$2:$B$501,MATCH(B370,Patients!$A$2:$A$501,0))&amp;"",""))</f>
        <v/>
      </c>
      <c r="D370" s="1"/>
      <c r="E370" s="28"/>
      <c r="F370" s="1"/>
      <c r="G370" s="1"/>
      <c r="H370" s="29"/>
      <c r="I370" s="1"/>
      <c r="J370" s="20" t="str">
        <f aca="false">IF(D370="","",IFERROR(INDEX(Settings!$C$49:$C$54,MATCH(D370,Settings!$A$49:$A$54,0)),0))</f>
        <v/>
      </c>
      <c r="K370" s="20" t="str">
        <f aca="false">IF(J370="","",IF(G370="",J370,J370*(1-IF(H370="",Settings!$B$6,H370))))</f>
        <v/>
      </c>
      <c r="L370" s="20" t="str">
        <f aca="false">IF(OR(J370="",G370=""),"",J370-K370)</f>
        <v/>
      </c>
      <c r="M370" s="1"/>
    </row>
    <row r="371" customFormat="false" ht="15" hidden="false" customHeight="false" outlineLevel="0" collapsed="false">
      <c r="A371" s="27"/>
      <c r="B371" s="1"/>
      <c r="C371" s="24" t="str">
        <f aca="false">IF(B371="","",IFERROR(INDEX(Patients!$B$2:$B$501,MATCH(B371,Patients!$A$2:$A$501,0))&amp;"",""))</f>
        <v/>
      </c>
      <c r="D371" s="1"/>
      <c r="E371" s="28"/>
      <c r="F371" s="1"/>
      <c r="G371" s="1"/>
      <c r="H371" s="29"/>
      <c r="I371" s="1"/>
      <c r="J371" s="20" t="str">
        <f aca="false">IF(D371="","",IFERROR(INDEX(Settings!$C$49:$C$54,MATCH(D371,Settings!$A$49:$A$54,0)),0))</f>
        <v/>
      </c>
      <c r="K371" s="20" t="str">
        <f aca="false">IF(J371="","",IF(G371="",J371,J371*(1-IF(H371="",Settings!$B$6,H371))))</f>
        <v/>
      </c>
      <c r="L371" s="20" t="str">
        <f aca="false">IF(OR(J371="",G371=""),"",J371-K371)</f>
        <v/>
      </c>
      <c r="M371" s="1"/>
    </row>
    <row r="372" customFormat="false" ht="15" hidden="false" customHeight="false" outlineLevel="0" collapsed="false">
      <c r="A372" s="27"/>
      <c r="B372" s="1"/>
      <c r="C372" s="24" t="str">
        <f aca="false">IF(B372="","",IFERROR(INDEX(Patients!$B$2:$B$501,MATCH(B372,Patients!$A$2:$A$501,0))&amp;"",""))</f>
        <v/>
      </c>
      <c r="D372" s="1"/>
      <c r="E372" s="28"/>
      <c r="F372" s="1"/>
      <c r="G372" s="1"/>
      <c r="H372" s="29"/>
      <c r="I372" s="1"/>
      <c r="J372" s="20" t="str">
        <f aca="false">IF(D372="","",IFERROR(INDEX(Settings!$C$49:$C$54,MATCH(D372,Settings!$A$49:$A$54,0)),0))</f>
        <v/>
      </c>
      <c r="K372" s="20" t="str">
        <f aca="false">IF(J372="","",IF(G372="",J372,J372*(1-IF(H372="",Settings!$B$6,H372))))</f>
        <v/>
      </c>
      <c r="L372" s="20" t="str">
        <f aca="false">IF(OR(J372="",G372=""),"",J372-K372)</f>
        <v/>
      </c>
      <c r="M372" s="1"/>
    </row>
    <row r="373" customFormat="false" ht="15" hidden="false" customHeight="false" outlineLevel="0" collapsed="false">
      <c r="A373" s="27"/>
      <c r="B373" s="1"/>
      <c r="C373" s="24" t="str">
        <f aca="false">IF(B373="","",IFERROR(INDEX(Patients!$B$2:$B$501,MATCH(B373,Patients!$A$2:$A$501,0))&amp;"",""))</f>
        <v/>
      </c>
      <c r="D373" s="1"/>
      <c r="E373" s="28"/>
      <c r="F373" s="1"/>
      <c r="G373" s="1"/>
      <c r="H373" s="29"/>
      <c r="I373" s="1"/>
      <c r="J373" s="20" t="str">
        <f aca="false">IF(D373="","",IFERROR(INDEX(Settings!$C$49:$C$54,MATCH(D373,Settings!$A$49:$A$54,0)),0))</f>
        <v/>
      </c>
      <c r="K373" s="20" t="str">
        <f aca="false">IF(J373="","",IF(G373="",J373,J373*(1-IF(H373="",Settings!$B$6,H373))))</f>
        <v/>
      </c>
      <c r="L373" s="20" t="str">
        <f aca="false">IF(OR(J373="",G373=""),"",J373-K373)</f>
        <v/>
      </c>
      <c r="M373" s="1"/>
    </row>
    <row r="374" customFormat="false" ht="15" hidden="false" customHeight="false" outlineLevel="0" collapsed="false">
      <c r="A374" s="27"/>
      <c r="B374" s="1"/>
      <c r="C374" s="24" t="str">
        <f aca="false">IF(B374="","",IFERROR(INDEX(Patients!$B$2:$B$501,MATCH(B374,Patients!$A$2:$A$501,0))&amp;"",""))</f>
        <v/>
      </c>
      <c r="D374" s="1"/>
      <c r="E374" s="28"/>
      <c r="F374" s="1"/>
      <c r="G374" s="1"/>
      <c r="H374" s="29"/>
      <c r="I374" s="1"/>
      <c r="J374" s="20" t="str">
        <f aca="false">IF(D374="","",IFERROR(INDEX(Settings!$C$49:$C$54,MATCH(D374,Settings!$A$49:$A$54,0)),0))</f>
        <v/>
      </c>
      <c r="K374" s="20" t="str">
        <f aca="false">IF(J374="","",IF(G374="",J374,J374*(1-IF(H374="",Settings!$B$6,H374))))</f>
        <v/>
      </c>
      <c r="L374" s="20" t="str">
        <f aca="false">IF(OR(J374="",G374=""),"",J374-K374)</f>
        <v/>
      </c>
      <c r="M374" s="1"/>
    </row>
    <row r="375" customFormat="false" ht="15" hidden="false" customHeight="false" outlineLevel="0" collapsed="false">
      <c r="A375" s="27"/>
      <c r="B375" s="1"/>
      <c r="C375" s="24" t="str">
        <f aca="false">IF(B375="","",IFERROR(INDEX(Patients!$B$2:$B$501,MATCH(B375,Patients!$A$2:$A$501,0))&amp;"",""))</f>
        <v/>
      </c>
      <c r="D375" s="1"/>
      <c r="E375" s="28"/>
      <c r="F375" s="1"/>
      <c r="G375" s="1"/>
      <c r="H375" s="29"/>
      <c r="I375" s="1"/>
      <c r="J375" s="20" t="str">
        <f aca="false">IF(D375="","",IFERROR(INDEX(Settings!$C$49:$C$54,MATCH(D375,Settings!$A$49:$A$54,0)),0))</f>
        <v/>
      </c>
      <c r="K375" s="20" t="str">
        <f aca="false">IF(J375="","",IF(G375="",J375,J375*(1-IF(H375="",Settings!$B$6,H375))))</f>
        <v/>
      </c>
      <c r="L375" s="20" t="str">
        <f aca="false">IF(OR(J375="",G375=""),"",J375-K375)</f>
        <v/>
      </c>
      <c r="M375" s="1"/>
    </row>
    <row r="376" customFormat="false" ht="15" hidden="false" customHeight="false" outlineLevel="0" collapsed="false">
      <c r="A376" s="27"/>
      <c r="B376" s="1"/>
      <c r="C376" s="24" t="str">
        <f aca="false">IF(B376="","",IFERROR(INDEX(Patients!$B$2:$B$501,MATCH(B376,Patients!$A$2:$A$501,0))&amp;"",""))</f>
        <v/>
      </c>
      <c r="D376" s="1"/>
      <c r="E376" s="28"/>
      <c r="F376" s="1"/>
      <c r="G376" s="1"/>
      <c r="H376" s="29"/>
      <c r="I376" s="1"/>
      <c r="J376" s="20" t="str">
        <f aca="false">IF(D376="","",IFERROR(INDEX(Settings!$C$49:$C$54,MATCH(D376,Settings!$A$49:$A$54,0)),0))</f>
        <v/>
      </c>
      <c r="K376" s="20" t="str">
        <f aca="false">IF(J376="","",IF(G376="",J376,J376*(1-IF(H376="",Settings!$B$6,H376))))</f>
        <v/>
      </c>
      <c r="L376" s="20" t="str">
        <f aca="false">IF(OR(J376="",G376=""),"",J376-K376)</f>
        <v/>
      </c>
      <c r="M376" s="1"/>
    </row>
    <row r="377" customFormat="false" ht="15" hidden="false" customHeight="false" outlineLevel="0" collapsed="false">
      <c r="A377" s="27"/>
      <c r="B377" s="1"/>
      <c r="C377" s="24" t="str">
        <f aca="false">IF(B377="","",IFERROR(INDEX(Patients!$B$2:$B$501,MATCH(B377,Patients!$A$2:$A$501,0))&amp;"",""))</f>
        <v/>
      </c>
      <c r="D377" s="1"/>
      <c r="E377" s="28"/>
      <c r="F377" s="1"/>
      <c r="G377" s="1"/>
      <c r="H377" s="29"/>
      <c r="I377" s="1"/>
      <c r="J377" s="20" t="str">
        <f aca="false">IF(D377="","",IFERROR(INDEX(Settings!$C$49:$C$54,MATCH(D377,Settings!$A$49:$A$54,0)),0))</f>
        <v/>
      </c>
      <c r="K377" s="20" t="str">
        <f aca="false">IF(J377="","",IF(G377="",J377,J377*(1-IF(H377="",Settings!$B$6,H377))))</f>
        <v/>
      </c>
      <c r="L377" s="20" t="str">
        <f aca="false">IF(OR(J377="",G377=""),"",J377-K377)</f>
        <v/>
      </c>
      <c r="M377" s="1"/>
    </row>
    <row r="378" customFormat="false" ht="15" hidden="false" customHeight="false" outlineLevel="0" collapsed="false">
      <c r="A378" s="27"/>
      <c r="B378" s="1"/>
      <c r="C378" s="24" t="str">
        <f aca="false">IF(B378="","",IFERROR(INDEX(Patients!$B$2:$B$501,MATCH(B378,Patients!$A$2:$A$501,0))&amp;"",""))</f>
        <v/>
      </c>
      <c r="D378" s="1"/>
      <c r="E378" s="28"/>
      <c r="F378" s="1"/>
      <c r="G378" s="1"/>
      <c r="H378" s="29"/>
      <c r="I378" s="1"/>
      <c r="J378" s="20" t="str">
        <f aca="false">IF(D378="","",IFERROR(INDEX(Settings!$C$49:$C$54,MATCH(D378,Settings!$A$49:$A$54,0)),0))</f>
        <v/>
      </c>
      <c r="K378" s="20" t="str">
        <f aca="false">IF(J378="","",IF(G378="",J378,J378*(1-IF(H378="",Settings!$B$6,H378))))</f>
        <v/>
      </c>
      <c r="L378" s="20" t="str">
        <f aca="false">IF(OR(J378="",G378=""),"",J378-K378)</f>
        <v/>
      </c>
      <c r="M378" s="1"/>
    </row>
    <row r="379" customFormat="false" ht="15" hidden="false" customHeight="false" outlineLevel="0" collapsed="false">
      <c r="A379" s="27"/>
      <c r="B379" s="1"/>
      <c r="C379" s="24" t="str">
        <f aca="false">IF(B379="","",IFERROR(INDEX(Patients!$B$2:$B$501,MATCH(B379,Patients!$A$2:$A$501,0))&amp;"",""))</f>
        <v/>
      </c>
      <c r="D379" s="1"/>
      <c r="E379" s="28"/>
      <c r="F379" s="1"/>
      <c r="G379" s="1"/>
      <c r="H379" s="29"/>
      <c r="I379" s="1"/>
      <c r="J379" s="20" t="str">
        <f aca="false">IF(D379="","",IFERROR(INDEX(Settings!$C$49:$C$54,MATCH(D379,Settings!$A$49:$A$54,0)),0))</f>
        <v/>
      </c>
      <c r="K379" s="20" t="str">
        <f aca="false">IF(J379="","",IF(G379="",J379,J379*(1-IF(H379="",Settings!$B$6,H379))))</f>
        <v/>
      </c>
      <c r="L379" s="20" t="str">
        <f aca="false">IF(OR(J379="",G379=""),"",J379-K379)</f>
        <v/>
      </c>
      <c r="M379" s="1"/>
    </row>
    <row r="380" customFormat="false" ht="15" hidden="false" customHeight="false" outlineLevel="0" collapsed="false">
      <c r="A380" s="27"/>
      <c r="B380" s="1"/>
      <c r="C380" s="24" t="str">
        <f aca="false">IF(B380="","",IFERROR(INDEX(Patients!$B$2:$B$501,MATCH(B380,Patients!$A$2:$A$501,0))&amp;"",""))</f>
        <v/>
      </c>
      <c r="D380" s="1"/>
      <c r="E380" s="28"/>
      <c r="F380" s="1"/>
      <c r="G380" s="1"/>
      <c r="H380" s="29"/>
      <c r="I380" s="1"/>
      <c r="J380" s="20" t="str">
        <f aca="false">IF(D380="","",IFERROR(INDEX(Settings!$C$49:$C$54,MATCH(D380,Settings!$A$49:$A$54,0)),0))</f>
        <v/>
      </c>
      <c r="K380" s="20" t="str">
        <f aca="false">IF(J380="","",IF(G380="",J380,J380*(1-IF(H380="",Settings!$B$6,H380))))</f>
        <v/>
      </c>
      <c r="L380" s="20" t="str">
        <f aca="false">IF(OR(J380="",G380=""),"",J380-K380)</f>
        <v/>
      </c>
      <c r="M380" s="1"/>
    </row>
    <row r="381" customFormat="false" ht="15" hidden="false" customHeight="false" outlineLevel="0" collapsed="false">
      <c r="A381" s="27"/>
      <c r="B381" s="1"/>
      <c r="C381" s="24" t="str">
        <f aca="false">IF(B381="","",IFERROR(INDEX(Patients!$B$2:$B$501,MATCH(B381,Patients!$A$2:$A$501,0))&amp;"",""))</f>
        <v/>
      </c>
      <c r="D381" s="1"/>
      <c r="E381" s="28"/>
      <c r="F381" s="1"/>
      <c r="G381" s="1"/>
      <c r="H381" s="29"/>
      <c r="I381" s="1"/>
      <c r="J381" s="20" t="str">
        <f aca="false">IF(D381="","",IFERROR(INDEX(Settings!$C$49:$C$54,MATCH(D381,Settings!$A$49:$A$54,0)),0))</f>
        <v/>
      </c>
      <c r="K381" s="20" t="str">
        <f aca="false">IF(J381="","",IF(G381="",J381,J381*(1-IF(H381="",Settings!$B$6,H381))))</f>
        <v/>
      </c>
      <c r="L381" s="20" t="str">
        <f aca="false">IF(OR(J381="",G381=""),"",J381-K381)</f>
        <v/>
      </c>
      <c r="M381" s="1"/>
    </row>
    <row r="382" customFormat="false" ht="15" hidden="false" customHeight="false" outlineLevel="0" collapsed="false">
      <c r="A382" s="27"/>
      <c r="B382" s="1"/>
      <c r="C382" s="24" t="str">
        <f aca="false">IF(B382="","",IFERROR(INDEX(Patients!$B$2:$B$501,MATCH(B382,Patients!$A$2:$A$501,0))&amp;"",""))</f>
        <v/>
      </c>
      <c r="D382" s="1"/>
      <c r="E382" s="28"/>
      <c r="F382" s="1"/>
      <c r="G382" s="1"/>
      <c r="H382" s="29"/>
      <c r="I382" s="1"/>
      <c r="J382" s="20" t="str">
        <f aca="false">IF(D382="","",IFERROR(INDEX(Settings!$C$49:$C$54,MATCH(D382,Settings!$A$49:$A$54,0)),0))</f>
        <v/>
      </c>
      <c r="K382" s="20" t="str">
        <f aca="false">IF(J382="","",IF(G382="",J382,J382*(1-IF(H382="",Settings!$B$6,H382))))</f>
        <v/>
      </c>
      <c r="L382" s="20" t="str">
        <f aca="false">IF(OR(J382="",G382=""),"",J382-K382)</f>
        <v/>
      </c>
      <c r="M382" s="1"/>
    </row>
    <row r="383" customFormat="false" ht="15" hidden="false" customHeight="false" outlineLevel="0" collapsed="false">
      <c r="A383" s="27"/>
      <c r="B383" s="1"/>
      <c r="C383" s="24" t="str">
        <f aca="false">IF(B383="","",IFERROR(INDEX(Patients!$B$2:$B$501,MATCH(B383,Patients!$A$2:$A$501,0))&amp;"",""))</f>
        <v/>
      </c>
      <c r="D383" s="1"/>
      <c r="E383" s="28"/>
      <c r="F383" s="1"/>
      <c r="G383" s="1"/>
      <c r="H383" s="29"/>
      <c r="I383" s="1"/>
      <c r="J383" s="20" t="str">
        <f aca="false">IF(D383="","",IFERROR(INDEX(Settings!$C$49:$C$54,MATCH(D383,Settings!$A$49:$A$54,0)),0))</f>
        <v/>
      </c>
      <c r="K383" s="20" t="str">
        <f aca="false">IF(J383="","",IF(G383="",J383,J383*(1-IF(H383="",Settings!$B$6,H383))))</f>
        <v/>
      </c>
      <c r="L383" s="20" t="str">
        <f aca="false">IF(OR(J383="",G383=""),"",J383-K383)</f>
        <v/>
      </c>
      <c r="M383" s="1"/>
    </row>
    <row r="384" customFormat="false" ht="15" hidden="false" customHeight="false" outlineLevel="0" collapsed="false">
      <c r="A384" s="27"/>
      <c r="B384" s="1"/>
      <c r="C384" s="24" t="str">
        <f aca="false">IF(B384="","",IFERROR(INDEX(Patients!$B$2:$B$501,MATCH(B384,Patients!$A$2:$A$501,0))&amp;"",""))</f>
        <v/>
      </c>
      <c r="D384" s="1"/>
      <c r="E384" s="28"/>
      <c r="F384" s="1"/>
      <c r="G384" s="1"/>
      <c r="H384" s="29"/>
      <c r="I384" s="1"/>
      <c r="J384" s="20" t="str">
        <f aca="false">IF(D384="","",IFERROR(INDEX(Settings!$C$49:$C$54,MATCH(D384,Settings!$A$49:$A$54,0)),0))</f>
        <v/>
      </c>
      <c r="K384" s="20" t="str">
        <f aca="false">IF(J384="","",IF(G384="",J384,J384*(1-IF(H384="",Settings!$B$6,H384))))</f>
        <v/>
      </c>
      <c r="L384" s="20" t="str">
        <f aca="false">IF(OR(J384="",G384=""),"",J384-K384)</f>
        <v/>
      </c>
      <c r="M384" s="1"/>
    </row>
    <row r="385" customFormat="false" ht="15" hidden="false" customHeight="false" outlineLevel="0" collapsed="false">
      <c r="A385" s="27"/>
      <c r="B385" s="1"/>
      <c r="C385" s="24" t="str">
        <f aca="false">IF(B385="","",IFERROR(INDEX(Patients!$B$2:$B$501,MATCH(B385,Patients!$A$2:$A$501,0))&amp;"",""))</f>
        <v/>
      </c>
      <c r="D385" s="1"/>
      <c r="E385" s="28"/>
      <c r="F385" s="1"/>
      <c r="G385" s="1"/>
      <c r="H385" s="29"/>
      <c r="I385" s="1"/>
      <c r="J385" s="20" t="str">
        <f aca="false">IF(D385="","",IFERROR(INDEX(Settings!$C$49:$C$54,MATCH(D385,Settings!$A$49:$A$54,0)),0))</f>
        <v/>
      </c>
      <c r="K385" s="20" t="str">
        <f aca="false">IF(J385="","",IF(G385="",J385,J385*(1-IF(H385="",Settings!$B$6,H385))))</f>
        <v/>
      </c>
      <c r="L385" s="20" t="str">
        <f aca="false">IF(OR(J385="",G385=""),"",J385-K385)</f>
        <v/>
      </c>
      <c r="M385" s="1"/>
    </row>
    <row r="386" customFormat="false" ht="15" hidden="false" customHeight="false" outlineLevel="0" collapsed="false">
      <c r="A386" s="27"/>
      <c r="B386" s="1"/>
      <c r="C386" s="24" t="str">
        <f aca="false">IF(B386="","",IFERROR(INDEX(Patients!$B$2:$B$501,MATCH(B386,Patients!$A$2:$A$501,0))&amp;"",""))</f>
        <v/>
      </c>
      <c r="D386" s="1"/>
      <c r="E386" s="28"/>
      <c r="F386" s="1"/>
      <c r="G386" s="1"/>
      <c r="H386" s="29"/>
      <c r="I386" s="1"/>
      <c r="J386" s="20" t="str">
        <f aca="false">IF(D386="","",IFERROR(INDEX(Settings!$C$49:$C$54,MATCH(D386,Settings!$A$49:$A$54,0)),0))</f>
        <v/>
      </c>
      <c r="K386" s="20" t="str">
        <f aca="false">IF(J386="","",IF(G386="",J386,J386*(1-IF(H386="",Settings!$B$6,H386))))</f>
        <v/>
      </c>
      <c r="L386" s="20" t="str">
        <f aca="false">IF(OR(J386="",G386=""),"",J386-K386)</f>
        <v/>
      </c>
      <c r="M386" s="1"/>
    </row>
    <row r="387" customFormat="false" ht="15" hidden="false" customHeight="false" outlineLevel="0" collapsed="false">
      <c r="A387" s="27"/>
      <c r="B387" s="1"/>
      <c r="C387" s="24" t="str">
        <f aca="false">IF(B387="","",IFERROR(INDEX(Patients!$B$2:$B$501,MATCH(B387,Patients!$A$2:$A$501,0))&amp;"",""))</f>
        <v/>
      </c>
      <c r="D387" s="1"/>
      <c r="E387" s="28"/>
      <c r="F387" s="1"/>
      <c r="G387" s="1"/>
      <c r="H387" s="29"/>
      <c r="I387" s="1"/>
      <c r="J387" s="20" t="str">
        <f aca="false">IF(D387="","",IFERROR(INDEX(Settings!$C$49:$C$54,MATCH(D387,Settings!$A$49:$A$54,0)),0))</f>
        <v/>
      </c>
      <c r="K387" s="20" t="str">
        <f aca="false">IF(J387="","",IF(G387="",J387,J387*(1-IF(H387="",Settings!$B$6,H387))))</f>
        <v/>
      </c>
      <c r="L387" s="20" t="str">
        <f aca="false">IF(OR(J387="",G387=""),"",J387-K387)</f>
        <v/>
      </c>
      <c r="M387" s="1"/>
    </row>
    <row r="388" customFormat="false" ht="15" hidden="false" customHeight="false" outlineLevel="0" collapsed="false">
      <c r="A388" s="27"/>
      <c r="B388" s="1"/>
      <c r="C388" s="24" t="str">
        <f aca="false">IF(B388="","",IFERROR(INDEX(Patients!$B$2:$B$501,MATCH(B388,Patients!$A$2:$A$501,0))&amp;"",""))</f>
        <v/>
      </c>
      <c r="D388" s="1"/>
      <c r="E388" s="28"/>
      <c r="F388" s="1"/>
      <c r="G388" s="1"/>
      <c r="H388" s="29"/>
      <c r="I388" s="1"/>
      <c r="J388" s="20" t="str">
        <f aca="false">IF(D388="","",IFERROR(INDEX(Settings!$C$49:$C$54,MATCH(D388,Settings!$A$49:$A$54,0)),0))</f>
        <v/>
      </c>
      <c r="K388" s="20" t="str">
        <f aca="false">IF(J388="","",IF(G388="",J388,J388*(1-IF(H388="",Settings!$B$6,H388))))</f>
        <v/>
      </c>
      <c r="L388" s="20" t="str">
        <f aca="false">IF(OR(J388="",G388=""),"",J388-K388)</f>
        <v/>
      </c>
      <c r="M388" s="1"/>
    </row>
    <row r="389" customFormat="false" ht="15" hidden="false" customHeight="false" outlineLevel="0" collapsed="false">
      <c r="A389" s="27"/>
      <c r="B389" s="1"/>
      <c r="C389" s="24" t="str">
        <f aca="false">IF(B389="","",IFERROR(INDEX(Patients!$B$2:$B$501,MATCH(B389,Patients!$A$2:$A$501,0))&amp;"",""))</f>
        <v/>
      </c>
      <c r="D389" s="1"/>
      <c r="E389" s="28"/>
      <c r="F389" s="1"/>
      <c r="G389" s="1"/>
      <c r="H389" s="29"/>
      <c r="I389" s="1"/>
      <c r="J389" s="20" t="str">
        <f aca="false">IF(D389="","",IFERROR(INDEX(Settings!$C$49:$C$54,MATCH(D389,Settings!$A$49:$A$54,0)),0))</f>
        <v/>
      </c>
      <c r="K389" s="20" t="str">
        <f aca="false">IF(J389="","",IF(G389="",J389,J389*(1-IF(H389="",Settings!$B$6,H389))))</f>
        <v/>
      </c>
      <c r="L389" s="20" t="str">
        <f aca="false">IF(OR(J389="",G389=""),"",J389-K389)</f>
        <v/>
      </c>
      <c r="M389" s="1"/>
    </row>
    <row r="390" customFormat="false" ht="15" hidden="false" customHeight="false" outlineLevel="0" collapsed="false">
      <c r="A390" s="27"/>
      <c r="B390" s="1"/>
      <c r="C390" s="24" t="str">
        <f aca="false">IF(B390="","",IFERROR(INDEX(Patients!$B$2:$B$501,MATCH(B390,Patients!$A$2:$A$501,0))&amp;"",""))</f>
        <v/>
      </c>
      <c r="D390" s="1"/>
      <c r="E390" s="28"/>
      <c r="F390" s="1"/>
      <c r="G390" s="1"/>
      <c r="H390" s="29"/>
      <c r="I390" s="1"/>
      <c r="J390" s="20" t="str">
        <f aca="false">IF(D390="","",IFERROR(INDEX(Settings!$C$49:$C$54,MATCH(D390,Settings!$A$49:$A$54,0)),0))</f>
        <v/>
      </c>
      <c r="K390" s="20" t="str">
        <f aca="false">IF(J390="","",IF(G390="",J390,J390*(1-IF(H390="",Settings!$B$6,H390))))</f>
        <v/>
      </c>
      <c r="L390" s="20" t="str">
        <f aca="false">IF(OR(J390="",G390=""),"",J390-K390)</f>
        <v/>
      </c>
      <c r="M390" s="1"/>
    </row>
    <row r="391" customFormat="false" ht="15" hidden="false" customHeight="false" outlineLevel="0" collapsed="false">
      <c r="A391" s="27"/>
      <c r="B391" s="1"/>
      <c r="C391" s="24" t="str">
        <f aca="false">IF(B391="","",IFERROR(INDEX(Patients!$B$2:$B$501,MATCH(B391,Patients!$A$2:$A$501,0))&amp;"",""))</f>
        <v/>
      </c>
      <c r="D391" s="1"/>
      <c r="E391" s="28"/>
      <c r="F391" s="1"/>
      <c r="G391" s="1"/>
      <c r="H391" s="29"/>
      <c r="I391" s="1"/>
      <c r="J391" s="20" t="str">
        <f aca="false">IF(D391="","",IFERROR(INDEX(Settings!$C$49:$C$54,MATCH(D391,Settings!$A$49:$A$54,0)),0))</f>
        <v/>
      </c>
      <c r="K391" s="20" t="str">
        <f aca="false">IF(J391="","",IF(G391="",J391,J391*(1-IF(H391="",Settings!$B$6,H391))))</f>
        <v/>
      </c>
      <c r="L391" s="20" t="str">
        <f aca="false">IF(OR(J391="",G391=""),"",J391-K391)</f>
        <v/>
      </c>
      <c r="M391" s="1"/>
    </row>
    <row r="392" customFormat="false" ht="15" hidden="false" customHeight="false" outlineLevel="0" collapsed="false">
      <c r="A392" s="27"/>
      <c r="B392" s="1"/>
      <c r="C392" s="24" t="str">
        <f aca="false">IF(B392="","",IFERROR(INDEX(Patients!$B$2:$B$501,MATCH(B392,Patients!$A$2:$A$501,0))&amp;"",""))</f>
        <v/>
      </c>
      <c r="D392" s="1"/>
      <c r="E392" s="28"/>
      <c r="F392" s="1"/>
      <c r="G392" s="1"/>
      <c r="H392" s="29"/>
      <c r="I392" s="1"/>
      <c r="J392" s="20" t="str">
        <f aca="false">IF(D392="","",IFERROR(INDEX(Settings!$C$49:$C$54,MATCH(D392,Settings!$A$49:$A$54,0)),0))</f>
        <v/>
      </c>
      <c r="K392" s="20" t="str">
        <f aca="false">IF(J392="","",IF(G392="",J392,J392*(1-IF(H392="",Settings!$B$6,H392))))</f>
        <v/>
      </c>
      <c r="L392" s="20" t="str">
        <f aca="false">IF(OR(J392="",G392=""),"",J392-K392)</f>
        <v/>
      </c>
      <c r="M392" s="1"/>
    </row>
    <row r="393" customFormat="false" ht="15" hidden="false" customHeight="false" outlineLevel="0" collapsed="false">
      <c r="A393" s="27"/>
      <c r="B393" s="1"/>
      <c r="C393" s="24" t="str">
        <f aca="false">IF(B393="","",IFERROR(INDEX(Patients!$B$2:$B$501,MATCH(B393,Patients!$A$2:$A$501,0))&amp;"",""))</f>
        <v/>
      </c>
      <c r="D393" s="1"/>
      <c r="E393" s="28"/>
      <c r="F393" s="1"/>
      <c r="G393" s="1"/>
      <c r="H393" s="29"/>
      <c r="I393" s="1"/>
      <c r="J393" s="20" t="str">
        <f aca="false">IF(D393="","",IFERROR(INDEX(Settings!$C$49:$C$54,MATCH(D393,Settings!$A$49:$A$54,0)),0))</f>
        <v/>
      </c>
      <c r="K393" s="20" t="str">
        <f aca="false">IF(J393="","",IF(G393="",J393,J393*(1-IF(H393="",Settings!$B$6,H393))))</f>
        <v/>
      </c>
      <c r="L393" s="20" t="str">
        <f aca="false">IF(OR(J393="",G393=""),"",J393-K393)</f>
        <v/>
      </c>
      <c r="M393" s="1"/>
    </row>
    <row r="394" customFormat="false" ht="15" hidden="false" customHeight="false" outlineLevel="0" collapsed="false">
      <c r="A394" s="27"/>
      <c r="B394" s="1"/>
      <c r="C394" s="24" t="str">
        <f aca="false">IF(B394="","",IFERROR(INDEX(Patients!$B$2:$B$501,MATCH(B394,Patients!$A$2:$A$501,0))&amp;"",""))</f>
        <v/>
      </c>
      <c r="D394" s="1"/>
      <c r="E394" s="28"/>
      <c r="F394" s="1"/>
      <c r="G394" s="1"/>
      <c r="H394" s="29"/>
      <c r="I394" s="1"/>
      <c r="J394" s="20" t="str">
        <f aca="false">IF(D394="","",IFERROR(INDEX(Settings!$C$49:$C$54,MATCH(D394,Settings!$A$49:$A$54,0)),0))</f>
        <v/>
      </c>
      <c r="K394" s="20" t="str">
        <f aca="false">IF(J394="","",IF(G394="",J394,J394*(1-IF(H394="",Settings!$B$6,H394))))</f>
        <v/>
      </c>
      <c r="L394" s="20" t="str">
        <f aca="false">IF(OR(J394="",G394=""),"",J394-K394)</f>
        <v/>
      </c>
      <c r="M394" s="1"/>
    </row>
    <row r="395" customFormat="false" ht="15" hidden="false" customHeight="false" outlineLevel="0" collapsed="false">
      <c r="A395" s="27"/>
      <c r="B395" s="1"/>
      <c r="C395" s="24" t="str">
        <f aca="false">IF(B395="","",IFERROR(INDEX(Patients!$B$2:$B$501,MATCH(B395,Patients!$A$2:$A$501,0))&amp;"",""))</f>
        <v/>
      </c>
      <c r="D395" s="1"/>
      <c r="E395" s="28"/>
      <c r="F395" s="1"/>
      <c r="G395" s="1"/>
      <c r="H395" s="29"/>
      <c r="I395" s="1"/>
      <c r="J395" s="20" t="str">
        <f aca="false">IF(D395="","",IFERROR(INDEX(Settings!$C$49:$C$54,MATCH(D395,Settings!$A$49:$A$54,0)),0))</f>
        <v/>
      </c>
      <c r="K395" s="20" t="str">
        <f aca="false">IF(J395="","",IF(G395="",J395,J395*(1-IF(H395="",Settings!$B$6,H395))))</f>
        <v/>
      </c>
      <c r="L395" s="20" t="str">
        <f aca="false">IF(OR(J395="",G395=""),"",J395-K395)</f>
        <v/>
      </c>
      <c r="M395" s="1"/>
    </row>
    <row r="396" customFormat="false" ht="15" hidden="false" customHeight="false" outlineLevel="0" collapsed="false">
      <c r="A396" s="27"/>
      <c r="B396" s="1"/>
      <c r="C396" s="24" t="str">
        <f aca="false">IF(B396="","",IFERROR(INDEX(Patients!$B$2:$B$501,MATCH(B396,Patients!$A$2:$A$501,0))&amp;"",""))</f>
        <v/>
      </c>
      <c r="D396" s="1"/>
      <c r="E396" s="28"/>
      <c r="F396" s="1"/>
      <c r="G396" s="1"/>
      <c r="H396" s="29"/>
      <c r="I396" s="1"/>
      <c r="J396" s="20" t="str">
        <f aca="false">IF(D396="","",IFERROR(INDEX(Settings!$C$49:$C$54,MATCH(D396,Settings!$A$49:$A$54,0)),0))</f>
        <v/>
      </c>
      <c r="K396" s="20" t="str">
        <f aca="false">IF(J396="","",IF(G396="",J396,J396*(1-IF(H396="",Settings!$B$6,H396))))</f>
        <v/>
      </c>
      <c r="L396" s="20" t="str">
        <f aca="false">IF(OR(J396="",G396=""),"",J396-K396)</f>
        <v/>
      </c>
      <c r="M396" s="1"/>
    </row>
    <row r="397" customFormat="false" ht="15" hidden="false" customHeight="false" outlineLevel="0" collapsed="false">
      <c r="A397" s="27"/>
      <c r="B397" s="1"/>
      <c r="C397" s="24" t="str">
        <f aca="false">IF(B397="","",IFERROR(INDEX(Patients!$B$2:$B$501,MATCH(B397,Patients!$A$2:$A$501,0))&amp;"",""))</f>
        <v/>
      </c>
      <c r="D397" s="1"/>
      <c r="E397" s="28"/>
      <c r="F397" s="1"/>
      <c r="G397" s="1"/>
      <c r="H397" s="29"/>
      <c r="I397" s="1"/>
      <c r="J397" s="20" t="str">
        <f aca="false">IF(D397="","",IFERROR(INDEX(Settings!$C$49:$C$54,MATCH(D397,Settings!$A$49:$A$54,0)),0))</f>
        <v/>
      </c>
      <c r="K397" s="20" t="str">
        <f aca="false">IF(J397="","",IF(G397="",J397,J397*(1-IF(H397="",Settings!$B$6,H397))))</f>
        <v/>
      </c>
      <c r="L397" s="20" t="str">
        <f aca="false">IF(OR(J397="",G397=""),"",J397-K397)</f>
        <v/>
      </c>
      <c r="M397" s="1"/>
    </row>
    <row r="398" customFormat="false" ht="15" hidden="false" customHeight="false" outlineLevel="0" collapsed="false">
      <c r="A398" s="27"/>
      <c r="B398" s="1"/>
      <c r="C398" s="24" t="str">
        <f aca="false">IF(B398="","",IFERROR(INDEX(Patients!$B$2:$B$501,MATCH(B398,Patients!$A$2:$A$501,0))&amp;"",""))</f>
        <v/>
      </c>
      <c r="D398" s="1"/>
      <c r="E398" s="28"/>
      <c r="F398" s="1"/>
      <c r="G398" s="1"/>
      <c r="H398" s="29"/>
      <c r="I398" s="1"/>
      <c r="J398" s="20" t="str">
        <f aca="false">IF(D398="","",IFERROR(INDEX(Settings!$C$49:$C$54,MATCH(D398,Settings!$A$49:$A$54,0)),0))</f>
        <v/>
      </c>
      <c r="K398" s="20" t="str">
        <f aca="false">IF(J398="","",IF(G398="",J398,J398*(1-IF(H398="",Settings!$B$6,H398))))</f>
        <v/>
      </c>
      <c r="L398" s="20" t="str">
        <f aca="false">IF(OR(J398="",G398=""),"",J398-K398)</f>
        <v/>
      </c>
      <c r="M398" s="1"/>
    </row>
    <row r="399" customFormat="false" ht="15" hidden="false" customHeight="false" outlineLevel="0" collapsed="false">
      <c r="A399" s="27"/>
      <c r="B399" s="1"/>
      <c r="C399" s="24" t="str">
        <f aca="false">IF(B399="","",IFERROR(INDEX(Patients!$B$2:$B$501,MATCH(B399,Patients!$A$2:$A$501,0))&amp;"",""))</f>
        <v/>
      </c>
      <c r="D399" s="1"/>
      <c r="E399" s="28"/>
      <c r="F399" s="1"/>
      <c r="G399" s="1"/>
      <c r="H399" s="29"/>
      <c r="I399" s="1"/>
      <c r="J399" s="20" t="str">
        <f aca="false">IF(D399="","",IFERROR(INDEX(Settings!$C$49:$C$54,MATCH(D399,Settings!$A$49:$A$54,0)),0))</f>
        <v/>
      </c>
      <c r="K399" s="20" t="str">
        <f aca="false">IF(J399="","",IF(G399="",J399,J399*(1-IF(H399="",Settings!$B$6,H399))))</f>
        <v/>
      </c>
      <c r="L399" s="20" t="str">
        <f aca="false">IF(OR(J399="",G399=""),"",J399-K399)</f>
        <v/>
      </c>
      <c r="M399" s="1"/>
    </row>
    <row r="400" customFormat="false" ht="15" hidden="false" customHeight="false" outlineLevel="0" collapsed="false">
      <c r="A400" s="27"/>
      <c r="B400" s="1"/>
      <c r="C400" s="24" t="str">
        <f aca="false">IF(B400="","",IFERROR(INDEX(Patients!$B$2:$B$501,MATCH(B400,Patients!$A$2:$A$501,0))&amp;"",""))</f>
        <v/>
      </c>
      <c r="D400" s="1"/>
      <c r="E400" s="28"/>
      <c r="F400" s="1"/>
      <c r="G400" s="1"/>
      <c r="H400" s="29"/>
      <c r="I400" s="1"/>
      <c r="J400" s="20" t="str">
        <f aca="false">IF(D400="","",IFERROR(INDEX(Settings!$C$49:$C$54,MATCH(D400,Settings!$A$49:$A$54,0)),0))</f>
        <v/>
      </c>
      <c r="K400" s="20" t="str">
        <f aca="false">IF(J400="","",IF(G400="",J400,J400*(1-IF(H400="",Settings!$B$6,H400))))</f>
        <v/>
      </c>
      <c r="L400" s="20" t="str">
        <f aca="false">IF(OR(J400="",G400=""),"",J400-K400)</f>
        <v/>
      </c>
      <c r="M400" s="1"/>
    </row>
    <row r="401" customFormat="false" ht="15" hidden="false" customHeight="false" outlineLevel="0" collapsed="false">
      <c r="A401" s="27"/>
      <c r="B401" s="1"/>
      <c r="C401" s="24" t="str">
        <f aca="false">IF(B401="","",IFERROR(INDEX(Patients!$B$2:$B$501,MATCH(B401,Patients!$A$2:$A$501,0))&amp;"",""))</f>
        <v/>
      </c>
      <c r="D401" s="1"/>
      <c r="E401" s="28"/>
      <c r="F401" s="1"/>
      <c r="G401" s="1"/>
      <c r="H401" s="29"/>
      <c r="I401" s="1"/>
      <c r="J401" s="20" t="str">
        <f aca="false">IF(D401="","",IFERROR(INDEX(Settings!$C$49:$C$54,MATCH(D401,Settings!$A$49:$A$54,0)),0))</f>
        <v/>
      </c>
      <c r="K401" s="20" t="str">
        <f aca="false">IF(J401="","",IF(G401="",J401,J401*(1-IF(H401="",Settings!$B$6,H401))))</f>
        <v/>
      </c>
      <c r="L401" s="20" t="str">
        <f aca="false">IF(OR(J401="",G401=""),"",J401-K401)</f>
        <v/>
      </c>
      <c r="M401" s="1"/>
    </row>
    <row r="402" customFormat="false" ht="15" hidden="false" customHeight="false" outlineLevel="0" collapsed="false">
      <c r="A402" s="27"/>
      <c r="B402" s="1"/>
      <c r="C402" s="24" t="str">
        <f aca="false">IF(B402="","",IFERROR(INDEX(Patients!$B$2:$B$501,MATCH(B402,Patients!$A$2:$A$501,0))&amp;"",""))</f>
        <v/>
      </c>
      <c r="D402" s="1"/>
      <c r="E402" s="28"/>
      <c r="F402" s="1"/>
      <c r="G402" s="1"/>
      <c r="H402" s="29"/>
      <c r="I402" s="1"/>
      <c r="J402" s="20" t="str">
        <f aca="false">IF(D402="","",IFERROR(INDEX(Settings!$C$49:$C$54,MATCH(D402,Settings!$A$49:$A$54,0)),0))</f>
        <v/>
      </c>
      <c r="K402" s="20" t="str">
        <f aca="false">IF(J402="","",IF(G402="",J402,J402*(1-IF(H402="",Settings!$B$6,H402))))</f>
        <v/>
      </c>
      <c r="L402" s="20" t="str">
        <f aca="false">IF(OR(J402="",G402=""),"",J402-K402)</f>
        <v/>
      </c>
      <c r="M402" s="1"/>
    </row>
    <row r="403" customFormat="false" ht="15" hidden="false" customHeight="false" outlineLevel="0" collapsed="false">
      <c r="A403" s="27"/>
      <c r="B403" s="1"/>
      <c r="C403" s="24" t="str">
        <f aca="false">IF(B403="","",IFERROR(INDEX(Patients!$B$2:$B$501,MATCH(B403,Patients!$A$2:$A$501,0))&amp;"",""))</f>
        <v/>
      </c>
      <c r="D403" s="1"/>
      <c r="E403" s="28"/>
      <c r="F403" s="1"/>
      <c r="G403" s="1"/>
      <c r="H403" s="29"/>
      <c r="I403" s="1"/>
      <c r="J403" s="20" t="str">
        <f aca="false">IF(D403="","",IFERROR(INDEX(Settings!$C$49:$C$54,MATCH(D403,Settings!$A$49:$A$54,0)),0))</f>
        <v/>
      </c>
      <c r="K403" s="20" t="str">
        <f aca="false">IF(J403="","",IF(G403="",J403,J403*(1-IF(H403="",Settings!$B$6,H403))))</f>
        <v/>
      </c>
      <c r="L403" s="20" t="str">
        <f aca="false">IF(OR(J403="",G403=""),"",J403-K403)</f>
        <v/>
      </c>
      <c r="M403" s="1"/>
    </row>
    <row r="404" customFormat="false" ht="15" hidden="false" customHeight="false" outlineLevel="0" collapsed="false">
      <c r="A404" s="27"/>
      <c r="B404" s="1"/>
      <c r="C404" s="24" t="str">
        <f aca="false">IF(B404="","",IFERROR(INDEX(Patients!$B$2:$B$501,MATCH(B404,Patients!$A$2:$A$501,0))&amp;"",""))</f>
        <v/>
      </c>
      <c r="D404" s="1"/>
      <c r="E404" s="28"/>
      <c r="F404" s="1"/>
      <c r="G404" s="1"/>
      <c r="H404" s="29"/>
      <c r="I404" s="1"/>
      <c r="J404" s="20" t="str">
        <f aca="false">IF(D404="","",IFERROR(INDEX(Settings!$C$49:$C$54,MATCH(D404,Settings!$A$49:$A$54,0)),0))</f>
        <v/>
      </c>
      <c r="K404" s="20" t="str">
        <f aca="false">IF(J404="","",IF(G404="",J404,J404*(1-IF(H404="",Settings!$B$6,H404))))</f>
        <v/>
      </c>
      <c r="L404" s="20" t="str">
        <f aca="false">IF(OR(J404="",G404=""),"",J404-K404)</f>
        <v/>
      </c>
      <c r="M404" s="1"/>
    </row>
    <row r="405" customFormat="false" ht="15" hidden="false" customHeight="false" outlineLevel="0" collapsed="false">
      <c r="A405" s="27"/>
      <c r="B405" s="1"/>
      <c r="C405" s="24" t="str">
        <f aca="false">IF(B405="","",IFERROR(INDEX(Patients!$B$2:$B$501,MATCH(B405,Patients!$A$2:$A$501,0))&amp;"",""))</f>
        <v/>
      </c>
      <c r="D405" s="1"/>
      <c r="E405" s="28"/>
      <c r="F405" s="1"/>
      <c r="G405" s="1"/>
      <c r="H405" s="29"/>
      <c r="I405" s="1"/>
      <c r="J405" s="20" t="str">
        <f aca="false">IF(D405="","",IFERROR(INDEX(Settings!$C$49:$C$54,MATCH(D405,Settings!$A$49:$A$54,0)),0))</f>
        <v/>
      </c>
      <c r="K405" s="20" t="str">
        <f aca="false">IF(J405="","",IF(G405="",J405,J405*(1-IF(H405="",Settings!$B$6,H405))))</f>
        <v/>
      </c>
      <c r="L405" s="20" t="str">
        <f aca="false">IF(OR(J405="",G405=""),"",J405-K405)</f>
        <v/>
      </c>
      <c r="M405" s="1"/>
    </row>
    <row r="406" customFormat="false" ht="15" hidden="false" customHeight="false" outlineLevel="0" collapsed="false">
      <c r="A406" s="27"/>
      <c r="B406" s="1"/>
      <c r="C406" s="24" t="str">
        <f aca="false">IF(B406="","",IFERROR(INDEX(Patients!$B$2:$B$501,MATCH(B406,Patients!$A$2:$A$501,0))&amp;"",""))</f>
        <v/>
      </c>
      <c r="D406" s="1"/>
      <c r="E406" s="28"/>
      <c r="F406" s="1"/>
      <c r="G406" s="1"/>
      <c r="H406" s="29"/>
      <c r="I406" s="1"/>
      <c r="J406" s="20" t="str">
        <f aca="false">IF(D406="","",IFERROR(INDEX(Settings!$C$49:$C$54,MATCH(D406,Settings!$A$49:$A$54,0)),0))</f>
        <v/>
      </c>
      <c r="K406" s="20" t="str">
        <f aca="false">IF(J406="","",IF(G406="",J406,J406*(1-IF(H406="",Settings!$B$6,H406))))</f>
        <v/>
      </c>
      <c r="L406" s="20" t="str">
        <f aca="false">IF(OR(J406="",G406=""),"",J406-K406)</f>
        <v/>
      </c>
      <c r="M406" s="1"/>
    </row>
    <row r="407" customFormat="false" ht="15" hidden="false" customHeight="false" outlineLevel="0" collapsed="false">
      <c r="A407" s="27"/>
      <c r="B407" s="1"/>
      <c r="C407" s="24" t="str">
        <f aca="false">IF(B407="","",IFERROR(INDEX(Patients!$B$2:$B$501,MATCH(B407,Patients!$A$2:$A$501,0))&amp;"",""))</f>
        <v/>
      </c>
      <c r="D407" s="1"/>
      <c r="E407" s="28"/>
      <c r="F407" s="1"/>
      <c r="G407" s="1"/>
      <c r="H407" s="29"/>
      <c r="I407" s="1"/>
      <c r="J407" s="20" t="str">
        <f aca="false">IF(D407="","",IFERROR(INDEX(Settings!$C$49:$C$54,MATCH(D407,Settings!$A$49:$A$54,0)),0))</f>
        <v/>
      </c>
      <c r="K407" s="20" t="str">
        <f aca="false">IF(J407="","",IF(G407="",J407,J407*(1-IF(H407="",Settings!$B$6,H407))))</f>
        <v/>
      </c>
      <c r="L407" s="20" t="str">
        <f aca="false">IF(OR(J407="",G407=""),"",J407-K407)</f>
        <v/>
      </c>
      <c r="M407" s="1"/>
    </row>
    <row r="408" customFormat="false" ht="15" hidden="false" customHeight="false" outlineLevel="0" collapsed="false">
      <c r="A408" s="27"/>
      <c r="B408" s="1"/>
      <c r="C408" s="24" t="str">
        <f aca="false">IF(B408="","",IFERROR(INDEX(Patients!$B$2:$B$501,MATCH(B408,Patients!$A$2:$A$501,0))&amp;"",""))</f>
        <v/>
      </c>
      <c r="D408" s="1"/>
      <c r="E408" s="28"/>
      <c r="F408" s="1"/>
      <c r="G408" s="1"/>
      <c r="H408" s="29"/>
      <c r="I408" s="1"/>
      <c r="J408" s="20" t="str">
        <f aca="false">IF(D408="","",IFERROR(INDEX(Settings!$C$49:$C$54,MATCH(D408,Settings!$A$49:$A$54,0)),0))</f>
        <v/>
      </c>
      <c r="K408" s="20" t="str">
        <f aca="false">IF(J408="","",IF(G408="",J408,J408*(1-IF(H408="",Settings!$B$6,H408))))</f>
        <v/>
      </c>
      <c r="L408" s="20" t="str">
        <f aca="false">IF(OR(J408="",G408=""),"",J408-K408)</f>
        <v/>
      </c>
      <c r="M408" s="1"/>
    </row>
    <row r="409" customFormat="false" ht="15" hidden="false" customHeight="false" outlineLevel="0" collapsed="false">
      <c r="A409" s="27"/>
      <c r="B409" s="1"/>
      <c r="C409" s="24" t="str">
        <f aca="false">IF(B409="","",IFERROR(INDEX(Patients!$B$2:$B$501,MATCH(B409,Patients!$A$2:$A$501,0))&amp;"",""))</f>
        <v/>
      </c>
      <c r="D409" s="1"/>
      <c r="E409" s="28"/>
      <c r="F409" s="1"/>
      <c r="G409" s="1"/>
      <c r="H409" s="29"/>
      <c r="I409" s="1"/>
      <c r="J409" s="20" t="str">
        <f aca="false">IF(D409="","",IFERROR(INDEX(Settings!$C$49:$C$54,MATCH(D409,Settings!$A$49:$A$54,0)),0))</f>
        <v/>
      </c>
      <c r="K409" s="20" t="str">
        <f aca="false">IF(J409="","",IF(G409="",J409,J409*(1-IF(H409="",Settings!$B$6,H409))))</f>
        <v/>
      </c>
      <c r="L409" s="20" t="str">
        <f aca="false">IF(OR(J409="",G409=""),"",J409-K409)</f>
        <v/>
      </c>
      <c r="M409" s="1"/>
    </row>
    <row r="410" customFormat="false" ht="15" hidden="false" customHeight="false" outlineLevel="0" collapsed="false">
      <c r="A410" s="27"/>
      <c r="B410" s="1"/>
      <c r="C410" s="24" t="str">
        <f aca="false">IF(B410="","",IFERROR(INDEX(Patients!$B$2:$B$501,MATCH(B410,Patients!$A$2:$A$501,0))&amp;"",""))</f>
        <v/>
      </c>
      <c r="D410" s="1"/>
      <c r="E410" s="28"/>
      <c r="F410" s="1"/>
      <c r="G410" s="1"/>
      <c r="H410" s="29"/>
      <c r="I410" s="1"/>
      <c r="J410" s="20" t="str">
        <f aca="false">IF(D410="","",IFERROR(INDEX(Settings!$C$49:$C$54,MATCH(D410,Settings!$A$49:$A$54,0)),0))</f>
        <v/>
      </c>
      <c r="K410" s="20" t="str">
        <f aca="false">IF(J410="","",IF(G410="",J410,J410*(1-IF(H410="",Settings!$B$6,H410))))</f>
        <v/>
      </c>
      <c r="L410" s="20" t="str">
        <f aca="false">IF(OR(J410="",G410=""),"",J410-K410)</f>
        <v/>
      </c>
      <c r="M410" s="1"/>
    </row>
    <row r="411" customFormat="false" ht="15" hidden="false" customHeight="false" outlineLevel="0" collapsed="false">
      <c r="A411" s="27"/>
      <c r="B411" s="1"/>
      <c r="C411" s="24" t="str">
        <f aca="false">IF(B411="","",IFERROR(INDEX(Patients!$B$2:$B$501,MATCH(B411,Patients!$A$2:$A$501,0))&amp;"",""))</f>
        <v/>
      </c>
      <c r="D411" s="1"/>
      <c r="E411" s="28"/>
      <c r="F411" s="1"/>
      <c r="G411" s="1"/>
      <c r="H411" s="29"/>
      <c r="I411" s="1"/>
      <c r="J411" s="20" t="str">
        <f aca="false">IF(D411="","",IFERROR(INDEX(Settings!$C$49:$C$54,MATCH(D411,Settings!$A$49:$A$54,0)),0))</f>
        <v/>
      </c>
      <c r="K411" s="20" t="str">
        <f aca="false">IF(J411="","",IF(G411="",J411,J411*(1-IF(H411="",Settings!$B$6,H411))))</f>
        <v/>
      </c>
      <c r="L411" s="20" t="str">
        <f aca="false">IF(OR(J411="",G411=""),"",J411-K411)</f>
        <v/>
      </c>
      <c r="M411" s="1"/>
    </row>
    <row r="412" customFormat="false" ht="15" hidden="false" customHeight="false" outlineLevel="0" collapsed="false">
      <c r="A412" s="27"/>
      <c r="B412" s="1"/>
      <c r="C412" s="24" t="str">
        <f aca="false">IF(B412="","",IFERROR(INDEX(Patients!$B$2:$B$501,MATCH(B412,Patients!$A$2:$A$501,0))&amp;"",""))</f>
        <v/>
      </c>
      <c r="D412" s="1"/>
      <c r="E412" s="28"/>
      <c r="F412" s="1"/>
      <c r="G412" s="1"/>
      <c r="H412" s="29"/>
      <c r="I412" s="1"/>
      <c r="J412" s="20" t="str">
        <f aca="false">IF(D412="","",IFERROR(INDEX(Settings!$C$49:$C$54,MATCH(D412,Settings!$A$49:$A$54,0)),0))</f>
        <v/>
      </c>
      <c r="K412" s="20" t="str">
        <f aca="false">IF(J412="","",IF(G412="",J412,J412*(1-IF(H412="",Settings!$B$6,H412))))</f>
        <v/>
      </c>
      <c r="L412" s="20" t="str">
        <f aca="false">IF(OR(J412="",G412=""),"",J412-K412)</f>
        <v/>
      </c>
      <c r="M412" s="1"/>
    </row>
    <row r="413" customFormat="false" ht="15" hidden="false" customHeight="false" outlineLevel="0" collapsed="false">
      <c r="A413" s="27"/>
      <c r="B413" s="1"/>
      <c r="C413" s="24" t="str">
        <f aca="false">IF(B413="","",IFERROR(INDEX(Patients!$B$2:$B$501,MATCH(B413,Patients!$A$2:$A$501,0))&amp;"",""))</f>
        <v/>
      </c>
      <c r="D413" s="1"/>
      <c r="E413" s="28"/>
      <c r="F413" s="1"/>
      <c r="G413" s="1"/>
      <c r="H413" s="29"/>
      <c r="I413" s="1"/>
      <c r="J413" s="20" t="str">
        <f aca="false">IF(D413="","",IFERROR(INDEX(Settings!$C$49:$C$54,MATCH(D413,Settings!$A$49:$A$54,0)),0))</f>
        <v/>
      </c>
      <c r="K413" s="20" t="str">
        <f aca="false">IF(J413="","",IF(G413="",J413,J413*(1-IF(H413="",Settings!$B$6,H413))))</f>
        <v/>
      </c>
      <c r="L413" s="20" t="str">
        <f aca="false">IF(OR(J413="",G413=""),"",J413-K413)</f>
        <v/>
      </c>
      <c r="M413" s="1"/>
    </row>
    <row r="414" customFormat="false" ht="15" hidden="false" customHeight="false" outlineLevel="0" collapsed="false">
      <c r="A414" s="27"/>
      <c r="B414" s="1"/>
      <c r="C414" s="24" t="str">
        <f aca="false">IF(B414="","",IFERROR(INDEX(Patients!$B$2:$B$501,MATCH(B414,Patients!$A$2:$A$501,0))&amp;"",""))</f>
        <v/>
      </c>
      <c r="D414" s="1"/>
      <c r="E414" s="28"/>
      <c r="F414" s="1"/>
      <c r="G414" s="1"/>
      <c r="H414" s="29"/>
      <c r="I414" s="1"/>
      <c r="J414" s="20" t="str">
        <f aca="false">IF(D414="","",IFERROR(INDEX(Settings!$C$49:$C$54,MATCH(D414,Settings!$A$49:$A$54,0)),0))</f>
        <v/>
      </c>
      <c r="K414" s="20" t="str">
        <f aca="false">IF(J414="","",IF(G414="",J414,J414*(1-IF(H414="",Settings!$B$6,H414))))</f>
        <v/>
      </c>
      <c r="L414" s="20" t="str">
        <f aca="false">IF(OR(J414="",G414=""),"",J414-K414)</f>
        <v/>
      </c>
      <c r="M414" s="1"/>
    </row>
    <row r="415" customFormat="false" ht="15" hidden="false" customHeight="false" outlineLevel="0" collapsed="false">
      <c r="A415" s="27"/>
      <c r="B415" s="1"/>
      <c r="C415" s="24" t="str">
        <f aca="false">IF(B415="","",IFERROR(INDEX(Patients!$B$2:$B$501,MATCH(B415,Patients!$A$2:$A$501,0))&amp;"",""))</f>
        <v/>
      </c>
      <c r="D415" s="1"/>
      <c r="E415" s="28"/>
      <c r="F415" s="1"/>
      <c r="G415" s="1"/>
      <c r="H415" s="29"/>
      <c r="I415" s="1"/>
      <c r="J415" s="20" t="str">
        <f aca="false">IF(D415="","",IFERROR(INDEX(Settings!$C$49:$C$54,MATCH(D415,Settings!$A$49:$A$54,0)),0))</f>
        <v/>
      </c>
      <c r="K415" s="20" t="str">
        <f aca="false">IF(J415="","",IF(G415="",J415,J415*(1-IF(H415="",Settings!$B$6,H415))))</f>
        <v/>
      </c>
      <c r="L415" s="20" t="str">
        <f aca="false">IF(OR(J415="",G415=""),"",J415-K415)</f>
        <v/>
      </c>
      <c r="M415" s="1"/>
    </row>
    <row r="416" customFormat="false" ht="15" hidden="false" customHeight="false" outlineLevel="0" collapsed="false">
      <c r="A416" s="27"/>
      <c r="B416" s="1"/>
      <c r="C416" s="24" t="str">
        <f aca="false">IF(B416="","",IFERROR(INDEX(Patients!$B$2:$B$501,MATCH(B416,Patients!$A$2:$A$501,0))&amp;"",""))</f>
        <v/>
      </c>
      <c r="D416" s="1"/>
      <c r="E416" s="28"/>
      <c r="F416" s="1"/>
      <c r="G416" s="1"/>
      <c r="H416" s="29"/>
      <c r="I416" s="1"/>
      <c r="J416" s="20" t="str">
        <f aca="false">IF(D416="","",IFERROR(INDEX(Settings!$C$49:$C$54,MATCH(D416,Settings!$A$49:$A$54,0)),0))</f>
        <v/>
      </c>
      <c r="K416" s="20" t="str">
        <f aca="false">IF(J416="","",IF(G416="",J416,J416*(1-IF(H416="",Settings!$B$6,H416))))</f>
        <v/>
      </c>
      <c r="L416" s="20" t="str">
        <f aca="false">IF(OR(J416="",G416=""),"",J416-K416)</f>
        <v/>
      </c>
      <c r="M416" s="1"/>
    </row>
    <row r="417" customFormat="false" ht="15" hidden="false" customHeight="false" outlineLevel="0" collapsed="false">
      <c r="A417" s="27"/>
      <c r="B417" s="1"/>
      <c r="C417" s="24" t="str">
        <f aca="false">IF(B417="","",IFERROR(INDEX(Patients!$B$2:$B$501,MATCH(B417,Patients!$A$2:$A$501,0))&amp;"",""))</f>
        <v/>
      </c>
      <c r="D417" s="1"/>
      <c r="E417" s="28"/>
      <c r="F417" s="1"/>
      <c r="G417" s="1"/>
      <c r="H417" s="29"/>
      <c r="I417" s="1"/>
      <c r="J417" s="20" t="str">
        <f aca="false">IF(D417="","",IFERROR(INDEX(Settings!$C$49:$C$54,MATCH(D417,Settings!$A$49:$A$54,0)),0))</f>
        <v/>
      </c>
      <c r="K417" s="20" t="str">
        <f aca="false">IF(J417="","",IF(G417="",J417,J417*(1-IF(H417="",Settings!$B$6,H417))))</f>
        <v/>
      </c>
      <c r="L417" s="20" t="str">
        <f aca="false">IF(OR(J417="",G417=""),"",J417-K417)</f>
        <v/>
      </c>
      <c r="M417" s="1"/>
    </row>
    <row r="418" customFormat="false" ht="15" hidden="false" customHeight="false" outlineLevel="0" collapsed="false">
      <c r="A418" s="27"/>
      <c r="B418" s="1"/>
      <c r="C418" s="24" t="str">
        <f aca="false">IF(B418="","",IFERROR(INDEX(Patients!$B$2:$B$501,MATCH(B418,Patients!$A$2:$A$501,0))&amp;"",""))</f>
        <v/>
      </c>
      <c r="D418" s="1"/>
      <c r="E418" s="28"/>
      <c r="F418" s="1"/>
      <c r="G418" s="1"/>
      <c r="H418" s="29"/>
      <c r="I418" s="1"/>
      <c r="J418" s="20" t="str">
        <f aca="false">IF(D418="","",IFERROR(INDEX(Settings!$C$49:$C$54,MATCH(D418,Settings!$A$49:$A$54,0)),0))</f>
        <v/>
      </c>
      <c r="K418" s="20" t="str">
        <f aca="false">IF(J418="","",IF(G418="",J418,J418*(1-IF(H418="",Settings!$B$6,H418))))</f>
        <v/>
      </c>
      <c r="L418" s="20" t="str">
        <f aca="false">IF(OR(J418="",G418=""),"",J418-K418)</f>
        <v/>
      </c>
      <c r="M418" s="1"/>
    </row>
    <row r="419" customFormat="false" ht="15" hidden="false" customHeight="false" outlineLevel="0" collapsed="false">
      <c r="A419" s="27"/>
      <c r="B419" s="1"/>
      <c r="C419" s="24" t="str">
        <f aca="false">IF(B419="","",IFERROR(INDEX(Patients!$B$2:$B$501,MATCH(B419,Patients!$A$2:$A$501,0))&amp;"",""))</f>
        <v/>
      </c>
      <c r="D419" s="1"/>
      <c r="E419" s="28"/>
      <c r="F419" s="1"/>
      <c r="G419" s="1"/>
      <c r="H419" s="29"/>
      <c r="I419" s="1"/>
      <c r="J419" s="20" t="str">
        <f aca="false">IF(D419="","",IFERROR(INDEX(Settings!$C$49:$C$54,MATCH(D419,Settings!$A$49:$A$54,0)),0))</f>
        <v/>
      </c>
      <c r="K419" s="20" t="str">
        <f aca="false">IF(J419="","",IF(G419="",J419,J419*(1-IF(H419="",Settings!$B$6,H419))))</f>
        <v/>
      </c>
      <c r="L419" s="20" t="str">
        <f aca="false">IF(OR(J419="",G419=""),"",J419-K419)</f>
        <v/>
      </c>
      <c r="M419" s="1"/>
    </row>
    <row r="420" customFormat="false" ht="15" hidden="false" customHeight="false" outlineLevel="0" collapsed="false">
      <c r="A420" s="27"/>
      <c r="B420" s="1"/>
      <c r="C420" s="24" t="str">
        <f aca="false">IF(B420="","",IFERROR(INDEX(Patients!$B$2:$B$501,MATCH(B420,Patients!$A$2:$A$501,0))&amp;"",""))</f>
        <v/>
      </c>
      <c r="D420" s="1"/>
      <c r="E420" s="28"/>
      <c r="F420" s="1"/>
      <c r="G420" s="1"/>
      <c r="H420" s="29"/>
      <c r="I420" s="1"/>
      <c r="J420" s="20" t="str">
        <f aca="false">IF(D420="","",IFERROR(INDEX(Settings!$C$49:$C$54,MATCH(D420,Settings!$A$49:$A$54,0)),0))</f>
        <v/>
      </c>
      <c r="K420" s="20" t="str">
        <f aca="false">IF(J420="","",IF(G420="",J420,J420*(1-IF(H420="",Settings!$B$6,H420))))</f>
        <v/>
      </c>
      <c r="L420" s="20" t="str">
        <f aca="false">IF(OR(J420="",G420=""),"",J420-K420)</f>
        <v/>
      </c>
      <c r="M420" s="1"/>
    </row>
    <row r="421" customFormat="false" ht="15" hidden="false" customHeight="false" outlineLevel="0" collapsed="false">
      <c r="A421" s="27"/>
      <c r="B421" s="1"/>
      <c r="C421" s="24" t="str">
        <f aca="false">IF(B421="","",IFERROR(INDEX(Patients!$B$2:$B$501,MATCH(B421,Patients!$A$2:$A$501,0))&amp;"",""))</f>
        <v/>
      </c>
      <c r="D421" s="1"/>
      <c r="E421" s="28"/>
      <c r="F421" s="1"/>
      <c r="G421" s="1"/>
      <c r="H421" s="29"/>
      <c r="I421" s="1"/>
      <c r="J421" s="20" t="str">
        <f aca="false">IF(D421="","",IFERROR(INDEX(Settings!$C$49:$C$54,MATCH(D421,Settings!$A$49:$A$54,0)),0))</f>
        <v/>
      </c>
      <c r="K421" s="20" t="str">
        <f aca="false">IF(J421="","",IF(G421="",J421,J421*(1-IF(H421="",Settings!$B$6,H421))))</f>
        <v/>
      </c>
      <c r="L421" s="20" t="str">
        <f aca="false">IF(OR(J421="",G421=""),"",J421-K421)</f>
        <v/>
      </c>
      <c r="M421" s="1"/>
    </row>
    <row r="422" customFormat="false" ht="15" hidden="false" customHeight="false" outlineLevel="0" collapsed="false">
      <c r="A422" s="27"/>
      <c r="B422" s="1"/>
      <c r="C422" s="24" t="str">
        <f aca="false">IF(B422="","",IFERROR(INDEX(Patients!$B$2:$B$501,MATCH(B422,Patients!$A$2:$A$501,0))&amp;"",""))</f>
        <v/>
      </c>
      <c r="D422" s="1"/>
      <c r="E422" s="28"/>
      <c r="F422" s="1"/>
      <c r="G422" s="1"/>
      <c r="H422" s="29"/>
      <c r="I422" s="1"/>
      <c r="J422" s="20" t="str">
        <f aca="false">IF(D422="","",IFERROR(INDEX(Settings!$C$49:$C$54,MATCH(D422,Settings!$A$49:$A$54,0)),0))</f>
        <v/>
      </c>
      <c r="K422" s="20" t="str">
        <f aca="false">IF(J422="","",IF(G422="",J422,J422*(1-IF(H422="",Settings!$B$6,H422))))</f>
        <v/>
      </c>
      <c r="L422" s="20" t="str">
        <f aca="false">IF(OR(J422="",G422=""),"",J422-K422)</f>
        <v/>
      </c>
      <c r="M422" s="1"/>
    </row>
    <row r="423" customFormat="false" ht="15" hidden="false" customHeight="false" outlineLevel="0" collapsed="false">
      <c r="A423" s="27"/>
      <c r="B423" s="1"/>
      <c r="C423" s="24" t="str">
        <f aca="false">IF(B423="","",IFERROR(INDEX(Patients!$B$2:$B$501,MATCH(B423,Patients!$A$2:$A$501,0))&amp;"",""))</f>
        <v/>
      </c>
      <c r="D423" s="1"/>
      <c r="E423" s="28"/>
      <c r="F423" s="1"/>
      <c r="G423" s="1"/>
      <c r="H423" s="29"/>
      <c r="I423" s="1"/>
      <c r="J423" s="20" t="str">
        <f aca="false">IF(D423="","",IFERROR(INDEX(Settings!$C$49:$C$54,MATCH(D423,Settings!$A$49:$A$54,0)),0))</f>
        <v/>
      </c>
      <c r="K423" s="20" t="str">
        <f aca="false">IF(J423="","",IF(G423="",J423,J423*(1-IF(H423="",Settings!$B$6,H423))))</f>
        <v/>
      </c>
      <c r="L423" s="20" t="str">
        <f aca="false">IF(OR(J423="",G423=""),"",J423-K423)</f>
        <v/>
      </c>
      <c r="M423" s="1"/>
    </row>
    <row r="424" customFormat="false" ht="15" hidden="false" customHeight="false" outlineLevel="0" collapsed="false">
      <c r="A424" s="27"/>
      <c r="B424" s="1"/>
      <c r="C424" s="24" t="str">
        <f aca="false">IF(B424="","",IFERROR(INDEX(Patients!$B$2:$B$501,MATCH(B424,Patients!$A$2:$A$501,0))&amp;"",""))</f>
        <v/>
      </c>
      <c r="D424" s="1"/>
      <c r="E424" s="28"/>
      <c r="F424" s="1"/>
      <c r="G424" s="1"/>
      <c r="H424" s="29"/>
      <c r="I424" s="1"/>
      <c r="J424" s="20" t="str">
        <f aca="false">IF(D424="","",IFERROR(INDEX(Settings!$C$49:$C$54,MATCH(D424,Settings!$A$49:$A$54,0)),0))</f>
        <v/>
      </c>
      <c r="K424" s="20" t="str">
        <f aca="false">IF(J424="","",IF(G424="",J424,J424*(1-IF(H424="",Settings!$B$6,H424))))</f>
        <v/>
      </c>
      <c r="L424" s="20" t="str">
        <f aca="false">IF(OR(J424="",G424=""),"",J424-K424)</f>
        <v/>
      </c>
      <c r="M424" s="1"/>
    </row>
    <row r="425" customFormat="false" ht="15" hidden="false" customHeight="false" outlineLevel="0" collapsed="false">
      <c r="A425" s="27"/>
      <c r="B425" s="1"/>
      <c r="C425" s="24" t="str">
        <f aca="false">IF(B425="","",IFERROR(INDEX(Patients!$B$2:$B$501,MATCH(B425,Patients!$A$2:$A$501,0))&amp;"",""))</f>
        <v/>
      </c>
      <c r="D425" s="1"/>
      <c r="E425" s="28"/>
      <c r="F425" s="1"/>
      <c r="G425" s="1"/>
      <c r="H425" s="29"/>
      <c r="I425" s="1"/>
      <c r="J425" s="20" t="str">
        <f aca="false">IF(D425="","",IFERROR(INDEX(Settings!$C$49:$C$54,MATCH(D425,Settings!$A$49:$A$54,0)),0))</f>
        <v/>
      </c>
      <c r="K425" s="20" t="str">
        <f aca="false">IF(J425="","",IF(G425="",J425,J425*(1-IF(H425="",Settings!$B$6,H425))))</f>
        <v/>
      </c>
      <c r="L425" s="20" t="str">
        <f aca="false">IF(OR(J425="",G425=""),"",J425-K425)</f>
        <v/>
      </c>
      <c r="M425" s="1"/>
    </row>
    <row r="426" customFormat="false" ht="15" hidden="false" customHeight="false" outlineLevel="0" collapsed="false">
      <c r="A426" s="27"/>
      <c r="B426" s="1"/>
      <c r="C426" s="24" t="str">
        <f aca="false">IF(B426="","",IFERROR(INDEX(Patients!$B$2:$B$501,MATCH(B426,Patients!$A$2:$A$501,0))&amp;"",""))</f>
        <v/>
      </c>
      <c r="D426" s="1"/>
      <c r="E426" s="28"/>
      <c r="F426" s="1"/>
      <c r="G426" s="1"/>
      <c r="H426" s="29"/>
      <c r="I426" s="1"/>
      <c r="J426" s="20" t="str">
        <f aca="false">IF(D426="","",IFERROR(INDEX(Settings!$C$49:$C$54,MATCH(D426,Settings!$A$49:$A$54,0)),0))</f>
        <v/>
      </c>
      <c r="K426" s="20" t="str">
        <f aca="false">IF(J426="","",IF(G426="",J426,J426*(1-IF(H426="",Settings!$B$6,H426))))</f>
        <v/>
      </c>
      <c r="L426" s="20" t="str">
        <f aca="false">IF(OR(J426="",G426=""),"",J426-K426)</f>
        <v/>
      </c>
      <c r="M426" s="1"/>
    </row>
    <row r="427" customFormat="false" ht="15" hidden="false" customHeight="false" outlineLevel="0" collapsed="false">
      <c r="A427" s="27"/>
      <c r="B427" s="1"/>
      <c r="C427" s="24" t="str">
        <f aca="false">IF(B427="","",IFERROR(INDEX(Patients!$B$2:$B$501,MATCH(B427,Patients!$A$2:$A$501,0))&amp;"",""))</f>
        <v/>
      </c>
      <c r="D427" s="1"/>
      <c r="E427" s="28"/>
      <c r="F427" s="1"/>
      <c r="G427" s="1"/>
      <c r="H427" s="29"/>
      <c r="I427" s="1"/>
      <c r="J427" s="20" t="str">
        <f aca="false">IF(D427="","",IFERROR(INDEX(Settings!$C$49:$C$54,MATCH(D427,Settings!$A$49:$A$54,0)),0))</f>
        <v/>
      </c>
      <c r="K427" s="20" t="str">
        <f aca="false">IF(J427="","",IF(G427="",J427,J427*(1-IF(H427="",Settings!$B$6,H427))))</f>
        <v/>
      </c>
      <c r="L427" s="20" t="str">
        <f aca="false">IF(OR(J427="",G427=""),"",J427-K427)</f>
        <v/>
      </c>
      <c r="M427" s="1"/>
    </row>
    <row r="428" customFormat="false" ht="15" hidden="false" customHeight="false" outlineLevel="0" collapsed="false">
      <c r="A428" s="27"/>
      <c r="B428" s="1"/>
      <c r="C428" s="24" t="str">
        <f aca="false">IF(B428="","",IFERROR(INDEX(Patients!$B$2:$B$501,MATCH(B428,Patients!$A$2:$A$501,0))&amp;"",""))</f>
        <v/>
      </c>
      <c r="D428" s="1"/>
      <c r="E428" s="28"/>
      <c r="F428" s="1"/>
      <c r="G428" s="1"/>
      <c r="H428" s="29"/>
      <c r="I428" s="1"/>
      <c r="J428" s="20" t="str">
        <f aca="false">IF(D428="","",IFERROR(INDEX(Settings!$C$49:$C$54,MATCH(D428,Settings!$A$49:$A$54,0)),0))</f>
        <v/>
      </c>
      <c r="K428" s="20" t="str">
        <f aca="false">IF(J428="","",IF(G428="",J428,J428*(1-IF(H428="",Settings!$B$6,H428))))</f>
        <v/>
      </c>
      <c r="L428" s="20" t="str">
        <f aca="false">IF(OR(J428="",G428=""),"",J428-K428)</f>
        <v/>
      </c>
      <c r="M428" s="1"/>
    </row>
    <row r="429" customFormat="false" ht="15" hidden="false" customHeight="false" outlineLevel="0" collapsed="false">
      <c r="A429" s="27"/>
      <c r="B429" s="1"/>
      <c r="C429" s="24" t="str">
        <f aca="false">IF(B429="","",IFERROR(INDEX(Patients!$B$2:$B$501,MATCH(B429,Patients!$A$2:$A$501,0))&amp;"",""))</f>
        <v/>
      </c>
      <c r="D429" s="1"/>
      <c r="E429" s="28"/>
      <c r="F429" s="1"/>
      <c r="G429" s="1"/>
      <c r="H429" s="29"/>
      <c r="I429" s="1"/>
      <c r="J429" s="20" t="str">
        <f aca="false">IF(D429="","",IFERROR(INDEX(Settings!$C$49:$C$54,MATCH(D429,Settings!$A$49:$A$54,0)),0))</f>
        <v/>
      </c>
      <c r="K429" s="20" t="str">
        <f aca="false">IF(J429="","",IF(G429="",J429,J429*(1-IF(H429="",Settings!$B$6,H429))))</f>
        <v/>
      </c>
      <c r="L429" s="20" t="str">
        <f aca="false">IF(OR(J429="",G429=""),"",J429-K429)</f>
        <v/>
      </c>
      <c r="M429" s="1"/>
    </row>
    <row r="430" customFormat="false" ht="15" hidden="false" customHeight="false" outlineLevel="0" collapsed="false">
      <c r="A430" s="27"/>
      <c r="B430" s="1"/>
      <c r="C430" s="24" t="str">
        <f aca="false">IF(B430="","",IFERROR(INDEX(Patients!$B$2:$B$501,MATCH(B430,Patients!$A$2:$A$501,0))&amp;"",""))</f>
        <v/>
      </c>
      <c r="D430" s="1"/>
      <c r="E430" s="28"/>
      <c r="F430" s="1"/>
      <c r="G430" s="1"/>
      <c r="H430" s="29"/>
      <c r="I430" s="1"/>
      <c r="J430" s="20" t="str">
        <f aca="false">IF(D430="","",IFERROR(INDEX(Settings!$C$49:$C$54,MATCH(D430,Settings!$A$49:$A$54,0)),0))</f>
        <v/>
      </c>
      <c r="K430" s="20" t="str">
        <f aca="false">IF(J430="","",IF(G430="",J430,J430*(1-IF(H430="",Settings!$B$6,H430))))</f>
        <v/>
      </c>
      <c r="L430" s="20" t="str">
        <f aca="false">IF(OR(J430="",G430=""),"",J430-K430)</f>
        <v/>
      </c>
      <c r="M430" s="1"/>
    </row>
    <row r="431" customFormat="false" ht="15" hidden="false" customHeight="false" outlineLevel="0" collapsed="false">
      <c r="A431" s="27"/>
      <c r="B431" s="1"/>
      <c r="C431" s="24" t="str">
        <f aca="false">IF(B431="","",IFERROR(INDEX(Patients!$B$2:$B$501,MATCH(B431,Patients!$A$2:$A$501,0))&amp;"",""))</f>
        <v/>
      </c>
      <c r="D431" s="1"/>
      <c r="E431" s="28"/>
      <c r="F431" s="1"/>
      <c r="G431" s="1"/>
      <c r="H431" s="29"/>
      <c r="I431" s="1"/>
      <c r="J431" s="20" t="str">
        <f aca="false">IF(D431="","",IFERROR(INDEX(Settings!$C$49:$C$54,MATCH(D431,Settings!$A$49:$A$54,0)),0))</f>
        <v/>
      </c>
      <c r="K431" s="20" t="str">
        <f aca="false">IF(J431="","",IF(G431="",J431,J431*(1-IF(H431="",Settings!$B$6,H431))))</f>
        <v/>
      </c>
      <c r="L431" s="20" t="str">
        <f aca="false">IF(OR(J431="",G431=""),"",J431-K431)</f>
        <v/>
      </c>
      <c r="M431" s="1"/>
    </row>
    <row r="432" customFormat="false" ht="15" hidden="false" customHeight="false" outlineLevel="0" collapsed="false">
      <c r="A432" s="27"/>
      <c r="B432" s="1"/>
      <c r="C432" s="24" t="str">
        <f aca="false">IF(B432="","",IFERROR(INDEX(Patients!$B$2:$B$501,MATCH(B432,Patients!$A$2:$A$501,0))&amp;"",""))</f>
        <v/>
      </c>
      <c r="D432" s="1"/>
      <c r="E432" s="28"/>
      <c r="F432" s="1"/>
      <c r="G432" s="1"/>
      <c r="H432" s="29"/>
      <c r="I432" s="1"/>
      <c r="J432" s="20" t="str">
        <f aca="false">IF(D432="","",IFERROR(INDEX(Settings!$C$49:$C$54,MATCH(D432,Settings!$A$49:$A$54,0)),0))</f>
        <v/>
      </c>
      <c r="K432" s="20" t="str">
        <f aca="false">IF(J432="","",IF(G432="",J432,J432*(1-IF(H432="",Settings!$B$6,H432))))</f>
        <v/>
      </c>
      <c r="L432" s="20" t="str">
        <f aca="false">IF(OR(J432="",G432=""),"",J432-K432)</f>
        <v/>
      </c>
      <c r="M432" s="1"/>
    </row>
    <row r="433" customFormat="false" ht="15" hidden="false" customHeight="false" outlineLevel="0" collapsed="false">
      <c r="A433" s="27"/>
      <c r="B433" s="1"/>
      <c r="C433" s="24" t="str">
        <f aca="false">IF(B433="","",IFERROR(INDEX(Patients!$B$2:$B$501,MATCH(B433,Patients!$A$2:$A$501,0))&amp;"",""))</f>
        <v/>
      </c>
      <c r="D433" s="1"/>
      <c r="E433" s="28"/>
      <c r="F433" s="1"/>
      <c r="G433" s="1"/>
      <c r="H433" s="29"/>
      <c r="I433" s="1"/>
      <c r="J433" s="20" t="str">
        <f aca="false">IF(D433="","",IFERROR(INDEX(Settings!$C$49:$C$54,MATCH(D433,Settings!$A$49:$A$54,0)),0))</f>
        <v/>
      </c>
      <c r="K433" s="20" t="str">
        <f aca="false">IF(J433="","",IF(G433="",J433,J433*(1-IF(H433="",Settings!$B$6,H433))))</f>
        <v/>
      </c>
      <c r="L433" s="20" t="str">
        <f aca="false">IF(OR(J433="",G433=""),"",J433-K433)</f>
        <v/>
      </c>
      <c r="M433" s="1"/>
    </row>
    <row r="434" customFormat="false" ht="15" hidden="false" customHeight="false" outlineLevel="0" collapsed="false">
      <c r="A434" s="27"/>
      <c r="B434" s="1"/>
      <c r="C434" s="24" t="str">
        <f aca="false">IF(B434="","",IFERROR(INDEX(Patients!$B$2:$B$501,MATCH(B434,Patients!$A$2:$A$501,0))&amp;"",""))</f>
        <v/>
      </c>
      <c r="D434" s="1"/>
      <c r="E434" s="28"/>
      <c r="F434" s="1"/>
      <c r="G434" s="1"/>
      <c r="H434" s="29"/>
      <c r="I434" s="1"/>
      <c r="J434" s="20" t="str">
        <f aca="false">IF(D434="","",IFERROR(INDEX(Settings!$C$49:$C$54,MATCH(D434,Settings!$A$49:$A$54,0)),0))</f>
        <v/>
      </c>
      <c r="K434" s="20" t="str">
        <f aca="false">IF(J434="","",IF(G434="",J434,J434*(1-IF(H434="",Settings!$B$6,H434))))</f>
        <v/>
      </c>
      <c r="L434" s="20" t="str">
        <f aca="false">IF(OR(J434="",G434=""),"",J434-K434)</f>
        <v/>
      </c>
      <c r="M434" s="1"/>
    </row>
    <row r="435" customFormat="false" ht="15" hidden="false" customHeight="false" outlineLevel="0" collapsed="false">
      <c r="A435" s="27"/>
      <c r="B435" s="1"/>
      <c r="C435" s="24" t="str">
        <f aca="false">IF(B435="","",IFERROR(INDEX(Patients!$B$2:$B$501,MATCH(B435,Patients!$A$2:$A$501,0))&amp;"",""))</f>
        <v/>
      </c>
      <c r="D435" s="1"/>
      <c r="E435" s="28"/>
      <c r="F435" s="1"/>
      <c r="G435" s="1"/>
      <c r="H435" s="29"/>
      <c r="I435" s="1"/>
      <c r="J435" s="20" t="str">
        <f aca="false">IF(D435="","",IFERROR(INDEX(Settings!$C$49:$C$54,MATCH(D435,Settings!$A$49:$A$54,0)),0))</f>
        <v/>
      </c>
      <c r="K435" s="20" t="str">
        <f aca="false">IF(J435="","",IF(G435="",J435,J435*(1-IF(H435="",Settings!$B$6,H435))))</f>
        <v/>
      </c>
      <c r="L435" s="20" t="str">
        <f aca="false">IF(OR(J435="",G435=""),"",J435-K435)</f>
        <v/>
      </c>
      <c r="M435" s="1"/>
    </row>
    <row r="436" customFormat="false" ht="15" hidden="false" customHeight="false" outlineLevel="0" collapsed="false">
      <c r="A436" s="27"/>
      <c r="B436" s="1"/>
      <c r="C436" s="24" t="str">
        <f aca="false">IF(B436="","",IFERROR(INDEX(Patients!$B$2:$B$501,MATCH(B436,Patients!$A$2:$A$501,0))&amp;"",""))</f>
        <v/>
      </c>
      <c r="D436" s="1"/>
      <c r="E436" s="28"/>
      <c r="F436" s="1"/>
      <c r="G436" s="1"/>
      <c r="H436" s="29"/>
      <c r="I436" s="1"/>
      <c r="J436" s="20" t="str">
        <f aca="false">IF(D436="","",IFERROR(INDEX(Settings!$C$49:$C$54,MATCH(D436,Settings!$A$49:$A$54,0)),0))</f>
        <v/>
      </c>
      <c r="K436" s="20" t="str">
        <f aca="false">IF(J436="","",IF(G436="",J436,J436*(1-IF(H436="",Settings!$B$6,H436))))</f>
        <v/>
      </c>
      <c r="L436" s="20" t="str">
        <f aca="false">IF(OR(J436="",G436=""),"",J436-K436)</f>
        <v/>
      </c>
      <c r="M436" s="1"/>
    </row>
    <row r="437" customFormat="false" ht="15" hidden="false" customHeight="false" outlineLevel="0" collapsed="false">
      <c r="A437" s="27"/>
      <c r="B437" s="1"/>
      <c r="C437" s="24" t="str">
        <f aca="false">IF(B437="","",IFERROR(INDEX(Patients!$B$2:$B$501,MATCH(B437,Patients!$A$2:$A$501,0))&amp;"",""))</f>
        <v/>
      </c>
      <c r="D437" s="1"/>
      <c r="E437" s="28"/>
      <c r="F437" s="1"/>
      <c r="G437" s="1"/>
      <c r="H437" s="29"/>
      <c r="I437" s="1"/>
      <c r="J437" s="20" t="str">
        <f aca="false">IF(D437="","",IFERROR(INDEX(Settings!$C$49:$C$54,MATCH(D437,Settings!$A$49:$A$54,0)),0))</f>
        <v/>
      </c>
      <c r="K437" s="20" t="str">
        <f aca="false">IF(J437="","",IF(G437="",J437,J437*(1-IF(H437="",Settings!$B$6,H437))))</f>
        <v/>
      </c>
      <c r="L437" s="20" t="str">
        <f aca="false">IF(OR(J437="",G437=""),"",J437-K437)</f>
        <v/>
      </c>
      <c r="M437" s="1"/>
    </row>
    <row r="438" customFormat="false" ht="15" hidden="false" customHeight="false" outlineLevel="0" collapsed="false">
      <c r="A438" s="27"/>
      <c r="B438" s="1"/>
      <c r="C438" s="24" t="str">
        <f aca="false">IF(B438="","",IFERROR(INDEX(Patients!$B$2:$B$501,MATCH(B438,Patients!$A$2:$A$501,0))&amp;"",""))</f>
        <v/>
      </c>
      <c r="D438" s="1"/>
      <c r="E438" s="28"/>
      <c r="F438" s="1"/>
      <c r="G438" s="1"/>
      <c r="H438" s="29"/>
      <c r="I438" s="1"/>
      <c r="J438" s="20" t="str">
        <f aca="false">IF(D438="","",IFERROR(INDEX(Settings!$C$49:$C$54,MATCH(D438,Settings!$A$49:$A$54,0)),0))</f>
        <v/>
      </c>
      <c r="K438" s="20" t="str">
        <f aca="false">IF(J438="","",IF(G438="",J438,J438*(1-IF(H438="",Settings!$B$6,H438))))</f>
        <v/>
      </c>
      <c r="L438" s="20" t="str">
        <f aca="false">IF(OR(J438="",G438=""),"",J438-K438)</f>
        <v/>
      </c>
      <c r="M438" s="1"/>
    </row>
    <row r="439" customFormat="false" ht="15" hidden="false" customHeight="false" outlineLevel="0" collapsed="false">
      <c r="A439" s="27"/>
      <c r="B439" s="1"/>
      <c r="C439" s="24" t="str">
        <f aca="false">IF(B439="","",IFERROR(INDEX(Patients!$B$2:$B$501,MATCH(B439,Patients!$A$2:$A$501,0))&amp;"",""))</f>
        <v/>
      </c>
      <c r="D439" s="1"/>
      <c r="E439" s="28"/>
      <c r="F439" s="1"/>
      <c r="G439" s="1"/>
      <c r="H439" s="29"/>
      <c r="I439" s="1"/>
      <c r="J439" s="20" t="str">
        <f aca="false">IF(D439="","",IFERROR(INDEX(Settings!$C$49:$C$54,MATCH(D439,Settings!$A$49:$A$54,0)),0))</f>
        <v/>
      </c>
      <c r="K439" s="20" t="str">
        <f aca="false">IF(J439="","",IF(G439="",J439,J439*(1-IF(H439="",Settings!$B$6,H439))))</f>
        <v/>
      </c>
      <c r="L439" s="20" t="str">
        <f aca="false">IF(OR(J439="",G439=""),"",J439-K439)</f>
        <v/>
      </c>
      <c r="M439" s="1"/>
    </row>
    <row r="440" customFormat="false" ht="15" hidden="false" customHeight="false" outlineLevel="0" collapsed="false">
      <c r="A440" s="27"/>
      <c r="B440" s="1"/>
      <c r="C440" s="24" t="str">
        <f aca="false">IF(B440="","",IFERROR(INDEX(Patients!$B$2:$B$501,MATCH(B440,Patients!$A$2:$A$501,0))&amp;"",""))</f>
        <v/>
      </c>
      <c r="D440" s="1"/>
      <c r="E440" s="28"/>
      <c r="F440" s="1"/>
      <c r="G440" s="1"/>
      <c r="H440" s="29"/>
      <c r="I440" s="1"/>
      <c r="J440" s="20" t="str">
        <f aca="false">IF(D440="","",IFERROR(INDEX(Settings!$C$49:$C$54,MATCH(D440,Settings!$A$49:$A$54,0)),0))</f>
        <v/>
      </c>
      <c r="K440" s="20" t="str">
        <f aca="false">IF(J440="","",IF(G440="",J440,J440*(1-IF(H440="",Settings!$B$6,H440))))</f>
        <v/>
      </c>
      <c r="L440" s="20" t="str">
        <f aca="false">IF(OR(J440="",G440=""),"",J440-K440)</f>
        <v/>
      </c>
      <c r="M440" s="1"/>
    </row>
    <row r="441" customFormat="false" ht="15" hidden="false" customHeight="false" outlineLevel="0" collapsed="false">
      <c r="A441" s="27"/>
      <c r="B441" s="1"/>
      <c r="C441" s="24" t="str">
        <f aca="false">IF(B441="","",IFERROR(INDEX(Patients!$B$2:$B$501,MATCH(B441,Patients!$A$2:$A$501,0))&amp;"",""))</f>
        <v/>
      </c>
      <c r="D441" s="1"/>
      <c r="E441" s="28"/>
      <c r="F441" s="1"/>
      <c r="G441" s="1"/>
      <c r="H441" s="29"/>
      <c r="I441" s="1"/>
      <c r="J441" s="20" t="str">
        <f aca="false">IF(D441="","",IFERROR(INDEX(Settings!$C$49:$C$54,MATCH(D441,Settings!$A$49:$A$54,0)),0))</f>
        <v/>
      </c>
      <c r="K441" s="20" t="str">
        <f aca="false">IF(J441="","",IF(G441="",J441,J441*(1-IF(H441="",Settings!$B$6,H441))))</f>
        <v/>
      </c>
      <c r="L441" s="20" t="str">
        <f aca="false">IF(OR(J441="",G441=""),"",J441-K441)</f>
        <v/>
      </c>
      <c r="M441" s="1"/>
    </row>
    <row r="442" customFormat="false" ht="15" hidden="false" customHeight="false" outlineLevel="0" collapsed="false">
      <c r="A442" s="27"/>
      <c r="B442" s="1"/>
      <c r="C442" s="24" t="str">
        <f aca="false">IF(B442="","",IFERROR(INDEX(Patients!$B$2:$B$501,MATCH(B442,Patients!$A$2:$A$501,0))&amp;"",""))</f>
        <v/>
      </c>
      <c r="D442" s="1"/>
      <c r="E442" s="28"/>
      <c r="F442" s="1"/>
      <c r="G442" s="1"/>
      <c r="H442" s="29"/>
      <c r="I442" s="1"/>
      <c r="J442" s="20" t="str">
        <f aca="false">IF(D442="","",IFERROR(INDEX(Settings!$C$49:$C$54,MATCH(D442,Settings!$A$49:$A$54,0)),0))</f>
        <v/>
      </c>
      <c r="K442" s="20" t="str">
        <f aca="false">IF(J442="","",IF(G442="",J442,J442*(1-IF(H442="",Settings!$B$6,H442))))</f>
        <v/>
      </c>
      <c r="L442" s="20" t="str">
        <f aca="false">IF(OR(J442="",G442=""),"",J442-K442)</f>
        <v/>
      </c>
      <c r="M442" s="1"/>
    </row>
    <row r="443" customFormat="false" ht="15" hidden="false" customHeight="false" outlineLevel="0" collapsed="false">
      <c r="A443" s="27"/>
      <c r="B443" s="1"/>
      <c r="C443" s="24" t="str">
        <f aca="false">IF(B443="","",IFERROR(INDEX(Patients!$B$2:$B$501,MATCH(B443,Patients!$A$2:$A$501,0))&amp;"",""))</f>
        <v/>
      </c>
      <c r="D443" s="1"/>
      <c r="E443" s="28"/>
      <c r="F443" s="1"/>
      <c r="G443" s="1"/>
      <c r="H443" s="29"/>
      <c r="I443" s="1"/>
      <c r="J443" s="20" t="str">
        <f aca="false">IF(D443="","",IFERROR(INDEX(Settings!$C$49:$C$54,MATCH(D443,Settings!$A$49:$A$54,0)),0))</f>
        <v/>
      </c>
      <c r="K443" s="20" t="str">
        <f aca="false">IF(J443="","",IF(G443="",J443,J443*(1-IF(H443="",Settings!$B$6,H443))))</f>
        <v/>
      </c>
      <c r="L443" s="20" t="str">
        <f aca="false">IF(OR(J443="",G443=""),"",J443-K443)</f>
        <v/>
      </c>
      <c r="M443" s="1"/>
    </row>
    <row r="444" customFormat="false" ht="15" hidden="false" customHeight="false" outlineLevel="0" collapsed="false">
      <c r="A444" s="27"/>
      <c r="B444" s="1"/>
      <c r="C444" s="24" t="str">
        <f aca="false">IF(B444="","",IFERROR(INDEX(Patients!$B$2:$B$501,MATCH(B444,Patients!$A$2:$A$501,0))&amp;"",""))</f>
        <v/>
      </c>
      <c r="D444" s="1"/>
      <c r="E444" s="28"/>
      <c r="F444" s="1"/>
      <c r="G444" s="1"/>
      <c r="H444" s="29"/>
      <c r="I444" s="1"/>
      <c r="J444" s="20" t="str">
        <f aca="false">IF(D444="","",IFERROR(INDEX(Settings!$C$49:$C$54,MATCH(D444,Settings!$A$49:$A$54,0)),0))</f>
        <v/>
      </c>
      <c r="K444" s="20" t="str">
        <f aca="false">IF(J444="","",IF(G444="",J444,J444*(1-IF(H444="",Settings!$B$6,H444))))</f>
        <v/>
      </c>
      <c r="L444" s="20" t="str">
        <f aca="false">IF(OR(J444="",G444=""),"",J444-K444)</f>
        <v/>
      </c>
      <c r="M444" s="1"/>
    </row>
    <row r="445" customFormat="false" ht="15" hidden="false" customHeight="false" outlineLevel="0" collapsed="false">
      <c r="A445" s="27"/>
      <c r="B445" s="1"/>
      <c r="C445" s="24" t="str">
        <f aca="false">IF(B445="","",IFERROR(INDEX(Patients!$B$2:$B$501,MATCH(B445,Patients!$A$2:$A$501,0))&amp;"",""))</f>
        <v/>
      </c>
      <c r="D445" s="1"/>
      <c r="E445" s="28"/>
      <c r="F445" s="1"/>
      <c r="G445" s="1"/>
      <c r="H445" s="29"/>
      <c r="I445" s="1"/>
      <c r="J445" s="20" t="str">
        <f aca="false">IF(D445="","",IFERROR(INDEX(Settings!$C$49:$C$54,MATCH(D445,Settings!$A$49:$A$54,0)),0))</f>
        <v/>
      </c>
      <c r="K445" s="20" t="str">
        <f aca="false">IF(J445="","",IF(G445="",J445,J445*(1-IF(H445="",Settings!$B$6,H445))))</f>
        <v/>
      </c>
      <c r="L445" s="20" t="str">
        <f aca="false">IF(OR(J445="",G445=""),"",J445-K445)</f>
        <v/>
      </c>
      <c r="M445" s="1"/>
    </row>
    <row r="446" customFormat="false" ht="15" hidden="false" customHeight="false" outlineLevel="0" collapsed="false">
      <c r="A446" s="27"/>
      <c r="B446" s="1"/>
      <c r="C446" s="24" t="str">
        <f aca="false">IF(B446="","",IFERROR(INDEX(Patients!$B$2:$B$501,MATCH(B446,Patients!$A$2:$A$501,0))&amp;"",""))</f>
        <v/>
      </c>
      <c r="D446" s="1"/>
      <c r="E446" s="28"/>
      <c r="F446" s="1"/>
      <c r="G446" s="1"/>
      <c r="H446" s="29"/>
      <c r="I446" s="1"/>
      <c r="J446" s="20" t="str">
        <f aca="false">IF(D446="","",IFERROR(INDEX(Settings!$C$49:$C$54,MATCH(D446,Settings!$A$49:$A$54,0)),0))</f>
        <v/>
      </c>
      <c r="K446" s="20" t="str">
        <f aca="false">IF(J446="","",IF(G446="",J446,J446*(1-IF(H446="",Settings!$B$6,H446))))</f>
        <v/>
      </c>
      <c r="L446" s="20" t="str">
        <f aca="false">IF(OR(J446="",G446=""),"",J446-K446)</f>
        <v/>
      </c>
      <c r="M446" s="1"/>
    </row>
    <row r="447" customFormat="false" ht="15" hidden="false" customHeight="false" outlineLevel="0" collapsed="false">
      <c r="A447" s="27"/>
      <c r="B447" s="1"/>
      <c r="C447" s="24" t="str">
        <f aca="false">IF(B447="","",IFERROR(INDEX(Patients!$B$2:$B$501,MATCH(B447,Patients!$A$2:$A$501,0))&amp;"",""))</f>
        <v/>
      </c>
      <c r="D447" s="1"/>
      <c r="E447" s="28"/>
      <c r="F447" s="1"/>
      <c r="G447" s="1"/>
      <c r="H447" s="29"/>
      <c r="I447" s="1"/>
      <c r="J447" s="20" t="str">
        <f aca="false">IF(D447="","",IFERROR(INDEX(Settings!$C$49:$C$54,MATCH(D447,Settings!$A$49:$A$54,0)),0))</f>
        <v/>
      </c>
      <c r="K447" s="20" t="str">
        <f aca="false">IF(J447="","",IF(G447="",J447,J447*(1-IF(H447="",Settings!$B$6,H447))))</f>
        <v/>
      </c>
      <c r="L447" s="20" t="str">
        <f aca="false">IF(OR(J447="",G447=""),"",J447-K447)</f>
        <v/>
      </c>
      <c r="M447" s="1"/>
    </row>
    <row r="448" customFormat="false" ht="15" hidden="false" customHeight="false" outlineLevel="0" collapsed="false">
      <c r="A448" s="27"/>
      <c r="B448" s="1"/>
      <c r="C448" s="24" t="str">
        <f aca="false">IF(B448="","",IFERROR(INDEX(Patients!$B$2:$B$501,MATCH(B448,Patients!$A$2:$A$501,0))&amp;"",""))</f>
        <v/>
      </c>
      <c r="D448" s="1"/>
      <c r="E448" s="28"/>
      <c r="F448" s="1"/>
      <c r="G448" s="1"/>
      <c r="H448" s="29"/>
      <c r="I448" s="1"/>
      <c r="J448" s="20" t="str">
        <f aca="false">IF(D448="","",IFERROR(INDEX(Settings!$C$49:$C$54,MATCH(D448,Settings!$A$49:$A$54,0)),0))</f>
        <v/>
      </c>
      <c r="K448" s="20" t="str">
        <f aca="false">IF(J448="","",IF(G448="",J448,J448*(1-IF(H448="",Settings!$B$6,H448))))</f>
        <v/>
      </c>
      <c r="L448" s="20" t="str">
        <f aca="false">IF(OR(J448="",G448=""),"",J448-K448)</f>
        <v/>
      </c>
      <c r="M448" s="1"/>
    </row>
    <row r="449" customFormat="false" ht="15" hidden="false" customHeight="false" outlineLevel="0" collapsed="false">
      <c r="A449" s="27"/>
      <c r="B449" s="1"/>
      <c r="C449" s="24" t="str">
        <f aca="false">IF(B449="","",IFERROR(INDEX(Patients!$B$2:$B$501,MATCH(B449,Patients!$A$2:$A$501,0))&amp;"",""))</f>
        <v/>
      </c>
      <c r="D449" s="1"/>
      <c r="E449" s="28"/>
      <c r="F449" s="1"/>
      <c r="G449" s="1"/>
      <c r="H449" s="29"/>
      <c r="I449" s="1"/>
      <c r="J449" s="20" t="str">
        <f aca="false">IF(D449="","",IFERROR(INDEX(Settings!$C$49:$C$54,MATCH(D449,Settings!$A$49:$A$54,0)),0))</f>
        <v/>
      </c>
      <c r="K449" s="20" t="str">
        <f aca="false">IF(J449="","",IF(G449="",J449,J449*(1-IF(H449="",Settings!$B$6,H449))))</f>
        <v/>
      </c>
      <c r="L449" s="20" t="str">
        <f aca="false">IF(OR(J449="",G449=""),"",J449-K449)</f>
        <v/>
      </c>
      <c r="M449" s="1"/>
    </row>
    <row r="450" customFormat="false" ht="15" hidden="false" customHeight="false" outlineLevel="0" collapsed="false">
      <c r="A450" s="27"/>
      <c r="B450" s="1"/>
      <c r="C450" s="24" t="str">
        <f aca="false">IF(B450="","",IFERROR(INDEX(Patients!$B$2:$B$501,MATCH(B450,Patients!$A$2:$A$501,0))&amp;"",""))</f>
        <v/>
      </c>
      <c r="D450" s="1"/>
      <c r="E450" s="28"/>
      <c r="F450" s="1"/>
      <c r="G450" s="1"/>
      <c r="H450" s="29"/>
      <c r="I450" s="1"/>
      <c r="J450" s="20" t="str">
        <f aca="false">IF(D450="","",IFERROR(INDEX(Settings!$C$49:$C$54,MATCH(D450,Settings!$A$49:$A$54,0)),0))</f>
        <v/>
      </c>
      <c r="K450" s="20" t="str">
        <f aca="false">IF(J450="","",IF(G450="",J450,J450*(1-IF(H450="",Settings!$B$6,H450))))</f>
        <v/>
      </c>
      <c r="L450" s="20" t="str">
        <f aca="false">IF(OR(J450="",G450=""),"",J450-K450)</f>
        <v/>
      </c>
      <c r="M450" s="1"/>
    </row>
    <row r="451" customFormat="false" ht="15" hidden="false" customHeight="false" outlineLevel="0" collapsed="false">
      <c r="A451" s="27"/>
      <c r="B451" s="1"/>
      <c r="C451" s="24" t="str">
        <f aca="false">IF(B451="","",IFERROR(INDEX(Patients!$B$2:$B$501,MATCH(B451,Patients!$A$2:$A$501,0))&amp;"",""))</f>
        <v/>
      </c>
      <c r="D451" s="1"/>
      <c r="E451" s="28"/>
      <c r="F451" s="1"/>
      <c r="G451" s="1"/>
      <c r="H451" s="29"/>
      <c r="I451" s="1"/>
      <c r="J451" s="20" t="str">
        <f aca="false">IF(D451="","",IFERROR(INDEX(Settings!$C$49:$C$54,MATCH(D451,Settings!$A$49:$A$54,0)),0))</f>
        <v/>
      </c>
      <c r="K451" s="20" t="str">
        <f aca="false">IF(J451="","",IF(G451="",J451,J451*(1-IF(H451="",Settings!$B$6,H451))))</f>
        <v/>
      </c>
      <c r="L451" s="20" t="str">
        <f aca="false">IF(OR(J451="",G451=""),"",J451-K451)</f>
        <v/>
      </c>
      <c r="M451" s="1"/>
    </row>
    <row r="452" customFormat="false" ht="15" hidden="false" customHeight="false" outlineLevel="0" collapsed="false">
      <c r="A452" s="27"/>
      <c r="B452" s="1"/>
      <c r="C452" s="24" t="str">
        <f aca="false">IF(B452="","",IFERROR(INDEX(Patients!$B$2:$B$501,MATCH(B452,Patients!$A$2:$A$501,0))&amp;"",""))</f>
        <v/>
      </c>
      <c r="D452" s="1"/>
      <c r="E452" s="28"/>
      <c r="F452" s="1"/>
      <c r="G452" s="1"/>
      <c r="H452" s="29"/>
      <c r="I452" s="1"/>
      <c r="J452" s="20" t="str">
        <f aca="false">IF(D452="","",IFERROR(INDEX(Settings!$C$49:$C$54,MATCH(D452,Settings!$A$49:$A$54,0)),0))</f>
        <v/>
      </c>
      <c r="K452" s="20" t="str">
        <f aca="false">IF(J452="","",IF(G452="",J452,J452*(1-IF(H452="",Settings!$B$6,H452))))</f>
        <v/>
      </c>
      <c r="L452" s="20" t="str">
        <f aca="false">IF(OR(J452="",G452=""),"",J452-K452)</f>
        <v/>
      </c>
      <c r="M452" s="1"/>
    </row>
    <row r="453" customFormat="false" ht="15" hidden="false" customHeight="false" outlineLevel="0" collapsed="false">
      <c r="A453" s="27"/>
      <c r="B453" s="1"/>
      <c r="C453" s="24" t="str">
        <f aca="false">IF(B453="","",IFERROR(INDEX(Patients!$B$2:$B$501,MATCH(B453,Patients!$A$2:$A$501,0))&amp;"",""))</f>
        <v/>
      </c>
      <c r="D453" s="1"/>
      <c r="E453" s="28"/>
      <c r="F453" s="1"/>
      <c r="G453" s="1"/>
      <c r="H453" s="29"/>
      <c r="I453" s="1"/>
      <c r="J453" s="20" t="str">
        <f aca="false">IF(D453="","",IFERROR(INDEX(Settings!$C$49:$C$54,MATCH(D453,Settings!$A$49:$A$54,0)),0))</f>
        <v/>
      </c>
      <c r="K453" s="20" t="str">
        <f aca="false">IF(J453="","",IF(G453="",J453,J453*(1-IF(H453="",Settings!$B$6,H453))))</f>
        <v/>
      </c>
      <c r="L453" s="20" t="str">
        <f aca="false">IF(OR(J453="",G453=""),"",J453-K453)</f>
        <v/>
      </c>
      <c r="M453" s="1"/>
    </row>
    <row r="454" customFormat="false" ht="15" hidden="false" customHeight="false" outlineLevel="0" collapsed="false">
      <c r="A454" s="27"/>
      <c r="B454" s="1"/>
      <c r="C454" s="24" t="str">
        <f aca="false">IF(B454="","",IFERROR(INDEX(Patients!$B$2:$B$501,MATCH(B454,Patients!$A$2:$A$501,0))&amp;"",""))</f>
        <v/>
      </c>
      <c r="D454" s="1"/>
      <c r="E454" s="28"/>
      <c r="F454" s="1"/>
      <c r="G454" s="1"/>
      <c r="H454" s="29"/>
      <c r="I454" s="1"/>
      <c r="J454" s="20" t="str">
        <f aca="false">IF(D454="","",IFERROR(INDEX(Settings!$C$49:$C$54,MATCH(D454,Settings!$A$49:$A$54,0)),0))</f>
        <v/>
      </c>
      <c r="K454" s="20" t="str">
        <f aca="false">IF(J454="","",IF(G454="",J454,J454*(1-IF(H454="",Settings!$B$6,H454))))</f>
        <v/>
      </c>
      <c r="L454" s="20" t="str">
        <f aca="false">IF(OR(J454="",G454=""),"",J454-K454)</f>
        <v/>
      </c>
      <c r="M454" s="1"/>
    </row>
    <row r="455" customFormat="false" ht="15" hidden="false" customHeight="false" outlineLevel="0" collapsed="false">
      <c r="A455" s="27"/>
      <c r="B455" s="1"/>
      <c r="C455" s="24" t="str">
        <f aca="false">IF(B455="","",IFERROR(INDEX(Patients!$B$2:$B$501,MATCH(B455,Patients!$A$2:$A$501,0))&amp;"",""))</f>
        <v/>
      </c>
      <c r="D455" s="1"/>
      <c r="E455" s="28"/>
      <c r="F455" s="1"/>
      <c r="G455" s="1"/>
      <c r="H455" s="29"/>
      <c r="I455" s="1"/>
      <c r="J455" s="20" t="str">
        <f aca="false">IF(D455="","",IFERROR(INDEX(Settings!$C$49:$C$54,MATCH(D455,Settings!$A$49:$A$54,0)),0))</f>
        <v/>
      </c>
      <c r="K455" s="20" t="str">
        <f aca="false">IF(J455="","",IF(G455="",J455,J455*(1-IF(H455="",Settings!$B$6,H455))))</f>
        <v/>
      </c>
      <c r="L455" s="20" t="str">
        <f aca="false">IF(OR(J455="",G455=""),"",J455-K455)</f>
        <v/>
      </c>
      <c r="M455" s="1"/>
    </row>
    <row r="456" customFormat="false" ht="15" hidden="false" customHeight="false" outlineLevel="0" collapsed="false">
      <c r="A456" s="27"/>
      <c r="B456" s="1"/>
      <c r="C456" s="24" t="str">
        <f aca="false">IF(B456="","",IFERROR(INDEX(Patients!$B$2:$B$501,MATCH(B456,Patients!$A$2:$A$501,0))&amp;"",""))</f>
        <v/>
      </c>
      <c r="D456" s="1"/>
      <c r="E456" s="28"/>
      <c r="F456" s="1"/>
      <c r="G456" s="1"/>
      <c r="H456" s="29"/>
      <c r="I456" s="1"/>
      <c r="J456" s="20" t="str">
        <f aca="false">IF(D456="","",IFERROR(INDEX(Settings!$C$49:$C$54,MATCH(D456,Settings!$A$49:$A$54,0)),0))</f>
        <v/>
      </c>
      <c r="K456" s="20" t="str">
        <f aca="false">IF(J456="","",IF(G456="",J456,J456*(1-IF(H456="",Settings!$B$6,H456))))</f>
        <v/>
      </c>
      <c r="L456" s="20" t="str">
        <f aca="false">IF(OR(J456="",G456=""),"",J456-K456)</f>
        <v/>
      </c>
      <c r="M456" s="1"/>
    </row>
    <row r="457" customFormat="false" ht="15" hidden="false" customHeight="false" outlineLevel="0" collapsed="false">
      <c r="A457" s="27"/>
      <c r="B457" s="1"/>
      <c r="C457" s="24" t="str">
        <f aca="false">IF(B457="","",IFERROR(INDEX(Patients!$B$2:$B$501,MATCH(B457,Patients!$A$2:$A$501,0))&amp;"",""))</f>
        <v/>
      </c>
      <c r="D457" s="1"/>
      <c r="E457" s="28"/>
      <c r="F457" s="1"/>
      <c r="G457" s="1"/>
      <c r="H457" s="29"/>
      <c r="I457" s="1"/>
      <c r="J457" s="20" t="str">
        <f aca="false">IF(D457="","",IFERROR(INDEX(Settings!$C$49:$C$54,MATCH(D457,Settings!$A$49:$A$54,0)),0))</f>
        <v/>
      </c>
      <c r="K457" s="20" t="str">
        <f aca="false">IF(J457="","",IF(G457="",J457,J457*(1-IF(H457="",Settings!$B$6,H457))))</f>
        <v/>
      </c>
      <c r="L457" s="20" t="str">
        <f aca="false">IF(OR(J457="",G457=""),"",J457-K457)</f>
        <v/>
      </c>
      <c r="M457" s="1"/>
    </row>
    <row r="458" customFormat="false" ht="15" hidden="false" customHeight="false" outlineLevel="0" collapsed="false">
      <c r="A458" s="27"/>
      <c r="B458" s="1"/>
      <c r="C458" s="24" t="str">
        <f aca="false">IF(B458="","",IFERROR(INDEX(Patients!$B$2:$B$501,MATCH(B458,Patients!$A$2:$A$501,0))&amp;"",""))</f>
        <v/>
      </c>
      <c r="D458" s="1"/>
      <c r="E458" s="28"/>
      <c r="F458" s="1"/>
      <c r="G458" s="1"/>
      <c r="H458" s="29"/>
      <c r="I458" s="1"/>
      <c r="J458" s="20" t="str">
        <f aca="false">IF(D458="","",IFERROR(INDEX(Settings!$C$49:$C$54,MATCH(D458,Settings!$A$49:$A$54,0)),0))</f>
        <v/>
      </c>
      <c r="K458" s="20" t="str">
        <f aca="false">IF(J458="","",IF(G458="",J458,J458*(1-IF(H458="",Settings!$B$6,H458))))</f>
        <v/>
      </c>
      <c r="L458" s="20" t="str">
        <f aca="false">IF(OR(J458="",G458=""),"",J458-K458)</f>
        <v/>
      </c>
      <c r="M458" s="1"/>
    </row>
    <row r="459" customFormat="false" ht="15" hidden="false" customHeight="false" outlineLevel="0" collapsed="false">
      <c r="A459" s="27"/>
      <c r="B459" s="1"/>
      <c r="C459" s="24" t="str">
        <f aca="false">IF(B459="","",IFERROR(INDEX(Patients!$B$2:$B$501,MATCH(B459,Patients!$A$2:$A$501,0))&amp;"",""))</f>
        <v/>
      </c>
      <c r="D459" s="1"/>
      <c r="E459" s="28"/>
      <c r="F459" s="1"/>
      <c r="G459" s="1"/>
      <c r="H459" s="29"/>
      <c r="I459" s="1"/>
      <c r="J459" s="20" t="str">
        <f aca="false">IF(D459="","",IFERROR(INDEX(Settings!$C$49:$C$54,MATCH(D459,Settings!$A$49:$A$54,0)),0))</f>
        <v/>
      </c>
      <c r="K459" s="20" t="str">
        <f aca="false">IF(J459="","",IF(G459="",J459,J459*(1-IF(H459="",Settings!$B$6,H459))))</f>
        <v/>
      </c>
      <c r="L459" s="20" t="str">
        <f aca="false">IF(OR(J459="",G459=""),"",J459-K459)</f>
        <v/>
      </c>
      <c r="M459" s="1"/>
    </row>
    <row r="460" customFormat="false" ht="15" hidden="false" customHeight="false" outlineLevel="0" collapsed="false">
      <c r="A460" s="27"/>
      <c r="B460" s="1"/>
      <c r="C460" s="24" t="str">
        <f aca="false">IF(B460="","",IFERROR(INDEX(Patients!$B$2:$B$501,MATCH(B460,Patients!$A$2:$A$501,0))&amp;"",""))</f>
        <v/>
      </c>
      <c r="D460" s="1"/>
      <c r="E460" s="28"/>
      <c r="F460" s="1"/>
      <c r="G460" s="1"/>
      <c r="H460" s="29"/>
      <c r="I460" s="1"/>
      <c r="J460" s="20" t="str">
        <f aca="false">IF(D460="","",IFERROR(INDEX(Settings!$C$49:$C$54,MATCH(D460,Settings!$A$49:$A$54,0)),0))</f>
        <v/>
      </c>
      <c r="K460" s="20" t="str">
        <f aca="false">IF(J460="","",IF(G460="",J460,J460*(1-IF(H460="",Settings!$B$6,H460))))</f>
        <v/>
      </c>
      <c r="L460" s="20" t="str">
        <f aca="false">IF(OR(J460="",G460=""),"",J460-K460)</f>
        <v/>
      </c>
      <c r="M460" s="1"/>
    </row>
    <row r="461" customFormat="false" ht="15" hidden="false" customHeight="false" outlineLevel="0" collapsed="false">
      <c r="A461" s="27"/>
      <c r="B461" s="1"/>
      <c r="C461" s="24" t="str">
        <f aca="false">IF(B461="","",IFERROR(INDEX(Patients!$B$2:$B$501,MATCH(B461,Patients!$A$2:$A$501,0))&amp;"",""))</f>
        <v/>
      </c>
      <c r="D461" s="1"/>
      <c r="E461" s="28"/>
      <c r="F461" s="1"/>
      <c r="G461" s="1"/>
      <c r="H461" s="29"/>
      <c r="I461" s="1"/>
      <c r="J461" s="20" t="str">
        <f aca="false">IF(D461="","",IFERROR(INDEX(Settings!$C$49:$C$54,MATCH(D461,Settings!$A$49:$A$54,0)),0))</f>
        <v/>
      </c>
      <c r="K461" s="20" t="str">
        <f aca="false">IF(J461="","",IF(G461="",J461,J461*(1-IF(H461="",Settings!$B$6,H461))))</f>
        <v/>
      </c>
      <c r="L461" s="20" t="str">
        <f aca="false">IF(OR(J461="",G461=""),"",J461-K461)</f>
        <v/>
      </c>
      <c r="M461" s="1"/>
    </row>
    <row r="462" customFormat="false" ht="15" hidden="false" customHeight="false" outlineLevel="0" collapsed="false">
      <c r="A462" s="27"/>
      <c r="B462" s="1"/>
      <c r="C462" s="24" t="str">
        <f aca="false">IF(B462="","",IFERROR(INDEX(Patients!$B$2:$B$501,MATCH(B462,Patients!$A$2:$A$501,0))&amp;"",""))</f>
        <v/>
      </c>
      <c r="D462" s="1"/>
      <c r="E462" s="28"/>
      <c r="F462" s="1"/>
      <c r="G462" s="1"/>
      <c r="H462" s="29"/>
      <c r="I462" s="1"/>
      <c r="J462" s="20" t="str">
        <f aca="false">IF(D462="","",IFERROR(INDEX(Settings!$C$49:$C$54,MATCH(D462,Settings!$A$49:$A$54,0)),0))</f>
        <v/>
      </c>
      <c r="K462" s="20" t="str">
        <f aca="false">IF(J462="","",IF(G462="",J462,J462*(1-IF(H462="",Settings!$B$6,H462))))</f>
        <v/>
      </c>
      <c r="L462" s="20" t="str">
        <f aca="false">IF(OR(J462="",G462=""),"",J462-K462)</f>
        <v/>
      </c>
      <c r="M462" s="1"/>
    </row>
    <row r="463" customFormat="false" ht="15" hidden="false" customHeight="false" outlineLevel="0" collapsed="false">
      <c r="A463" s="27"/>
      <c r="B463" s="1"/>
      <c r="C463" s="24" t="str">
        <f aca="false">IF(B463="","",IFERROR(INDEX(Patients!$B$2:$B$501,MATCH(B463,Patients!$A$2:$A$501,0))&amp;"",""))</f>
        <v/>
      </c>
      <c r="D463" s="1"/>
      <c r="E463" s="28"/>
      <c r="F463" s="1"/>
      <c r="G463" s="1"/>
      <c r="H463" s="29"/>
      <c r="I463" s="1"/>
      <c r="J463" s="20" t="str">
        <f aca="false">IF(D463="","",IFERROR(INDEX(Settings!$C$49:$C$54,MATCH(D463,Settings!$A$49:$A$54,0)),0))</f>
        <v/>
      </c>
      <c r="K463" s="20" t="str">
        <f aca="false">IF(J463="","",IF(G463="",J463,J463*(1-IF(H463="",Settings!$B$6,H463))))</f>
        <v/>
      </c>
      <c r="L463" s="20" t="str">
        <f aca="false">IF(OR(J463="",G463=""),"",J463-K463)</f>
        <v/>
      </c>
      <c r="M463" s="1"/>
    </row>
    <row r="464" customFormat="false" ht="15" hidden="false" customHeight="false" outlineLevel="0" collapsed="false">
      <c r="A464" s="27"/>
      <c r="B464" s="1"/>
      <c r="C464" s="24" t="str">
        <f aca="false">IF(B464="","",IFERROR(INDEX(Patients!$B$2:$B$501,MATCH(B464,Patients!$A$2:$A$501,0))&amp;"",""))</f>
        <v/>
      </c>
      <c r="D464" s="1"/>
      <c r="E464" s="28"/>
      <c r="F464" s="1"/>
      <c r="G464" s="1"/>
      <c r="H464" s="29"/>
      <c r="I464" s="1"/>
      <c r="J464" s="20" t="str">
        <f aca="false">IF(D464="","",IFERROR(INDEX(Settings!$C$49:$C$54,MATCH(D464,Settings!$A$49:$A$54,0)),0))</f>
        <v/>
      </c>
      <c r="K464" s="20" t="str">
        <f aca="false">IF(J464="","",IF(G464="",J464,J464*(1-IF(H464="",Settings!$B$6,H464))))</f>
        <v/>
      </c>
      <c r="L464" s="20" t="str">
        <f aca="false">IF(OR(J464="",G464=""),"",J464-K464)</f>
        <v/>
      </c>
      <c r="M464" s="1"/>
    </row>
    <row r="465" customFormat="false" ht="15" hidden="false" customHeight="false" outlineLevel="0" collapsed="false">
      <c r="A465" s="27"/>
      <c r="B465" s="1"/>
      <c r="C465" s="24" t="str">
        <f aca="false">IF(B465="","",IFERROR(INDEX(Patients!$B$2:$B$501,MATCH(B465,Patients!$A$2:$A$501,0))&amp;"",""))</f>
        <v/>
      </c>
      <c r="D465" s="1"/>
      <c r="E465" s="28"/>
      <c r="F465" s="1"/>
      <c r="G465" s="1"/>
      <c r="H465" s="29"/>
      <c r="I465" s="1"/>
      <c r="J465" s="20" t="str">
        <f aca="false">IF(D465="","",IFERROR(INDEX(Settings!$C$49:$C$54,MATCH(D465,Settings!$A$49:$A$54,0)),0))</f>
        <v/>
      </c>
      <c r="K465" s="20" t="str">
        <f aca="false">IF(J465="","",IF(G465="",J465,J465*(1-IF(H465="",Settings!$B$6,H465))))</f>
        <v/>
      </c>
      <c r="L465" s="20" t="str">
        <f aca="false">IF(OR(J465="",G465=""),"",J465-K465)</f>
        <v/>
      </c>
      <c r="M465" s="1"/>
    </row>
    <row r="466" customFormat="false" ht="15" hidden="false" customHeight="false" outlineLevel="0" collapsed="false">
      <c r="A466" s="27"/>
      <c r="B466" s="1"/>
      <c r="C466" s="24" t="str">
        <f aca="false">IF(B466="","",IFERROR(INDEX(Patients!$B$2:$B$501,MATCH(B466,Patients!$A$2:$A$501,0))&amp;"",""))</f>
        <v/>
      </c>
      <c r="D466" s="1"/>
      <c r="E466" s="28"/>
      <c r="F466" s="1"/>
      <c r="G466" s="1"/>
      <c r="H466" s="29"/>
      <c r="I466" s="1"/>
      <c r="J466" s="20" t="str">
        <f aca="false">IF(D466="","",IFERROR(INDEX(Settings!$C$49:$C$54,MATCH(D466,Settings!$A$49:$A$54,0)),0))</f>
        <v/>
      </c>
      <c r="K466" s="20" t="str">
        <f aca="false">IF(J466="","",IF(G466="",J466,J466*(1-IF(H466="",Settings!$B$6,H466))))</f>
        <v/>
      </c>
      <c r="L466" s="20" t="str">
        <f aca="false">IF(OR(J466="",G466=""),"",J466-K466)</f>
        <v/>
      </c>
      <c r="M466" s="1"/>
    </row>
    <row r="467" customFormat="false" ht="15" hidden="false" customHeight="false" outlineLevel="0" collapsed="false">
      <c r="A467" s="27"/>
      <c r="B467" s="1"/>
      <c r="C467" s="24" t="str">
        <f aca="false">IF(B467="","",IFERROR(INDEX(Patients!$B$2:$B$501,MATCH(B467,Patients!$A$2:$A$501,0))&amp;"",""))</f>
        <v/>
      </c>
      <c r="D467" s="1"/>
      <c r="E467" s="28"/>
      <c r="F467" s="1"/>
      <c r="G467" s="1"/>
      <c r="H467" s="29"/>
      <c r="I467" s="1"/>
      <c r="J467" s="20" t="str">
        <f aca="false">IF(D467="","",IFERROR(INDEX(Settings!$C$49:$C$54,MATCH(D467,Settings!$A$49:$A$54,0)),0))</f>
        <v/>
      </c>
      <c r="K467" s="20" t="str">
        <f aca="false">IF(J467="","",IF(G467="",J467,J467*(1-IF(H467="",Settings!$B$6,H467))))</f>
        <v/>
      </c>
      <c r="L467" s="20" t="str">
        <f aca="false">IF(OR(J467="",G467=""),"",J467-K467)</f>
        <v/>
      </c>
      <c r="M467" s="1"/>
    </row>
    <row r="468" customFormat="false" ht="15" hidden="false" customHeight="false" outlineLevel="0" collapsed="false">
      <c r="A468" s="27"/>
      <c r="B468" s="1"/>
      <c r="C468" s="24" t="str">
        <f aca="false">IF(B468="","",IFERROR(INDEX(Patients!$B$2:$B$501,MATCH(B468,Patients!$A$2:$A$501,0))&amp;"",""))</f>
        <v/>
      </c>
      <c r="D468" s="1"/>
      <c r="E468" s="28"/>
      <c r="F468" s="1"/>
      <c r="G468" s="1"/>
      <c r="H468" s="29"/>
      <c r="I468" s="1"/>
      <c r="J468" s="20" t="str">
        <f aca="false">IF(D468="","",IFERROR(INDEX(Settings!$C$49:$C$54,MATCH(D468,Settings!$A$49:$A$54,0)),0))</f>
        <v/>
      </c>
      <c r="K468" s="20" t="str">
        <f aca="false">IF(J468="","",IF(G468="",J468,J468*(1-IF(H468="",Settings!$B$6,H468))))</f>
        <v/>
      </c>
      <c r="L468" s="20" t="str">
        <f aca="false">IF(OR(J468="",G468=""),"",J468-K468)</f>
        <v/>
      </c>
      <c r="M468" s="1"/>
    </row>
    <row r="469" customFormat="false" ht="15" hidden="false" customHeight="false" outlineLevel="0" collapsed="false">
      <c r="A469" s="27"/>
      <c r="B469" s="1"/>
      <c r="C469" s="24" t="str">
        <f aca="false">IF(B469="","",IFERROR(INDEX(Patients!$B$2:$B$501,MATCH(B469,Patients!$A$2:$A$501,0))&amp;"",""))</f>
        <v/>
      </c>
      <c r="D469" s="1"/>
      <c r="E469" s="28"/>
      <c r="F469" s="1"/>
      <c r="G469" s="1"/>
      <c r="H469" s="29"/>
      <c r="I469" s="1"/>
      <c r="J469" s="20" t="str">
        <f aca="false">IF(D469="","",IFERROR(INDEX(Settings!$C$49:$C$54,MATCH(D469,Settings!$A$49:$A$54,0)),0))</f>
        <v/>
      </c>
      <c r="K469" s="20" t="str">
        <f aca="false">IF(J469="","",IF(G469="",J469,J469*(1-IF(H469="",Settings!$B$6,H469))))</f>
        <v/>
      </c>
      <c r="L469" s="20" t="str">
        <f aca="false">IF(OR(J469="",G469=""),"",J469-K469)</f>
        <v/>
      </c>
      <c r="M469" s="1"/>
    </row>
    <row r="470" customFormat="false" ht="15" hidden="false" customHeight="false" outlineLevel="0" collapsed="false">
      <c r="A470" s="27"/>
      <c r="B470" s="1"/>
      <c r="C470" s="24" t="str">
        <f aca="false">IF(B470="","",IFERROR(INDEX(Patients!$B$2:$B$501,MATCH(B470,Patients!$A$2:$A$501,0))&amp;"",""))</f>
        <v/>
      </c>
      <c r="D470" s="1"/>
      <c r="E470" s="28"/>
      <c r="F470" s="1"/>
      <c r="G470" s="1"/>
      <c r="H470" s="29"/>
      <c r="I470" s="1"/>
      <c r="J470" s="20" t="str">
        <f aca="false">IF(D470="","",IFERROR(INDEX(Settings!$C$49:$C$54,MATCH(D470,Settings!$A$49:$A$54,0)),0))</f>
        <v/>
      </c>
      <c r="K470" s="20" t="str">
        <f aca="false">IF(J470="","",IF(G470="",J470,J470*(1-IF(H470="",Settings!$B$6,H470))))</f>
        <v/>
      </c>
      <c r="L470" s="20" t="str">
        <f aca="false">IF(OR(J470="",G470=""),"",J470-K470)</f>
        <v/>
      </c>
      <c r="M470" s="1"/>
    </row>
    <row r="471" customFormat="false" ht="15" hidden="false" customHeight="false" outlineLevel="0" collapsed="false">
      <c r="A471" s="27"/>
      <c r="B471" s="1"/>
      <c r="C471" s="24" t="str">
        <f aca="false">IF(B471="","",IFERROR(INDEX(Patients!$B$2:$B$501,MATCH(B471,Patients!$A$2:$A$501,0))&amp;"",""))</f>
        <v/>
      </c>
      <c r="D471" s="1"/>
      <c r="E471" s="28"/>
      <c r="F471" s="1"/>
      <c r="G471" s="1"/>
      <c r="H471" s="29"/>
      <c r="I471" s="1"/>
      <c r="J471" s="20" t="str">
        <f aca="false">IF(D471="","",IFERROR(INDEX(Settings!$C$49:$C$54,MATCH(D471,Settings!$A$49:$A$54,0)),0))</f>
        <v/>
      </c>
      <c r="K471" s="20" t="str">
        <f aca="false">IF(J471="","",IF(G471="",J471,J471*(1-IF(H471="",Settings!$B$6,H471))))</f>
        <v/>
      </c>
      <c r="L471" s="20" t="str">
        <f aca="false">IF(OR(J471="",G471=""),"",J471-K471)</f>
        <v/>
      </c>
      <c r="M471" s="1"/>
    </row>
    <row r="472" customFormat="false" ht="15" hidden="false" customHeight="false" outlineLevel="0" collapsed="false">
      <c r="A472" s="27"/>
      <c r="B472" s="1"/>
      <c r="C472" s="24" t="str">
        <f aca="false">IF(B472="","",IFERROR(INDEX(Patients!$B$2:$B$501,MATCH(B472,Patients!$A$2:$A$501,0))&amp;"",""))</f>
        <v/>
      </c>
      <c r="D472" s="1"/>
      <c r="E472" s="28"/>
      <c r="F472" s="1"/>
      <c r="G472" s="1"/>
      <c r="H472" s="29"/>
      <c r="I472" s="1"/>
      <c r="J472" s="20" t="str">
        <f aca="false">IF(D472="","",IFERROR(INDEX(Settings!$C$49:$C$54,MATCH(D472,Settings!$A$49:$A$54,0)),0))</f>
        <v/>
      </c>
      <c r="K472" s="20" t="str">
        <f aca="false">IF(J472="","",IF(G472="",J472,J472*(1-IF(H472="",Settings!$B$6,H472))))</f>
        <v/>
      </c>
      <c r="L472" s="20" t="str">
        <f aca="false">IF(OR(J472="",G472=""),"",J472-K472)</f>
        <v/>
      </c>
      <c r="M472" s="1"/>
    </row>
    <row r="473" customFormat="false" ht="15" hidden="false" customHeight="false" outlineLevel="0" collapsed="false">
      <c r="A473" s="27"/>
      <c r="B473" s="1"/>
      <c r="C473" s="24" t="str">
        <f aca="false">IF(B473="","",IFERROR(INDEX(Patients!$B$2:$B$501,MATCH(B473,Patients!$A$2:$A$501,0))&amp;"",""))</f>
        <v/>
      </c>
      <c r="D473" s="1"/>
      <c r="E473" s="28"/>
      <c r="F473" s="1"/>
      <c r="G473" s="1"/>
      <c r="H473" s="29"/>
      <c r="I473" s="1"/>
      <c r="J473" s="20" t="str">
        <f aca="false">IF(D473="","",IFERROR(INDEX(Settings!$C$49:$C$54,MATCH(D473,Settings!$A$49:$A$54,0)),0))</f>
        <v/>
      </c>
      <c r="K473" s="20" t="str">
        <f aca="false">IF(J473="","",IF(G473="",J473,J473*(1-IF(H473="",Settings!$B$6,H473))))</f>
        <v/>
      </c>
      <c r="L473" s="20" t="str">
        <f aca="false">IF(OR(J473="",G473=""),"",J473-K473)</f>
        <v/>
      </c>
      <c r="M473" s="1"/>
    </row>
    <row r="474" customFormat="false" ht="15" hidden="false" customHeight="false" outlineLevel="0" collapsed="false">
      <c r="A474" s="27"/>
      <c r="B474" s="1"/>
      <c r="C474" s="24" t="str">
        <f aca="false">IF(B474="","",IFERROR(INDEX(Patients!$B$2:$B$501,MATCH(B474,Patients!$A$2:$A$501,0))&amp;"",""))</f>
        <v/>
      </c>
      <c r="D474" s="1"/>
      <c r="E474" s="28"/>
      <c r="F474" s="1"/>
      <c r="G474" s="1"/>
      <c r="H474" s="29"/>
      <c r="I474" s="1"/>
      <c r="J474" s="20" t="str">
        <f aca="false">IF(D474="","",IFERROR(INDEX(Settings!$C$49:$C$54,MATCH(D474,Settings!$A$49:$A$54,0)),0))</f>
        <v/>
      </c>
      <c r="K474" s="20" t="str">
        <f aca="false">IF(J474="","",IF(G474="",J474,J474*(1-IF(H474="",Settings!$B$6,H474))))</f>
        <v/>
      </c>
      <c r="L474" s="20" t="str">
        <f aca="false">IF(OR(J474="",G474=""),"",J474-K474)</f>
        <v/>
      </c>
      <c r="M474" s="1"/>
    </row>
    <row r="475" customFormat="false" ht="15" hidden="false" customHeight="false" outlineLevel="0" collapsed="false">
      <c r="A475" s="27"/>
      <c r="B475" s="1"/>
      <c r="C475" s="24" t="str">
        <f aca="false">IF(B475="","",IFERROR(INDEX(Patients!$B$2:$B$501,MATCH(B475,Patients!$A$2:$A$501,0))&amp;"",""))</f>
        <v/>
      </c>
      <c r="D475" s="1"/>
      <c r="E475" s="28"/>
      <c r="F475" s="1"/>
      <c r="G475" s="1"/>
      <c r="H475" s="29"/>
      <c r="I475" s="1"/>
      <c r="J475" s="20" t="str">
        <f aca="false">IF(D475="","",IFERROR(INDEX(Settings!$C$49:$C$54,MATCH(D475,Settings!$A$49:$A$54,0)),0))</f>
        <v/>
      </c>
      <c r="K475" s="20" t="str">
        <f aca="false">IF(J475="","",IF(G475="",J475,J475*(1-IF(H475="",Settings!$B$6,H475))))</f>
        <v/>
      </c>
      <c r="L475" s="20" t="str">
        <f aca="false">IF(OR(J475="",G475=""),"",J475-K475)</f>
        <v/>
      </c>
      <c r="M475" s="1"/>
    </row>
    <row r="476" customFormat="false" ht="15" hidden="false" customHeight="false" outlineLevel="0" collapsed="false">
      <c r="A476" s="27"/>
      <c r="B476" s="1"/>
      <c r="C476" s="24" t="str">
        <f aca="false">IF(B476="","",IFERROR(INDEX(Patients!$B$2:$B$501,MATCH(B476,Patients!$A$2:$A$501,0))&amp;"",""))</f>
        <v/>
      </c>
      <c r="D476" s="1"/>
      <c r="E476" s="28"/>
      <c r="F476" s="1"/>
      <c r="G476" s="1"/>
      <c r="H476" s="29"/>
      <c r="I476" s="1"/>
      <c r="J476" s="20" t="str">
        <f aca="false">IF(D476="","",IFERROR(INDEX(Settings!$C$49:$C$54,MATCH(D476,Settings!$A$49:$A$54,0)),0))</f>
        <v/>
      </c>
      <c r="K476" s="20" t="str">
        <f aca="false">IF(J476="","",IF(G476="",J476,J476*(1-IF(H476="",Settings!$B$6,H476))))</f>
        <v/>
      </c>
      <c r="L476" s="20" t="str">
        <f aca="false">IF(OR(J476="",G476=""),"",J476-K476)</f>
        <v/>
      </c>
      <c r="M476" s="1"/>
    </row>
    <row r="477" customFormat="false" ht="15" hidden="false" customHeight="false" outlineLevel="0" collapsed="false">
      <c r="A477" s="27"/>
      <c r="B477" s="1"/>
      <c r="C477" s="24" t="str">
        <f aca="false">IF(B477="","",IFERROR(INDEX(Patients!$B$2:$B$501,MATCH(B477,Patients!$A$2:$A$501,0))&amp;"",""))</f>
        <v/>
      </c>
      <c r="D477" s="1"/>
      <c r="E477" s="28"/>
      <c r="F477" s="1"/>
      <c r="G477" s="1"/>
      <c r="H477" s="29"/>
      <c r="I477" s="1"/>
      <c r="J477" s="20" t="str">
        <f aca="false">IF(D477="","",IFERROR(INDEX(Settings!$C$49:$C$54,MATCH(D477,Settings!$A$49:$A$54,0)),0))</f>
        <v/>
      </c>
      <c r="K477" s="20" t="str">
        <f aca="false">IF(J477="","",IF(G477="",J477,J477*(1-IF(H477="",Settings!$B$6,H477))))</f>
        <v/>
      </c>
      <c r="L477" s="20" t="str">
        <f aca="false">IF(OR(J477="",G477=""),"",J477-K477)</f>
        <v/>
      </c>
      <c r="M477" s="1"/>
    </row>
    <row r="478" customFormat="false" ht="15" hidden="false" customHeight="false" outlineLevel="0" collapsed="false">
      <c r="A478" s="27"/>
      <c r="B478" s="1"/>
      <c r="C478" s="24" t="str">
        <f aca="false">IF(B478="","",IFERROR(INDEX(Patients!$B$2:$B$501,MATCH(B478,Patients!$A$2:$A$501,0))&amp;"",""))</f>
        <v/>
      </c>
      <c r="D478" s="1"/>
      <c r="E478" s="28"/>
      <c r="F478" s="1"/>
      <c r="G478" s="1"/>
      <c r="H478" s="29"/>
      <c r="I478" s="1"/>
      <c r="J478" s="20" t="str">
        <f aca="false">IF(D478="","",IFERROR(INDEX(Settings!$C$49:$C$54,MATCH(D478,Settings!$A$49:$A$54,0)),0))</f>
        <v/>
      </c>
      <c r="K478" s="20" t="str">
        <f aca="false">IF(J478="","",IF(G478="",J478,J478*(1-IF(H478="",Settings!$B$6,H478))))</f>
        <v/>
      </c>
      <c r="L478" s="20" t="str">
        <f aca="false">IF(OR(J478="",G478=""),"",J478-K478)</f>
        <v/>
      </c>
      <c r="M478" s="1"/>
    </row>
    <row r="479" customFormat="false" ht="15" hidden="false" customHeight="false" outlineLevel="0" collapsed="false">
      <c r="A479" s="27"/>
      <c r="B479" s="1"/>
      <c r="C479" s="24" t="str">
        <f aca="false">IF(B479="","",IFERROR(INDEX(Patients!$B$2:$B$501,MATCH(B479,Patients!$A$2:$A$501,0))&amp;"",""))</f>
        <v/>
      </c>
      <c r="D479" s="1"/>
      <c r="E479" s="28"/>
      <c r="F479" s="1"/>
      <c r="G479" s="1"/>
      <c r="H479" s="29"/>
      <c r="I479" s="1"/>
      <c r="J479" s="20" t="str">
        <f aca="false">IF(D479="","",IFERROR(INDEX(Settings!$C$49:$C$54,MATCH(D479,Settings!$A$49:$A$54,0)),0))</f>
        <v/>
      </c>
      <c r="K479" s="20" t="str">
        <f aca="false">IF(J479="","",IF(G479="",J479,J479*(1-IF(H479="",Settings!$B$6,H479))))</f>
        <v/>
      </c>
      <c r="L479" s="20" t="str">
        <f aca="false">IF(OR(J479="",G479=""),"",J479-K479)</f>
        <v/>
      </c>
      <c r="M479" s="1"/>
    </row>
    <row r="480" customFormat="false" ht="15" hidden="false" customHeight="false" outlineLevel="0" collapsed="false">
      <c r="A480" s="27"/>
      <c r="B480" s="1"/>
      <c r="C480" s="24" t="str">
        <f aca="false">IF(B480="","",IFERROR(INDEX(Patients!$B$2:$B$501,MATCH(B480,Patients!$A$2:$A$501,0))&amp;"",""))</f>
        <v/>
      </c>
      <c r="D480" s="1"/>
      <c r="E480" s="28"/>
      <c r="F480" s="1"/>
      <c r="G480" s="1"/>
      <c r="H480" s="29"/>
      <c r="I480" s="1"/>
      <c r="J480" s="20" t="str">
        <f aca="false">IF(D480="","",IFERROR(INDEX(Settings!$C$49:$C$54,MATCH(D480,Settings!$A$49:$A$54,0)),0))</f>
        <v/>
      </c>
      <c r="K480" s="20" t="str">
        <f aca="false">IF(J480="","",IF(G480="",J480,J480*(1-IF(H480="",Settings!$B$6,H480))))</f>
        <v/>
      </c>
      <c r="L480" s="20" t="str">
        <f aca="false">IF(OR(J480="",G480=""),"",J480-K480)</f>
        <v/>
      </c>
      <c r="M480" s="1"/>
    </row>
    <row r="481" customFormat="false" ht="15" hidden="false" customHeight="false" outlineLevel="0" collapsed="false">
      <c r="A481" s="27"/>
      <c r="B481" s="1"/>
      <c r="C481" s="24" t="str">
        <f aca="false">IF(B481="","",IFERROR(INDEX(Patients!$B$2:$B$501,MATCH(B481,Patients!$A$2:$A$501,0))&amp;"",""))</f>
        <v/>
      </c>
      <c r="D481" s="1"/>
      <c r="E481" s="28"/>
      <c r="F481" s="1"/>
      <c r="G481" s="1"/>
      <c r="H481" s="29"/>
      <c r="I481" s="1"/>
      <c r="J481" s="20" t="str">
        <f aca="false">IF(D481="","",IFERROR(INDEX(Settings!$C$49:$C$54,MATCH(D481,Settings!$A$49:$A$54,0)),0))</f>
        <v/>
      </c>
      <c r="K481" s="20" t="str">
        <f aca="false">IF(J481="","",IF(G481="",J481,J481*(1-IF(H481="",Settings!$B$6,H481))))</f>
        <v/>
      </c>
      <c r="L481" s="20" t="str">
        <f aca="false">IF(OR(J481="",G481=""),"",J481-K481)</f>
        <v/>
      </c>
      <c r="M481" s="1"/>
    </row>
    <row r="482" customFormat="false" ht="15" hidden="false" customHeight="false" outlineLevel="0" collapsed="false">
      <c r="A482" s="27"/>
      <c r="B482" s="1"/>
      <c r="C482" s="24" t="str">
        <f aca="false">IF(B482="","",IFERROR(INDEX(Patients!$B$2:$B$501,MATCH(B482,Patients!$A$2:$A$501,0))&amp;"",""))</f>
        <v/>
      </c>
      <c r="D482" s="1"/>
      <c r="E482" s="28"/>
      <c r="F482" s="1"/>
      <c r="G482" s="1"/>
      <c r="H482" s="29"/>
      <c r="I482" s="1"/>
      <c r="J482" s="20" t="str">
        <f aca="false">IF(D482="","",IFERROR(INDEX(Settings!$C$49:$C$54,MATCH(D482,Settings!$A$49:$A$54,0)),0))</f>
        <v/>
      </c>
      <c r="K482" s="20" t="str">
        <f aca="false">IF(J482="","",IF(G482="",J482,J482*(1-IF(H482="",Settings!$B$6,H482))))</f>
        <v/>
      </c>
      <c r="L482" s="20" t="str">
        <f aca="false">IF(OR(J482="",G482=""),"",J482-K482)</f>
        <v/>
      </c>
      <c r="M482" s="1"/>
    </row>
    <row r="483" customFormat="false" ht="15" hidden="false" customHeight="false" outlineLevel="0" collapsed="false">
      <c r="A483" s="27"/>
      <c r="B483" s="1"/>
      <c r="C483" s="24" t="str">
        <f aca="false">IF(B483="","",IFERROR(INDEX(Patients!$B$2:$B$501,MATCH(B483,Patients!$A$2:$A$501,0))&amp;"",""))</f>
        <v/>
      </c>
      <c r="D483" s="1"/>
      <c r="E483" s="28"/>
      <c r="F483" s="1"/>
      <c r="G483" s="1"/>
      <c r="H483" s="29"/>
      <c r="I483" s="1"/>
      <c r="J483" s="20" t="str">
        <f aca="false">IF(D483="","",IFERROR(INDEX(Settings!$C$49:$C$54,MATCH(D483,Settings!$A$49:$A$54,0)),0))</f>
        <v/>
      </c>
      <c r="K483" s="20" t="str">
        <f aca="false">IF(J483="","",IF(G483="",J483,J483*(1-IF(H483="",Settings!$B$6,H483))))</f>
        <v/>
      </c>
      <c r="L483" s="20" t="str">
        <f aca="false">IF(OR(J483="",G483=""),"",J483-K483)</f>
        <v/>
      </c>
      <c r="M483" s="1"/>
    </row>
    <row r="484" customFormat="false" ht="15" hidden="false" customHeight="false" outlineLevel="0" collapsed="false">
      <c r="A484" s="27"/>
      <c r="B484" s="1"/>
      <c r="C484" s="24" t="str">
        <f aca="false">IF(B484="","",IFERROR(INDEX(Patients!$B$2:$B$501,MATCH(B484,Patients!$A$2:$A$501,0))&amp;"",""))</f>
        <v/>
      </c>
      <c r="D484" s="1"/>
      <c r="E484" s="28"/>
      <c r="F484" s="1"/>
      <c r="G484" s="1"/>
      <c r="H484" s="29"/>
      <c r="I484" s="1"/>
      <c r="J484" s="20" t="str">
        <f aca="false">IF(D484="","",IFERROR(INDEX(Settings!$C$49:$C$54,MATCH(D484,Settings!$A$49:$A$54,0)),0))</f>
        <v/>
      </c>
      <c r="K484" s="20" t="str">
        <f aca="false">IF(J484="","",IF(G484="",J484,J484*(1-IF(H484="",Settings!$B$6,H484))))</f>
        <v/>
      </c>
      <c r="L484" s="20" t="str">
        <f aca="false">IF(OR(J484="",G484=""),"",J484-K484)</f>
        <v/>
      </c>
      <c r="M484" s="1"/>
    </row>
    <row r="485" customFormat="false" ht="15" hidden="false" customHeight="false" outlineLevel="0" collapsed="false">
      <c r="A485" s="27"/>
      <c r="B485" s="1"/>
      <c r="C485" s="24" t="str">
        <f aca="false">IF(B485="","",IFERROR(INDEX(Patients!$B$2:$B$501,MATCH(B485,Patients!$A$2:$A$501,0))&amp;"",""))</f>
        <v/>
      </c>
      <c r="D485" s="1"/>
      <c r="E485" s="28"/>
      <c r="F485" s="1"/>
      <c r="G485" s="1"/>
      <c r="H485" s="29"/>
      <c r="I485" s="1"/>
      <c r="J485" s="20" t="str">
        <f aca="false">IF(D485="","",IFERROR(INDEX(Settings!$C$49:$C$54,MATCH(D485,Settings!$A$49:$A$54,0)),0))</f>
        <v/>
      </c>
      <c r="K485" s="20" t="str">
        <f aca="false">IF(J485="","",IF(G485="",J485,J485*(1-IF(H485="",Settings!$B$6,H485))))</f>
        <v/>
      </c>
      <c r="L485" s="20" t="str">
        <f aca="false">IF(OR(J485="",G485=""),"",J485-K485)</f>
        <v/>
      </c>
      <c r="M485" s="1"/>
    </row>
    <row r="486" customFormat="false" ht="15" hidden="false" customHeight="false" outlineLevel="0" collapsed="false">
      <c r="A486" s="27"/>
      <c r="B486" s="1"/>
      <c r="C486" s="24" t="str">
        <f aca="false">IF(B486="","",IFERROR(INDEX(Patients!$B$2:$B$501,MATCH(B486,Patients!$A$2:$A$501,0))&amp;"",""))</f>
        <v/>
      </c>
      <c r="D486" s="1"/>
      <c r="E486" s="28"/>
      <c r="F486" s="1"/>
      <c r="G486" s="1"/>
      <c r="H486" s="29"/>
      <c r="I486" s="1"/>
      <c r="J486" s="20" t="str">
        <f aca="false">IF(D486="","",IFERROR(INDEX(Settings!$C$49:$C$54,MATCH(D486,Settings!$A$49:$A$54,0)),0))</f>
        <v/>
      </c>
      <c r="K486" s="20" t="str">
        <f aca="false">IF(J486="","",IF(G486="",J486,J486*(1-IF(H486="",Settings!$B$6,H486))))</f>
        <v/>
      </c>
      <c r="L486" s="20" t="str">
        <f aca="false">IF(OR(J486="",G486=""),"",J486-K486)</f>
        <v/>
      </c>
      <c r="M486" s="1"/>
    </row>
    <row r="487" customFormat="false" ht="15" hidden="false" customHeight="false" outlineLevel="0" collapsed="false">
      <c r="A487" s="27"/>
      <c r="B487" s="1"/>
      <c r="C487" s="24" t="str">
        <f aca="false">IF(B487="","",IFERROR(INDEX(Patients!$B$2:$B$501,MATCH(B487,Patients!$A$2:$A$501,0))&amp;"",""))</f>
        <v/>
      </c>
      <c r="D487" s="1"/>
      <c r="E487" s="28"/>
      <c r="F487" s="1"/>
      <c r="G487" s="1"/>
      <c r="H487" s="29"/>
      <c r="I487" s="1"/>
      <c r="J487" s="20" t="str">
        <f aca="false">IF(D487="","",IFERROR(INDEX(Settings!$C$49:$C$54,MATCH(D487,Settings!$A$49:$A$54,0)),0))</f>
        <v/>
      </c>
      <c r="K487" s="20" t="str">
        <f aca="false">IF(J487="","",IF(G487="",J487,J487*(1-IF(H487="",Settings!$B$6,H487))))</f>
        <v/>
      </c>
      <c r="L487" s="20" t="str">
        <f aca="false">IF(OR(J487="",G487=""),"",J487-K487)</f>
        <v/>
      </c>
      <c r="M487" s="1"/>
    </row>
    <row r="488" customFormat="false" ht="15" hidden="false" customHeight="false" outlineLevel="0" collapsed="false">
      <c r="A488" s="27"/>
      <c r="B488" s="1"/>
      <c r="C488" s="24" t="str">
        <f aca="false">IF(B488="","",IFERROR(INDEX(Patients!$B$2:$B$501,MATCH(B488,Patients!$A$2:$A$501,0))&amp;"",""))</f>
        <v/>
      </c>
      <c r="D488" s="1"/>
      <c r="E488" s="28"/>
      <c r="F488" s="1"/>
      <c r="G488" s="1"/>
      <c r="H488" s="29"/>
      <c r="I488" s="1"/>
      <c r="J488" s="20" t="str">
        <f aca="false">IF(D488="","",IFERROR(INDEX(Settings!$C$49:$C$54,MATCH(D488,Settings!$A$49:$A$54,0)),0))</f>
        <v/>
      </c>
      <c r="K488" s="20" t="str">
        <f aca="false">IF(J488="","",IF(G488="",J488,J488*(1-IF(H488="",Settings!$B$6,H488))))</f>
        <v/>
      </c>
      <c r="L488" s="20" t="str">
        <f aca="false">IF(OR(J488="",G488=""),"",J488-K488)</f>
        <v/>
      </c>
      <c r="M488" s="1"/>
    </row>
    <row r="489" customFormat="false" ht="15" hidden="false" customHeight="false" outlineLevel="0" collapsed="false">
      <c r="A489" s="27"/>
      <c r="B489" s="1"/>
      <c r="C489" s="24" t="str">
        <f aca="false">IF(B489="","",IFERROR(INDEX(Patients!$B$2:$B$501,MATCH(B489,Patients!$A$2:$A$501,0))&amp;"",""))</f>
        <v/>
      </c>
      <c r="D489" s="1"/>
      <c r="E489" s="28"/>
      <c r="F489" s="1"/>
      <c r="G489" s="1"/>
      <c r="H489" s="29"/>
      <c r="I489" s="1"/>
      <c r="J489" s="20" t="str">
        <f aca="false">IF(D489="","",IFERROR(INDEX(Settings!$C$49:$C$54,MATCH(D489,Settings!$A$49:$A$54,0)),0))</f>
        <v/>
      </c>
      <c r="K489" s="20" t="str">
        <f aca="false">IF(J489="","",IF(G489="",J489,J489*(1-IF(H489="",Settings!$B$6,H489))))</f>
        <v/>
      </c>
      <c r="L489" s="20" t="str">
        <f aca="false">IF(OR(J489="",G489=""),"",J489-K489)</f>
        <v/>
      </c>
      <c r="M489" s="1"/>
    </row>
    <row r="490" customFormat="false" ht="15" hidden="false" customHeight="false" outlineLevel="0" collapsed="false">
      <c r="A490" s="27"/>
      <c r="B490" s="1"/>
      <c r="C490" s="24" t="str">
        <f aca="false">IF(B490="","",IFERROR(INDEX(Patients!$B$2:$B$501,MATCH(B490,Patients!$A$2:$A$501,0))&amp;"",""))</f>
        <v/>
      </c>
      <c r="D490" s="1"/>
      <c r="E490" s="28"/>
      <c r="F490" s="1"/>
      <c r="G490" s="1"/>
      <c r="H490" s="29"/>
      <c r="I490" s="1"/>
      <c r="J490" s="20" t="str">
        <f aca="false">IF(D490="","",IFERROR(INDEX(Settings!$C$49:$C$54,MATCH(D490,Settings!$A$49:$A$54,0)),0))</f>
        <v/>
      </c>
      <c r="K490" s="20" t="str">
        <f aca="false">IF(J490="","",IF(G490="",J490,J490*(1-IF(H490="",Settings!$B$6,H490))))</f>
        <v/>
      </c>
      <c r="L490" s="20" t="str">
        <f aca="false">IF(OR(J490="",G490=""),"",J490-K490)</f>
        <v/>
      </c>
      <c r="M490" s="1"/>
    </row>
    <row r="491" customFormat="false" ht="15" hidden="false" customHeight="false" outlineLevel="0" collapsed="false">
      <c r="A491" s="27"/>
      <c r="B491" s="1"/>
      <c r="C491" s="24" t="str">
        <f aca="false">IF(B491="","",IFERROR(INDEX(Patients!$B$2:$B$501,MATCH(B491,Patients!$A$2:$A$501,0))&amp;"",""))</f>
        <v/>
      </c>
      <c r="D491" s="1"/>
      <c r="E491" s="28"/>
      <c r="F491" s="1"/>
      <c r="G491" s="1"/>
      <c r="H491" s="29"/>
      <c r="I491" s="1"/>
      <c r="J491" s="20" t="str">
        <f aca="false">IF(D491="","",IFERROR(INDEX(Settings!$C$49:$C$54,MATCH(D491,Settings!$A$49:$A$54,0)),0))</f>
        <v/>
      </c>
      <c r="K491" s="20" t="str">
        <f aca="false">IF(J491="","",IF(G491="",J491,J491*(1-IF(H491="",Settings!$B$6,H491))))</f>
        <v/>
      </c>
      <c r="L491" s="20" t="str">
        <f aca="false">IF(OR(J491="",G491=""),"",J491-K491)</f>
        <v/>
      </c>
      <c r="M491" s="1"/>
    </row>
    <row r="492" customFormat="false" ht="15" hidden="false" customHeight="false" outlineLevel="0" collapsed="false">
      <c r="A492" s="27"/>
      <c r="B492" s="1"/>
      <c r="C492" s="24" t="str">
        <f aca="false">IF(B492="","",IFERROR(INDEX(Patients!$B$2:$B$501,MATCH(B492,Patients!$A$2:$A$501,0))&amp;"",""))</f>
        <v/>
      </c>
      <c r="D492" s="1"/>
      <c r="E492" s="28"/>
      <c r="F492" s="1"/>
      <c r="G492" s="1"/>
      <c r="H492" s="29"/>
      <c r="I492" s="1"/>
      <c r="J492" s="20" t="str">
        <f aca="false">IF(D492="","",IFERROR(INDEX(Settings!$C$49:$C$54,MATCH(D492,Settings!$A$49:$A$54,0)),0))</f>
        <v/>
      </c>
      <c r="K492" s="20" t="str">
        <f aca="false">IF(J492="","",IF(G492="",J492,J492*(1-IF(H492="",Settings!$B$6,H492))))</f>
        <v/>
      </c>
      <c r="L492" s="20" t="str">
        <f aca="false">IF(OR(J492="",G492=""),"",J492-K492)</f>
        <v/>
      </c>
      <c r="M492" s="1"/>
    </row>
    <row r="493" customFormat="false" ht="15" hidden="false" customHeight="false" outlineLevel="0" collapsed="false">
      <c r="A493" s="27"/>
      <c r="B493" s="1"/>
      <c r="C493" s="24" t="str">
        <f aca="false">IF(B493="","",IFERROR(INDEX(Patients!$B$2:$B$501,MATCH(B493,Patients!$A$2:$A$501,0))&amp;"",""))</f>
        <v/>
      </c>
      <c r="D493" s="1"/>
      <c r="E493" s="28"/>
      <c r="F493" s="1"/>
      <c r="G493" s="1"/>
      <c r="H493" s="29"/>
      <c r="I493" s="1"/>
      <c r="J493" s="20" t="str">
        <f aca="false">IF(D493="","",IFERROR(INDEX(Settings!$C$49:$C$54,MATCH(D493,Settings!$A$49:$A$54,0)),0))</f>
        <v/>
      </c>
      <c r="K493" s="20" t="str">
        <f aca="false">IF(J493="","",IF(G493="",J493,J493*(1-IF(H493="",Settings!$B$6,H493))))</f>
        <v/>
      </c>
      <c r="L493" s="20" t="str">
        <f aca="false">IF(OR(J493="",G493=""),"",J493-K493)</f>
        <v/>
      </c>
      <c r="M493" s="1"/>
    </row>
    <row r="494" customFormat="false" ht="15" hidden="false" customHeight="false" outlineLevel="0" collapsed="false">
      <c r="A494" s="27"/>
      <c r="B494" s="1"/>
      <c r="C494" s="24" t="str">
        <f aca="false">IF(B494="","",IFERROR(INDEX(Patients!$B$2:$B$501,MATCH(B494,Patients!$A$2:$A$501,0))&amp;"",""))</f>
        <v/>
      </c>
      <c r="D494" s="1"/>
      <c r="E494" s="28"/>
      <c r="F494" s="1"/>
      <c r="G494" s="1"/>
      <c r="H494" s="29"/>
      <c r="I494" s="1"/>
      <c r="J494" s="20" t="str">
        <f aca="false">IF(D494="","",IFERROR(INDEX(Settings!$C$49:$C$54,MATCH(D494,Settings!$A$49:$A$54,0)),0))</f>
        <v/>
      </c>
      <c r="K494" s="20" t="str">
        <f aca="false">IF(J494="","",IF(G494="",J494,J494*(1-IF(H494="",Settings!$B$6,H494))))</f>
        <v/>
      </c>
      <c r="L494" s="20" t="str">
        <f aca="false">IF(OR(J494="",G494=""),"",J494-K494)</f>
        <v/>
      </c>
      <c r="M494" s="1"/>
    </row>
    <row r="495" customFormat="false" ht="15" hidden="false" customHeight="false" outlineLevel="0" collapsed="false">
      <c r="A495" s="27"/>
      <c r="B495" s="1"/>
      <c r="C495" s="24" t="str">
        <f aca="false">IF(B495="","",IFERROR(INDEX(Patients!$B$2:$B$501,MATCH(B495,Patients!$A$2:$A$501,0))&amp;"",""))</f>
        <v/>
      </c>
      <c r="D495" s="1"/>
      <c r="E495" s="28"/>
      <c r="F495" s="1"/>
      <c r="G495" s="1"/>
      <c r="H495" s="29"/>
      <c r="I495" s="1"/>
      <c r="J495" s="20" t="str">
        <f aca="false">IF(D495="","",IFERROR(INDEX(Settings!$C$49:$C$54,MATCH(D495,Settings!$A$49:$A$54,0)),0))</f>
        <v/>
      </c>
      <c r="K495" s="20" t="str">
        <f aca="false">IF(J495="","",IF(G495="",J495,J495*(1-IF(H495="",Settings!$B$6,H495))))</f>
        <v/>
      </c>
      <c r="L495" s="20" t="str">
        <f aca="false">IF(OR(J495="",G495=""),"",J495-K495)</f>
        <v/>
      </c>
      <c r="M495" s="1"/>
    </row>
    <row r="496" customFormat="false" ht="15" hidden="false" customHeight="false" outlineLevel="0" collapsed="false">
      <c r="A496" s="27"/>
      <c r="B496" s="1"/>
      <c r="C496" s="24" t="str">
        <f aca="false">IF(B496="","",IFERROR(INDEX(Patients!$B$2:$B$501,MATCH(B496,Patients!$A$2:$A$501,0))&amp;"",""))</f>
        <v/>
      </c>
      <c r="D496" s="1"/>
      <c r="E496" s="28"/>
      <c r="F496" s="1"/>
      <c r="G496" s="1"/>
      <c r="H496" s="29"/>
      <c r="I496" s="1"/>
      <c r="J496" s="20" t="str">
        <f aca="false">IF(D496="","",IFERROR(INDEX(Settings!$C$49:$C$54,MATCH(D496,Settings!$A$49:$A$54,0)),0))</f>
        <v/>
      </c>
      <c r="K496" s="20" t="str">
        <f aca="false">IF(J496="","",IF(G496="",J496,J496*(1-IF(H496="",Settings!$B$6,H496))))</f>
        <v/>
      </c>
      <c r="L496" s="20" t="str">
        <f aca="false">IF(OR(J496="",G496=""),"",J496-K496)</f>
        <v/>
      </c>
      <c r="M496" s="1"/>
    </row>
    <row r="497" customFormat="false" ht="15" hidden="false" customHeight="false" outlineLevel="0" collapsed="false">
      <c r="A497" s="27"/>
      <c r="B497" s="1"/>
      <c r="C497" s="24" t="str">
        <f aca="false">IF(B497="","",IFERROR(INDEX(Patients!$B$2:$B$501,MATCH(B497,Patients!$A$2:$A$501,0))&amp;"",""))</f>
        <v/>
      </c>
      <c r="D497" s="1"/>
      <c r="E497" s="28"/>
      <c r="F497" s="1"/>
      <c r="G497" s="1"/>
      <c r="H497" s="29"/>
      <c r="I497" s="1"/>
      <c r="J497" s="20" t="str">
        <f aca="false">IF(D497="","",IFERROR(INDEX(Settings!$C$49:$C$54,MATCH(D497,Settings!$A$49:$A$54,0)),0))</f>
        <v/>
      </c>
      <c r="K497" s="20" t="str">
        <f aca="false">IF(J497="","",IF(G497="",J497,J497*(1-IF(H497="",Settings!$B$6,H497))))</f>
        <v/>
      </c>
      <c r="L497" s="20" t="str">
        <f aca="false">IF(OR(J497="",G497=""),"",J497-K497)</f>
        <v/>
      </c>
      <c r="M497" s="1"/>
    </row>
    <row r="498" customFormat="false" ht="15" hidden="false" customHeight="false" outlineLevel="0" collapsed="false">
      <c r="A498" s="27"/>
      <c r="B498" s="1"/>
      <c r="C498" s="24" t="str">
        <f aca="false">IF(B498="","",IFERROR(INDEX(Patients!$B$2:$B$501,MATCH(B498,Patients!$A$2:$A$501,0))&amp;"",""))</f>
        <v/>
      </c>
      <c r="D498" s="1"/>
      <c r="E498" s="28"/>
      <c r="F498" s="1"/>
      <c r="G498" s="1"/>
      <c r="H498" s="29"/>
      <c r="I498" s="1"/>
      <c r="J498" s="20" t="str">
        <f aca="false">IF(D498="","",IFERROR(INDEX(Settings!$C$49:$C$54,MATCH(D498,Settings!$A$49:$A$54,0)),0))</f>
        <v/>
      </c>
      <c r="K498" s="20" t="str">
        <f aca="false">IF(J498="","",IF(G498="",J498,J498*(1-IF(H498="",Settings!$B$6,H498))))</f>
        <v/>
      </c>
      <c r="L498" s="20" t="str">
        <f aca="false">IF(OR(J498="",G498=""),"",J498-K498)</f>
        <v/>
      </c>
      <c r="M498" s="1"/>
    </row>
    <row r="499" customFormat="false" ht="15" hidden="false" customHeight="false" outlineLevel="0" collapsed="false">
      <c r="A499" s="27"/>
      <c r="B499" s="1"/>
      <c r="C499" s="24" t="str">
        <f aca="false">IF(B499="","",IFERROR(INDEX(Patients!$B$2:$B$501,MATCH(B499,Patients!$A$2:$A$501,0))&amp;"",""))</f>
        <v/>
      </c>
      <c r="D499" s="1"/>
      <c r="E499" s="28"/>
      <c r="F499" s="1"/>
      <c r="G499" s="1"/>
      <c r="H499" s="29"/>
      <c r="I499" s="1"/>
      <c r="J499" s="20" t="str">
        <f aca="false">IF(D499="","",IFERROR(INDEX(Settings!$C$49:$C$54,MATCH(D499,Settings!$A$49:$A$54,0)),0))</f>
        <v/>
      </c>
      <c r="K499" s="20" t="str">
        <f aca="false">IF(J499="","",IF(G499="",J499,J499*(1-IF(H499="",Settings!$B$6,H499))))</f>
        <v/>
      </c>
      <c r="L499" s="20" t="str">
        <f aca="false">IF(OR(J499="",G499=""),"",J499-K499)</f>
        <v/>
      </c>
      <c r="M499" s="1"/>
    </row>
    <row r="500" customFormat="false" ht="15" hidden="false" customHeight="false" outlineLevel="0" collapsed="false">
      <c r="A500" s="27"/>
      <c r="B500" s="1"/>
      <c r="C500" s="24" t="str">
        <f aca="false">IF(B500="","",IFERROR(INDEX(Patients!$B$2:$B$501,MATCH(B500,Patients!$A$2:$A$501,0))&amp;"",""))</f>
        <v/>
      </c>
      <c r="D500" s="1"/>
      <c r="E500" s="28"/>
      <c r="F500" s="1"/>
      <c r="G500" s="1"/>
      <c r="H500" s="29"/>
      <c r="I500" s="1"/>
      <c r="J500" s="20" t="str">
        <f aca="false">IF(D500="","",IFERROR(INDEX(Settings!$C$49:$C$54,MATCH(D500,Settings!$A$49:$A$54,0)),0))</f>
        <v/>
      </c>
      <c r="K500" s="20" t="str">
        <f aca="false">IF(J500="","",IF(G500="",J500,J500*(1-IF(H500="",Settings!$B$6,H500))))</f>
        <v/>
      </c>
      <c r="L500" s="20" t="str">
        <f aca="false">IF(OR(J500="",G500=""),"",J500-K500)</f>
        <v/>
      </c>
      <c r="M500" s="1"/>
    </row>
    <row r="501" customFormat="false" ht="15" hidden="false" customHeight="false" outlineLevel="0" collapsed="false">
      <c r="A501" s="27"/>
      <c r="B501" s="1"/>
      <c r="C501" s="24" t="str">
        <f aca="false">IF(B501="","",IFERROR(INDEX(Patients!$B$2:$B$501,MATCH(B501,Patients!$A$2:$A$501,0))&amp;"",""))</f>
        <v/>
      </c>
      <c r="D501" s="1"/>
      <c r="E501" s="28"/>
      <c r="F501" s="1"/>
      <c r="G501" s="1"/>
      <c r="H501" s="29"/>
      <c r="I501" s="1"/>
      <c r="J501" s="20" t="str">
        <f aca="false">IF(D501="","",IFERROR(INDEX(Settings!$C$49:$C$54,MATCH(D501,Settings!$A$49:$A$54,0)),0))</f>
        <v/>
      </c>
      <c r="K501" s="20" t="str">
        <f aca="false">IF(J501="","",IF(G501="",J501,J501*(1-IF(H501="",Settings!$B$6,H501))))</f>
        <v/>
      </c>
      <c r="L501" s="20" t="str">
        <f aca="false">IF(OR(J501="",G501=""),"",J501-K501)</f>
        <v/>
      </c>
      <c r="M501" s="1"/>
    </row>
  </sheetData>
  <dataValidations count="4">
    <dataValidation allowBlank="true" error="Choose a value from the list" errorStyle="stop" errorTitle="Invalid entry" operator="between" showDropDown="false" showErrorMessage="false" showInputMessage="false" sqref="D2:D501" type="list">
      <formula1>Settings!$A$49:$A$54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F2:G501" type="list">
      <formula1>Team!$A$2:$A$51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I2:I501" type="list">
      <formula1>Team!$A$2:$A$51</formula1>
      <formula2>0</formula2>
    </dataValidation>
    <dataValidation allowBlank="true" error="Choose a value from the list" errorStyle="stop" errorTitle="Invalid entry" operator="between" prompt="Add the patient in Patients first" showDropDown="false" showErrorMessage="false" showInputMessage="true" sqref="B2:B501" type="list">
      <formula1>Patients!$A$2:$A$501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5" t="s">
        <v>71</v>
      </c>
      <c r="B1" s="15" t="s">
        <v>72</v>
      </c>
      <c r="C1" s="15" t="s">
        <v>73</v>
      </c>
      <c r="D1" s="15" t="s">
        <v>50</v>
      </c>
      <c r="E1" s="15" t="s">
        <v>66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</row>
    <row r="2" customFormat="false" ht="15" hidden="false" customHeight="false" outlineLevel="0" collapsed="false">
      <c r="A2" s="23" t="n">
        <v>46266</v>
      </c>
      <c r="B2" s="16" t="s">
        <v>81</v>
      </c>
      <c r="C2" s="16" t="s">
        <v>82</v>
      </c>
      <c r="D2" s="16" t="s">
        <v>61</v>
      </c>
      <c r="E2" s="16" t="n">
        <v>2</v>
      </c>
      <c r="F2" s="16" t="s">
        <v>83</v>
      </c>
      <c r="G2" s="30" t="n">
        <v>46539</v>
      </c>
      <c r="H2" s="25" t="n">
        <v>4000</v>
      </c>
      <c r="I2" s="26" t="n">
        <v>0.05</v>
      </c>
      <c r="J2" s="20" t="n">
        <f aca="false">IF(D2="","",E2*H2)</f>
        <v>8000</v>
      </c>
      <c r="K2" s="20" t="n">
        <f aca="false">IF(D2="","",J2*I2)</f>
        <v>400</v>
      </c>
      <c r="L2" s="20" t="n">
        <f aca="false">IF(D2="","",J2+K2)</f>
        <v>8400</v>
      </c>
    </row>
    <row r="3" customFormat="false" ht="15" hidden="false" customHeight="false" outlineLevel="0" collapsed="false">
      <c r="A3" s="23" t="n">
        <v>46266</v>
      </c>
      <c r="B3" s="16" t="s">
        <v>81</v>
      </c>
      <c r="C3" s="16" t="s">
        <v>82</v>
      </c>
      <c r="D3" s="16" t="s">
        <v>68</v>
      </c>
      <c r="E3" s="16" t="n">
        <v>100</v>
      </c>
      <c r="F3" s="16" t="s">
        <v>84</v>
      </c>
      <c r="G3" s="30" t="n">
        <v>46447</v>
      </c>
      <c r="H3" s="25" t="n">
        <v>60</v>
      </c>
      <c r="I3" s="26" t="n">
        <v>0.18</v>
      </c>
      <c r="J3" s="20" t="n">
        <f aca="false">IF(D3="","",E3*H3)</f>
        <v>6000</v>
      </c>
      <c r="K3" s="20" t="n">
        <f aca="false">IF(D3="","",J3*I3)</f>
        <v>1080</v>
      </c>
      <c r="L3" s="20" t="n">
        <f aca="false">IF(D3="","",J3+K3)</f>
        <v>7080</v>
      </c>
    </row>
    <row r="4" customFormat="false" ht="15" hidden="false" customHeight="false" outlineLevel="0" collapsed="false">
      <c r="A4" s="27"/>
      <c r="B4" s="1"/>
      <c r="C4" s="1"/>
      <c r="D4" s="1"/>
      <c r="E4" s="1"/>
      <c r="F4" s="1"/>
      <c r="G4" s="31"/>
      <c r="H4" s="28"/>
      <c r="I4" s="29"/>
      <c r="J4" s="20" t="str">
        <f aca="false">IF(D4="","",E4*H4)</f>
        <v/>
      </c>
      <c r="K4" s="20" t="str">
        <f aca="false">IF(D4="","",J4*I4)</f>
        <v/>
      </c>
      <c r="L4" s="20" t="str">
        <f aca="false">IF(D4="","",J4+K4)</f>
        <v/>
      </c>
    </row>
    <row r="5" customFormat="false" ht="15" hidden="false" customHeight="false" outlineLevel="0" collapsed="false">
      <c r="A5" s="27"/>
      <c r="B5" s="1"/>
      <c r="C5" s="1"/>
      <c r="D5" s="1"/>
      <c r="E5" s="1"/>
      <c r="F5" s="1"/>
      <c r="G5" s="31"/>
      <c r="H5" s="28"/>
      <c r="I5" s="29"/>
      <c r="J5" s="20" t="str">
        <f aca="false">IF(D5="","",E5*H5)</f>
        <v/>
      </c>
      <c r="K5" s="20" t="str">
        <f aca="false">IF(D5="","",J5*I5)</f>
        <v/>
      </c>
      <c r="L5" s="20" t="str">
        <f aca="false">IF(D5="","",J5+K5)</f>
        <v/>
      </c>
    </row>
    <row r="6" customFormat="false" ht="15" hidden="false" customHeight="false" outlineLevel="0" collapsed="false">
      <c r="A6" s="27"/>
      <c r="B6" s="1"/>
      <c r="C6" s="1"/>
      <c r="D6" s="1"/>
      <c r="E6" s="1"/>
      <c r="F6" s="1"/>
      <c r="G6" s="31"/>
      <c r="H6" s="28"/>
      <c r="I6" s="29"/>
      <c r="J6" s="20" t="str">
        <f aca="false">IF(D6="","",E6*H6)</f>
        <v/>
      </c>
      <c r="K6" s="20" t="str">
        <f aca="false">IF(D6="","",J6*I6)</f>
        <v/>
      </c>
      <c r="L6" s="20" t="str">
        <f aca="false">IF(D6="","",J6+K6)</f>
        <v/>
      </c>
    </row>
    <row r="7" customFormat="false" ht="15" hidden="false" customHeight="false" outlineLevel="0" collapsed="false">
      <c r="A7" s="27"/>
      <c r="B7" s="1"/>
      <c r="C7" s="1"/>
      <c r="D7" s="1"/>
      <c r="E7" s="1"/>
      <c r="F7" s="1"/>
      <c r="G7" s="31"/>
      <c r="H7" s="28"/>
      <c r="I7" s="29"/>
      <c r="J7" s="20" t="str">
        <f aca="false">IF(D7="","",E7*H7)</f>
        <v/>
      </c>
      <c r="K7" s="20" t="str">
        <f aca="false">IF(D7="","",J7*I7)</f>
        <v/>
      </c>
      <c r="L7" s="20" t="str">
        <f aca="false">IF(D7="","",J7+K7)</f>
        <v/>
      </c>
    </row>
    <row r="8" customFormat="false" ht="15" hidden="false" customHeight="false" outlineLevel="0" collapsed="false">
      <c r="A8" s="27"/>
      <c r="B8" s="1"/>
      <c r="C8" s="1"/>
      <c r="D8" s="1"/>
      <c r="E8" s="1"/>
      <c r="F8" s="1"/>
      <c r="G8" s="31"/>
      <c r="H8" s="28"/>
      <c r="I8" s="29"/>
      <c r="J8" s="20" t="str">
        <f aca="false">IF(D8="","",E8*H8)</f>
        <v/>
      </c>
      <c r="K8" s="20" t="str">
        <f aca="false">IF(D8="","",J8*I8)</f>
        <v/>
      </c>
      <c r="L8" s="20" t="str">
        <f aca="false">IF(D8="","",J8+K8)</f>
        <v/>
      </c>
    </row>
    <row r="9" customFormat="false" ht="15" hidden="false" customHeight="false" outlineLevel="0" collapsed="false">
      <c r="A9" s="27"/>
      <c r="B9" s="1"/>
      <c r="C9" s="1"/>
      <c r="D9" s="1"/>
      <c r="E9" s="1"/>
      <c r="F9" s="1"/>
      <c r="G9" s="31"/>
      <c r="H9" s="28"/>
      <c r="I9" s="29"/>
      <c r="J9" s="20" t="str">
        <f aca="false">IF(D9="","",E9*H9)</f>
        <v/>
      </c>
      <c r="K9" s="20" t="str">
        <f aca="false">IF(D9="","",J9*I9)</f>
        <v/>
      </c>
      <c r="L9" s="20" t="str">
        <f aca="false">IF(D9="","",J9+K9)</f>
        <v/>
      </c>
    </row>
    <row r="10" customFormat="false" ht="15" hidden="false" customHeight="false" outlineLevel="0" collapsed="false">
      <c r="A10" s="27"/>
      <c r="B10" s="1"/>
      <c r="C10" s="1"/>
      <c r="D10" s="1"/>
      <c r="E10" s="1"/>
      <c r="F10" s="1"/>
      <c r="G10" s="31"/>
      <c r="H10" s="28"/>
      <c r="I10" s="29"/>
      <c r="J10" s="20" t="str">
        <f aca="false">IF(D10="","",E10*H10)</f>
        <v/>
      </c>
      <c r="K10" s="20" t="str">
        <f aca="false">IF(D10="","",J10*I10)</f>
        <v/>
      </c>
      <c r="L10" s="20" t="str">
        <f aca="false">IF(D10="","",J10+K10)</f>
        <v/>
      </c>
    </row>
    <row r="11" customFormat="false" ht="15" hidden="false" customHeight="false" outlineLevel="0" collapsed="false">
      <c r="A11" s="27"/>
      <c r="B11" s="1"/>
      <c r="C11" s="1"/>
      <c r="D11" s="1"/>
      <c r="E11" s="1"/>
      <c r="F11" s="1"/>
      <c r="G11" s="31"/>
      <c r="H11" s="28"/>
      <c r="I11" s="29"/>
      <c r="J11" s="20" t="str">
        <f aca="false">IF(D11="","",E11*H11)</f>
        <v/>
      </c>
      <c r="K11" s="20" t="str">
        <f aca="false">IF(D11="","",J11*I11)</f>
        <v/>
      </c>
      <c r="L11" s="20" t="str">
        <f aca="false">IF(D11="","",J11+K11)</f>
        <v/>
      </c>
    </row>
    <row r="12" customFormat="false" ht="15" hidden="false" customHeight="false" outlineLevel="0" collapsed="false">
      <c r="A12" s="27"/>
      <c r="B12" s="1"/>
      <c r="C12" s="1"/>
      <c r="D12" s="1"/>
      <c r="E12" s="1"/>
      <c r="F12" s="1"/>
      <c r="G12" s="31"/>
      <c r="H12" s="28"/>
      <c r="I12" s="29"/>
      <c r="J12" s="20" t="str">
        <f aca="false">IF(D12="","",E12*H12)</f>
        <v/>
      </c>
      <c r="K12" s="20" t="str">
        <f aca="false">IF(D12="","",J12*I12)</f>
        <v/>
      </c>
      <c r="L12" s="20" t="str">
        <f aca="false">IF(D12="","",J12+K12)</f>
        <v/>
      </c>
    </row>
    <row r="13" customFormat="false" ht="15" hidden="false" customHeight="false" outlineLevel="0" collapsed="false">
      <c r="A13" s="27"/>
      <c r="B13" s="1"/>
      <c r="C13" s="1"/>
      <c r="D13" s="1"/>
      <c r="E13" s="1"/>
      <c r="F13" s="1"/>
      <c r="G13" s="31"/>
      <c r="H13" s="28"/>
      <c r="I13" s="29"/>
      <c r="J13" s="20" t="str">
        <f aca="false">IF(D13="","",E13*H13)</f>
        <v/>
      </c>
      <c r="K13" s="20" t="str">
        <f aca="false">IF(D13="","",J13*I13)</f>
        <v/>
      </c>
      <c r="L13" s="20" t="str">
        <f aca="false">IF(D13="","",J13+K13)</f>
        <v/>
      </c>
    </row>
    <row r="14" customFormat="false" ht="15" hidden="false" customHeight="false" outlineLevel="0" collapsed="false">
      <c r="A14" s="27"/>
      <c r="B14" s="1"/>
      <c r="C14" s="1"/>
      <c r="D14" s="1"/>
      <c r="E14" s="1"/>
      <c r="F14" s="1"/>
      <c r="G14" s="31"/>
      <c r="H14" s="28"/>
      <c r="I14" s="29"/>
      <c r="J14" s="20" t="str">
        <f aca="false">IF(D14="","",E14*H14)</f>
        <v/>
      </c>
      <c r="K14" s="20" t="str">
        <f aca="false">IF(D14="","",J14*I14)</f>
        <v/>
      </c>
      <c r="L14" s="20" t="str">
        <f aca="false">IF(D14="","",J14+K14)</f>
        <v/>
      </c>
    </row>
    <row r="15" customFormat="false" ht="15" hidden="false" customHeight="false" outlineLevel="0" collapsed="false">
      <c r="A15" s="27"/>
      <c r="B15" s="1"/>
      <c r="C15" s="1"/>
      <c r="D15" s="1"/>
      <c r="E15" s="1"/>
      <c r="F15" s="1"/>
      <c r="G15" s="31"/>
      <c r="H15" s="28"/>
      <c r="I15" s="29"/>
      <c r="J15" s="20" t="str">
        <f aca="false">IF(D15="","",E15*H15)</f>
        <v/>
      </c>
      <c r="K15" s="20" t="str">
        <f aca="false">IF(D15="","",J15*I15)</f>
        <v/>
      </c>
      <c r="L15" s="20" t="str">
        <f aca="false">IF(D15="","",J15+K15)</f>
        <v/>
      </c>
    </row>
    <row r="16" customFormat="false" ht="15" hidden="false" customHeight="false" outlineLevel="0" collapsed="false">
      <c r="A16" s="27"/>
      <c r="B16" s="1"/>
      <c r="C16" s="1"/>
      <c r="D16" s="1"/>
      <c r="E16" s="1"/>
      <c r="F16" s="1"/>
      <c r="G16" s="31"/>
      <c r="H16" s="28"/>
      <c r="I16" s="29"/>
      <c r="J16" s="20" t="str">
        <f aca="false">IF(D16="","",E16*H16)</f>
        <v/>
      </c>
      <c r="K16" s="20" t="str">
        <f aca="false">IF(D16="","",J16*I16)</f>
        <v/>
      </c>
      <c r="L16" s="20" t="str">
        <f aca="false">IF(D16="","",J16+K16)</f>
        <v/>
      </c>
    </row>
    <row r="17" customFormat="false" ht="15" hidden="false" customHeight="false" outlineLevel="0" collapsed="false">
      <c r="A17" s="27"/>
      <c r="B17" s="1"/>
      <c r="C17" s="1"/>
      <c r="D17" s="1"/>
      <c r="E17" s="1"/>
      <c r="F17" s="1"/>
      <c r="G17" s="31"/>
      <c r="H17" s="28"/>
      <c r="I17" s="29"/>
      <c r="J17" s="20" t="str">
        <f aca="false">IF(D17="","",E17*H17)</f>
        <v/>
      </c>
      <c r="K17" s="20" t="str">
        <f aca="false">IF(D17="","",J17*I17)</f>
        <v/>
      </c>
      <c r="L17" s="20" t="str">
        <f aca="false">IF(D17="","",J17+K17)</f>
        <v/>
      </c>
    </row>
    <row r="18" customFormat="false" ht="15" hidden="false" customHeight="false" outlineLevel="0" collapsed="false">
      <c r="A18" s="27"/>
      <c r="B18" s="1"/>
      <c r="C18" s="1"/>
      <c r="D18" s="1"/>
      <c r="E18" s="1"/>
      <c r="F18" s="1"/>
      <c r="G18" s="31"/>
      <c r="H18" s="28"/>
      <c r="I18" s="29"/>
      <c r="J18" s="20" t="str">
        <f aca="false">IF(D18="","",E18*H18)</f>
        <v/>
      </c>
      <c r="K18" s="20" t="str">
        <f aca="false">IF(D18="","",J18*I18)</f>
        <v/>
      </c>
      <c r="L18" s="20" t="str">
        <f aca="false">IF(D18="","",J18+K18)</f>
        <v/>
      </c>
    </row>
    <row r="19" customFormat="false" ht="15" hidden="false" customHeight="false" outlineLevel="0" collapsed="false">
      <c r="A19" s="27"/>
      <c r="B19" s="1"/>
      <c r="C19" s="1"/>
      <c r="D19" s="1"/>
      <c r="E19" s="1"/>
      <c r="F19" s="1"/>
      <c r="G19" s="31"/>
      <c r="H19" s="28"/>
      <c r="I19" s="29"/>
      <c r="J19" s="20" t="str">
        <f aca="false">IF(D19="","",E19*H19)</f>
        <v/>
      </c>
      <c r="K19" s="20" t="str">
        <f aca="false">IF(D19="","",J19*I19)</f>
        <v/>
      </c>
      <c r="L19" s="20" t="str">
        <f aca="false">IF(D19="","",J19+K19)</f>
        <v/>
      </c>
    </row>
    <row r="20" customFormat="false" ht="15" hidden="false" customHeight="false" outlineLevel="0" collapsed="false">
      <c r="A20" s="27"/>
      <c r="B20" s="1"/>
      <c r="C20" s="1"/>
      <c r="D20" s="1"/>
      <c r="E20" s="1"/>
      <c r="F20" s="1"/>
      <c r="G20" s="31"/>
      <c r="H20" s="28"/>
      <c r="I20" s="29"/>
      <c r="J20" s="20" t="str">
        <f aca="false">IF(D20="","",E20*H20)</f>
        <v/>
      </c>
      <c r="K20" s="20" t="str">
        <f aca="false">IF(D20="","",J20*I20)</f>
        <v/>
      </c>
      <c r="L20" s="20" t="str">
        <f aca="false">IF(D20="","",J20+K20)</f>
        <v/>
      </c>
    </row>
    <row r="21" customFormat="false" ht="15" hidden="false" customHeight="false" outlineLevel="0" collapsed="false">
      <c r="A21" s="27"/>
      <c r="B21" s="1"/>
      <c r="C21" s="1"/>
      <c r="D21" s="1"/>
      <c r="E21" s="1"/>
      <c r="F21" s="1"/>
      <c r="G21" s="31"/>
      <c r="H21" s="28"/>
      <c r="I21" s="29"/>
      <c r="J21" s="20" t="str">
        <f aca="false">IF(D21="","",E21*H21)</f>
        <v/>
      </c>
      <c r="K21" s="20" t="str">
        <f aca="false">IF(D21="","",J21*I21)</f>
        <v/>
      </c>
      <c r="L21" s="20" t="str">
        <f aca="false">IF(D21="","",J21+K21)</f>
        <v/>
      </c>
    </row>
    <row r="22" customFormat="false" ht="15" hidden="false" customHeight="false" outlineLevel="0" collapsed="false">
      <c r="A22" s="27"/>
      <c r="B22" s="1"/>
      <c r="C22" s="1"/>
      <c r="D22" s="1"/>
      <c r="E22" s="1"/>
      <c r="F22" s="1"/>
      <c r="G22" s="31"/>
      <c r="H22" s="28"/>
      <c r="I22" s="29"/>
      <c r="J22" s="20" t="str">
        <f aca="false">IF(D22="","",E22*H22)</f>
        <v/>
      </c>
      <c r="K22" s="20" t="str">
        <f aca="false">IF(D22="","",J22*I22)</f>
        <v/>
      </c>
      <c r="L22" s="20" t="str">
        <f aca="false">IF(D22="","",J22+K22)</f>
        <v/>
      </c>
    </row>
    <row r="23" customFormat="false" ht="15" hidden="false" customHeight="false" outlineLevel="0" collapsed="false">
      <c r="A23" s="27"/>
      <c r="B23" s="1"/>
      <c r="C23" s="1"/>
      <c r="D23" s="1"/>
      <c r="E23" s="1"/>
      <c r="F23" s="1"/>
      <c r="G23" s="31"/>
      <c r="H23" s="28"/>
      <c r="I23" s="29"/>
      <c r="J23" s="20" t="str">
        <f aca="false">IF(D23="","",E23*H23)</f>
        <v/>
      </c>
      <c r="K23" s="20" t="str">
        <f aca="false">IF(D23="","",J23*I23)</f>
        <v/>
      </c>
      <c r="L23" s="20" t="str">
        <f aca="false">IF(D23="","",J23+K23)</f>
        <v/>
      </c>
    </row>
    <row r="24" customFormat="false" ht="15" hidden="false" customHeight="false" outlineLevel="0" collapsed="false">
      <c r="A24" s="27"/>
      <c r="B24" s="1"/>
      <c r="C24" s="1"/>
      <c r="D24" s="1"/>
      <c r="E24" s="1"/>
      <c r="F24" s="1"/>
      <c r="G24" s="31"/>
      <c r="H24" s="28"/>
      <c r="I24" s="29"/>
      <c r="J24" s="20" t="str">
        <f aca="false">IF(D24="","",E24*H24)</f>
        <v/>
      </c>
      <c r="K24" s="20" t="str">
        <f aca="false">IF(D24="","",J24*I24)</f>
        <v/>
      </c>
      <c r="L24" s="20" t="str">
        <f aca="false">IF(D24="","",J24+K24)</f>
        <v/>
      </c>
    </row>
    <row r="25" customFormat="false" ht="15" hidden="false" customHeight="false" outlineLevel="0" collapsed="false">
      <c r="A25" s="27"/>
      <c r="B25" s="1"/>
      <c r="C25" s="1"/>
      <c r="D25" s="1"/>
      <c r="E25" s="1"/>
      <c r="F25" s="1"/>
      <c r="G25" s="31"/>
      <c r="H25" s="28"/>
      <c r="I25" s="29"/>
      <c r="J25" s="20" t="str">
        <f aca="false">IF(D25="","",E25*H25)</f>
        <v/>
      </c>
      <c r="K25" s="20" t="str">
        <f aca="false">IF(D25="","",J25*I25)</f>
        <v/>
      </c>
      <c r="L25" s="20" t="str">
        <f aca="false">IF(D25="","",J25+K25)</f>
        <v/>
      </c>
    </row>
    <row r="26" customFormat="false" ht="15" hidden="false" customHeight="false" outlineLevel="0" collapsed="false">
      <c r="A26" s="27"/>
      <c r="B26" s="1"/>
      <c r="C26" s="1"/>
      <c r="D26" s="1"/>
      <c r="E26" s="1"/>
      <c r="F26" s="1"/>
      <c r="G26" s="31"/>
      <c r="H26" s="28"/>
      <c r="I26" s="29"/>
      <c r="J26" s="20" t="str">
        <f aca="false">IF(D26="","",E26*H26)</f>
        <v/>
      </c>
      <c r="K26" s="20" t="str">
        <f aca="false">IF(D26="","",J26*I26)</f>
        <v/>
      </c>
      <c r="L26" s="20" t="str">
        <f aca="false">IF(D26="","",J26+K26)</f>
        <v/>
      </c>
    </row>
    <row r="27" customFormat="false" ht="15" hidden="false" customHeight="false" outlineLevel="0" collapsed="false">
      <c r="A27" s="27"/>
      <c r="B27" s="1"/>
      <c r="C27" s="1"/>
      <c r="D27" s="1"/>
      <c r="E27" s="1"/>
      <c r="F27" s="1"/>
      <c r="G27" s="31"/>
      <c r="H27" s="28"/>
      <c r="I27" s="29"/>
      <c r="J27" s="20" t="str">
        <f aca="false">IF(D27="","",E27*H27)</f>
        <v/>
      </c>
      <c r="K27" s="20" t="str">
        <f aca="false">IF(D27="","",J27*I27)</f>
        <v/>
      </c>
      <c r="L27" s="20" t="str">
        <f aca="false">IF(D27="","",J27+K27)</f>
        <v/>
      </c>
    </row>
    <row r="28" customFormat="false" ht="15" hidden="false" customHeight="false" outlineLevel="0" collapsed="false">
      <c r="A28" s="27"/>
      <c r="B28" s="1"/>
      <c r="C28" s="1"/>
      <c r="D28" s="1"/>
      <c r="E28" s="1"/>
      <c r="F28" s="1"/>
      <c r="G28" s="31"/>
      <c r="H28" s="28"/>
      <c r="I28" s="29"/>
      <c r="J28" s="20" t="str">
        <f aca="false">IF(D28="","",E28*H28)</f>
        <v/>
      </c>
      <c r="K28" s="20" t="str">
        <f aca="false">IF(D28="","",J28*I28)</f>
        <v/>
      </c>
      <c r="L28" s="20" t="str">
        <f aca="false">IF(D28="","",J28+K28)</f>
        <v/>
      </c>
    </row>
    <row r="29" customFormat="false" ht="15" hidden="false" customHeight="false" outlineLevel="0" collapsed="false">
      <c r="A29" s="27"/>
      <c r="B29" s="1"/>
      <c r="C29" s="1"/>
      <c r="D29" s="1"/>
      <c r="E29" s="1"/>
      <c r="F29" s="1"/>
      <c r="G29" s="31"/>
      <c r="H29" s="28"/>
      <c r="I29" s="29"/>
      <c r="J29" s="20" t="str">
        <f aca="false">IF(D29="","",E29*H29)</f>
        <v/>
      </c>
      <c r="K29" s="20" t="str">
        <f aca="false">IF(D29="","",J29*I29)</f>
        <v/>
      </c>
      <c r="L29" s="20" t="str">
        <f aca="false">IF(D29="","",J29+K29)</f>
        <v/>
      </c>
    </row>
    <row r="30" customFormat="false" ht="15" hidden="false" customHeight="false" outlineLevel="0" collapsed="false">
      <c r="A30" s="27"/>
      <c r="B30" s="1"/>
      <c r="C30" s="1"/>
      <c r="D30" s="1"/>
      <c r="E30" s="1"/>
      <c r="F30" s="1"/>
      <c r="G30" s="31"/>
      <c r="H30" s="28"/>
      <c r="I30" s="29"/>
      <c r="J30" s="20" t="str">
        <f aca="false">IF(D30="","",E30*H30)</f>
        <v/>
      </c>
      <c r="K30" s="20" t="str">
        <f aca="false">IF(D30="","",J30*I30)</f>
        <v/>
      </c>
      <c r="L30" s="20" t="str">
        <f aca="false">IF(D30="","",J30+K30)</f>
        <v/>
      </c>
    </row>
    <row r="31" customFormat="false" ht="15" hidden="false" customHeight="false" outlineLevel="0" collapsed="false">
      <c r="A31" s="27"/>
      <c r="B31" s="1"/>
      <c r="C31" s="1"/>
      <c r="D31" s="1"/>
      <c r="E31" s="1"/>
      <c r="F31" s="1"/>
      <c r="G31" s="31"/>
      <c r="H31" s="28"/>
      <c r="I31" s="29"/>
      <c r="J31" s="20" t="str">
        <f aca="false">IF(D31="","",E31*H31)</f>
        <v/>
      </c>
      <c r="K31" s="20" t="str">
        <f aca="false">IF(D31="","",J31*I31)</f>
        <v/>
      </c>
      <c r="L31" s="20" t="str">
        <f aca="false">IF(D31="","",J31+K31)</f>
        <v/>
      </c>
    </row>
    <row r="32" customFormat="false" ht="15" hidden="false" customHeight="false" outlineLevel="0" collapsed="false">
      <c r="A32" s="27"/>
      <c r="B32" s="1"/>
      <c r="C32" s="1"/>
      <c r="D32" s="1"/>
      <c r="E32" s="1"/>
      <c r="F32" s="1"/>
      <c r="G32" s="31"/>
      <c r="H32" s="28"/>
      <c r="I32" s="29"/>
      <c r="J32" s="20" t="str">
        <f aca="false">IF(D32="","",E32*H32)</f>
        <v/>
      </c>
      <c r="K32" s="20" t="str">
        <f aca="false">IF(D32="","",J32*I32)</f>
        <v/>
      </c>
      <c r="L32" s="20" t="str">
        <f aca="false">IF(D32="","",J32+K32)</f>
        <v/>
      </c>
    </row>
    <row r="33" customFormat="false" ht="15" hidden="false" customHeight="false" outlineLevel="0" collapsed="false">
      <c r="A33" s="27"/>
      <c r="B33" s="1"/>
      <c r="C33" s="1"/>
      <c r="D33" s="1"/>
      <c r="E33" s="1"/>
      <c r="F33" s="1"/>
      <c r="G33" s="31"/>
      <c r="H33" s="28"/>
      <c r="I33" s="29"/>
      <c r="J33" s="20" t="str">
        <f aca="false">IF(D33="","",E33*H33)</f>
        <v/>
      </c>
      <c r="K33" s="20" t="str">
        <f aca="false">IF(D33="","",J33*I33)</f>
        <v/>
      </c>
      <c r="L33" s="20" t="str">
        <f aca="false">IF(D33="","",J33+K33)</f>
        <v/>
      </c>
    </row>
    <row r="34" customFormat="false" ht="15" hidden="false" customHeight="false" outlineLevel="0" collapsed="false">
      <c r="A34" s="27"/>
      <c r="B34" s="1"/>
      <c r="C34" s="1"/>
      <c r="D34" s="1"/>
      <c r="E34" s="1"/>
      <c r="F34" s="1"/>
      <c r="G34" s="31"/>
      <c r="H34" s="28"/>
      <c r="I34" s="29"/>
      <c r="J34" s="20" t="str">
        <f aca="false">IF(D34="","",E34*H34)</f>
        <v/>
      </c>
      <c r="K34" s="20" t="str">
        <f aca="false">IF(D34="","",J34*I34)</f>
        <v/>
      </c>
      <c r="L34" s="20" t="str">
        <f aca="false">IF(D34="","",J34+K34)</f>
        <v/>
      </c>
    </row>
    <row r="35" customFormat="false" ht="15" hidden="false" customHeight="false" outlineLevel="0" collapsed="false">
      <c r="A35" s="27"/>
      <c r="B35" s="1"/>
      <c r="C35" s="1"/>
      <c r="D35" s="1"/>
      <c r="E35" s="1"/>
      <c r="F35" s="1"/>
      <c r="G35" s="31"/>
      <c r="H35" s="28"/>
      <c r="I35" s="29"/>
      <c r="J35" s="20" t="str">
        <f aca="false">IF(D35="","",E35*H35)</f>
        <v/>
      </c>
      <c r="K35" s="20" t="str">
        <f aca="false">IF(D35="","",J35*I35)</f>
        <v/>
      </c>
      <c r="L35" s="20" t="str">
        <f aca="false">IF(D35="","",J35+K35)</f>
        <v/>
      </c>
    </row>
    <row r="36" customFormat="false" ht="15" hidden="false" customHeight="false" outlineLevel="0" collapsed="false">
      <c r="A36" s="27"/>
      <c r="B36" s="1"/>
      <c r="C36" s="1"/>
      <c r="D36" s="1"/>
      <c r="E36" s="1"/>
      <c r="F36" s="1"/>
      <c r="G36" s="31"/>
      <c r="H36" s="28"/>
      <c r="I36" s="29"/>
      <c r="J36" s="20" t="str">
        <f aca="false">IF(D36="","",E36*H36)</f>
        <v/>
      </c>
      <c r="K36" s="20" t="str">
        <f aca="false">IF(D36="","",J36*I36)</f>
        <v/>
      </c>
      <c r="L36" s="20" t="str">
        <f aca="false">IF(D36="","",J36+K36)</f>
        <v/>
      </c>
    </row>
    <row r="37" customFormat="false" ht="15" hidden="false" customHeight="false" outlineLevel="0" collapsed="false">
      <c r="A37" s="27"/>
      <c r="B37" s="1"/>
      <c r="C37" s="1"/>
      <c r="D37" s="1"/>
      <c r="E37" s="1"/>
      <c r="F37" s="1"/>
      <c r="G37" s="31"/>
      <c r="H37" s="28"/>
      <c r="I37" s="29"/>
      <c r="J37" s="20" t="str">
        <f aca="false">IF(D37="","",E37*H37)</f>
        <v/>
      </c>
      <c r="K37" s="20" t="str">
        <f aca="false">IF(D37="","",J37*I37)</f>
        <v/>
      </c>
      <c r="L37" s="20" t="str">
        <f aca="false">IF(D37="","",J37+K37)</f>
        <v/>
      </c>
    </row>
    <row r="38" customFormat="false" ht="15" hidden="false" customHeight="false" outlineLevel="0" collapsed="false">
      <c r="A38" s="27"/>
      <c r="B38" s="1"/>
      <c r="C38" s="1"/>
      <c r="D38" s="1"/>
      <c r="E38" s="1"/>
      <c r="F38" s="1"/>
      <c r="G38" s="31"/>
      <c r="H38" s="28"/>
      <c r="I38" s="29"/>
      <c r="J38" s="20" t="str">
        <f aca="false">IF(D38="","",E38*H38)</f>
        <v/>
      </c>
      <c r="K38" s="20" t="str">
        <f aca="false">IF(D38="","",J38*I38)</f>
        <v/>
      </c>
      <c r="L38" s="20" t="str">
        <f aca="false">IF(D38="","",J38+K38)</f>
        <v/>
      </c>
    </row>
    <row r="39" customFormat="false" ht="15" hidden="false" customHeight="false" outlineLevel="0" collapsed="false">
      <c r="A39" s="27"/>
      <c r="B39" s="1"/>
      <c r="C39" s="1"/>
      <c r="D39" s="1"/>
      <c r="E39" s="1"/>
      <c r="F39" s="1"/>
      <c r="G39" s="31"/>
      <c r="H39" s="28"/>
      <c r="I39" s="29"/>
      <c r="J39" s="20" t="str">
        <f aca="false">IF(D39="","",E39*H39)</f>
        <v/>
      </c>
      <c r="K39" s="20" t="str">
        <f aca="false">IF(D39="","",J39*I39)</f>
        <v/>
      </c>
      <c r="L39" s="20" t="str">
        <f aca="false">IF(D39="","",J39+K39)</f>
        <v/>
      </c>
    </row>
    <row r="40" customFormat="false" ht="15" hidden="false" customHeight="false" outlineLevel="0" collapsed="false">
      <c r="A40" s="27"/>
      <c r="B40" s="1"/>
      <c r="C40" s="1"/>
      <c r="D40" s="1"/>
      <c r="E40" s="1"/>
      <c r="F40" s="1"/>
      <c r="G40" s="31"/>
      <c r="H40" s="28"/>
      <c r="I40" s="29"/>
      <c r="J40" s="20" t="str">
        <f aca="false">IF(D40="","",E40*H40)</f>
        <v/>
      </c>
      <c r="K40" s="20" t="str">
        <f aca="false">IF(D40="","",J40*I40)</f>
        <v/>
      </c>
      <c r="L40" s="20" t="str">
        <f aca="false">IF(D40="","",J40+K40)</f>
        <v/>
      </c>
    </row>
    <row r="41" customFormat="false" ht="15" hidden="false" customHeight="false" outlineLevel="0" collapsed="false">
      <c r="A41" s="27"/>
      <c r="B41" s="1"/>
      <c r="C41" s="1"/>
      <c r="D41" s="1"/>
      <c r="E41" s="1"/>
      <c r="F41" s="1"/>
      <c r="G41" s="31"/>
      <c r="H41" s="28"/>
      <c r="I41" s="29"/>
      <c r="J41" s="20" t="str">
        <f aca="false">IF(D41="","",E41*H41)</f>
        <v/>
      </c>
      <c r="K41" s="20" t="str">
        <f aca="false">IF(D41="","",J41*I41)</f>
        <v/>
      </c>
      <c r="L41" s="20" t="str">
        <f aca="false">IF(D41="","",J41+K41)</f>
        <v/>
      </c>
    </row>
    <row r="42" customFormat="false" ht="15" hidden="false" customHeight="false" outlineLevel="0" collapsed="false">
      <c r="A42" s="27"/>
      <c r="B42" s="1"/>
      <c r="C42" s="1"/>
      <c r="D42" s="1"/>
      <c r="E42" s="1"/>
      <c r="F42" s="1"/>
      <c r="G42" s="31"/>
      <c r="H42" s="28"/>
      <c r="I42" s="29"/>
      <c r="J42" s="20" t="str">
        <f aca="false">IF(D42="","",E42*H42)</f>
        <v/>
      </c>
      <c r="K42" s="20" t="str">
        <f aca="false">IF(D42="","",J42*I42)</f>
        <v/>
      </c>
      <c r="L42" s="20" t="str">
        <f aca="false">IF(D42="","",J42+K42)</f>
        <v/>
      </c>
    </row>
    <row r="43" customFormat="false" ht="15" hidden="false" customHeight="false" outlineLevel="0" collapsed="false">
      <c r="A43" s="27"/>
      <c r="B43" s="1"/>
      <c r="C43" s="1"/>
      <c r="D43" s="1"/>
      <c r="E43" s="1"/>
      <c r="F43" s="1"/>
      <c r="G43" s="31"/>
      <c r="H43" s="28"/>
      <c r="I43" s="29"/>
      <c r="J43" s="20" t="str">
        <f aca="false">IF(D43="","",E43*H43)</f>
        <v/>
      </c>
      <c r="K43" s="20" t="str">
        <f aca="false">IF(D43="","",J43*I43)</f>
        <v/>
      </c>
      <c r="L43" s="20" t="str">
        <f aca="false">IF(D43="","",J43+K43)</f>
        <v/>
      </c>
    </row>
    <row r="44" customFormat="false" ht="15" hidden="false" customHeight="false" outlineLevel="0" collapsed="false">
      <c r="A44" s="27"/>
      <c r="B44" s="1"/>
      <c r="C44" s="1"/>
      <c r="D44" s="1"/>
      <c r="E44" s="1"/>
      <c r="F44" s="1"/>
      <c r="G44" s="31"/>
      <c r="H44" s="28"/>
      <c r="I44" s="29"/>
      <c r="J44" s="20" t="str">
        <f aca="false">IF(D44="","",E44*H44)</f>
        <v/>
      </c>
      <c r="K44" s="20" t="str">
        <f aca="false">IF(D44="","",J44*I44)</f>
        <v/>
      </c>
      <c r="L44" s="20" t="str">
        <f aca="false">IF(D44="","",J44+K44)</f>
        <v/>
      </c>
    </row>
    <row r="45" customFormat="false" ht="15" hidden="false" customHeight="false" outlineLevel="0" collapsed="false">
      <c r="A45" s="27"/>
      <c r="B45" s="1"/>
      <c r="C45" s="1"/>
      <c r="D45" s="1"/>
      <c r="E45" s="1"/>
      <c r="F45" s="1"/>
      <c r="G45" s="31"/>
      <c r="H45" s="28"/>
      <c r="I45" s="29"/>
      <c r="J45" s="20" t="str">
        <f aca="false">IF(D45="","",E45*H45)</f>
        <v/>
      </c>
      <c r="K45" s="20" t="str">
        <f aca="false">IF(D45="","",J45*I45)</f>
        <v/>
      </c>
      <c r="L45" s="20" t="str">
        <f aca="false">IF(D45="","",J45+K45)</f>
        <v/>
      </c>
    </row>
    <row r="46" customFormat="false" ht="15" hidden="false" customHeight="false" outlineLevel="0" collapsed="false">
      <c r="A46" s="27"/>
      <c r="B46" s="1"/>
      <c r="C46" s="1"/>
      <c r="D46" s="1"/>
      <c r="E46" s="1"/>
      <c r="F46" s="1"/>
      <c r="G46" s="31"/>
      <c r="H46" s="28"/>
      <c r="I46" s="29"/>
      <c r="J46" s="20" t="str">
        <f aca="false">IF(D46="","",E46*H46)</f>
        <v/>
      </c>
      <c r="K46" s="20" t="str">
        <f aca="false">IF(D46="","",J46*I46)</f>
        <v/>
      </c>
      <c r="L46" s="20" t="str">
        <f aca="false">IF(D46="","",J46+K46)</f>
        <v/>
      </c>
    </row>
    <row r="47" customFormat="false" ht="15" hidden="false" customHeight="false" outlineLevel="0" collapsed="false">
      <c r="A47" s="27"/>
      <c r="B47" s="1"/>
      <c r="C47" s="1"/>
      <c r="D47" s="1"/>
      <c r="E47" s="1"/>
      <c r="F47" s="1"/>
      <c r="G47" s="31"/>
      <c r="H47" s="28"/>
      <c r="I47" s="29"/>
      <c r="J47" s="20" t="str">
        <f aca="false">IF(D47="","",E47*H47)</f>
        <v/>
      </c>
      <c r="K47" s="20" t="str">
        <f aca="false">IF(D47="","",J47*I47)</f>
        <v/>
      </c>
      <c r="L47" s="20" t="str">
        <f aca="false">IF(D47="","",J47+K47)</f>
        <v/>
      </c>
    </row>
    <row r="48" customFormat="false" ht="15" hidden="false" customHeight="false" outlineLevel="0" collapsed="false">
      <c r="A48" s="27"/>
      <c r="B48" s="1"/>
      <c r="C48" s="1"/>
      <c r="D48" s="1"/>
      <c r="E48" s="1"/>
      <c r="F48" s="1"/>
      <c r="G48" s="31"/>
      <c r="H48" s="28"/>
      <c r="I48" s="29"/>
      <c r="J48" s="20" t="str">
        <f aca="false">IF(D48="","",E48*H48)</f>
        <v/>
      </c>
      <c r="K48" s="20" t="str">
        <f aca="false">IF(D48="","",J48*I48)</f>
        <v/>
      </c>
      <c r="L48" s="20" t="str">
        <f aca="false">IF(D48="","",J48+K48)</f>
        <v/>
      </c>
    </row>
    <row r="49" customFormat="false" ht="15" hidden="false" customHeight="false" outlineLevel="0" collapsed="false">
      <c r="A49" s="27"/>
      <c r="B49" s="1"/>
      <c r="C49" s="1"/>
      <c r="D49" s="1"/>
      <c r="E49" s="1"/>
      <c r="F49" s="1"/>
      <c r="G49" s="31"/>
      <c r="H49" s="28"/>
      <c r="I49" s="29"/>
      <c r="J49" s="20" t="str">
        <f aca="false">IF(D49="","",E49*H49)</f>
        <v/>
      </c>
      <c r="K49" s="20" t="str">
        <f aca="false">IF(D49="","",J49*I49)</f>
        <v/>
      </c>
      <c r="L49" s="20" t="str">
        <f aca="false">IF(D49="","",J49+K49)</f>
        <v/>
      </c>
    </row>
    <row r="50" customFormat="false" ht="15" hidden="false" customHeight="false" outlineLevel="0" collapsed="false">
      <c r="A50" s="27"/>
      <c r="B50" s="1"/>
      <c r="C50" s="1"/>
      <c r="D50" s="1"/>
      <c r="E50" s="1"/>
      <c r="F50" s="1"/>
      <c r="G50" s="31"/>
      <c r="H50" s="28"/>
      <c r="I50" s="29"/>
      <c r="J50" s="20" t="str">
        <f aca="false">IF(D50="","",E50*H50)</f>
        <v/>
      </c>
      <c r="K50" s="20" t="str">
        <f aca="false">IF(D50="","",J50*I50)</f>
        <v/>
      </c>
      <c r="L50" s="20" t="str">
        <f aca="false">IF(D50="","",J50+K50)</f>
        <v/>
      </c>
    </row>
    <row r="51" customFormat="false" ht="15" hidden="false" customHeight="false" outlineLevel="0" collapsed="false">
      <c r="A51" s="27"/>
      <c r="B51" s="1"/>
      <c r="C51" s="1"/>
      <c r="D51" s="1"/>
      <c r="E51" s="1"/>
      <c r="F51" s="1"/>
      <c r="G51" s="31"/>
      <c r="H51" s="28"/>
      <c r="I51" s="29"/>
      <c r="J51" s="20" t="str">
        <f aca="false">IF(D51="","",E51*H51)</f>
        <v/>
      </c>
      <c r="K51" s="20" t="str">
        <f aca="false">IF(D51="","",J51*I51)</f>
        <v/>
      </c>
      <c r="L51" s="20" t="str">
        <f aca="false">IF(D51="","",J51+K51)</f>
        <v/>
      </c>
    </row>
    <row r="52" customFormat="false" ht="15" hidden="false" customHeight="false" outlineLevel="0" collapsed="false">
      <c r="A52" s="27"/>
      <c r="B52" s="1"/>
      <c r="C52" s="1"/>
      <c r="D52" s="1"/>
      <c r="E52" s="1"/>
      <c r="F52" s="1"/>
      <c r="G52" s="31"/>
      <c r="H52" s="28"/>
      <c r="I52" s="29"/>
      <c r="J52" s="20" t="str">
        <f aca="false">IF(D52="","",E52*H52)</f>
        <v/>
      </c>
      <c r="K52" s="20" t="str">
        <f aca="false">IF(D52="","",J52*I52)</f>
        <v/>
      </c>
      <c r="L52" s="20" t="str">
        <f aca="false">IF(D52="","",J52+K52)</f>
        <v/>
      </c>
    </row>
    <row r="53" customFormat="false" ht="15" hidden="false" customHeight="false" outlineLevel="0" collapsed="false">
      <c r="A53" s="27"/>
      <c r="B53" s="1"/>
      <c r="C53" s="1"/>
      <c r="D53" s="1"/>
      <c r="E53" s="1"/>
      <c r="F53" s="1"/>
      <c r="G53" s="31"/>
      <c r="H53" s="28"/>
      <c r="I53" s="29"/>
      <c r="J53" s="20" t="str">
        <f aca="false">IF(D53="","",E53*H53)</f>
        <v/>
      </c>
      <c r="K53" s="20" t="str">
        <f aca="false">IF(D53="","",J53*I53)</f>
        <v/>
      </c>
      <c r="L53" s="20" t="str">
        <f aca="false">IF(D53="","",J53+K53)</f>
        <v/>
      </c>
    </row>
    <row r="54" customFormat="false" ht="15" hidden="false" customHeight="false" outlineLevel="0" collapsed="false">
      <c r="A54" s="27"/>
      <c r="B54" s="1"/>
      <c r="C54" s="1"/>
      <c r="D54" s="1"/>
      <c r="E54" s="1"/>
      <c r="F54" s="1"/>
      <c r="G54" s="31"/>
      <c r="H54" s="28"/>
      <c r="I54" s="29"/>
      <c r="J54" s="20" t="str">
        <f aca="false">IF(D54="","",E54*H54)</f>
        <v/>
      </c>
      <c r="K54" s="20" t="str">
        <f aca="false">IF(D54="","",J54*I54)</f>
        <v/>
      </c>
      <c r="L54" s="20" t="str">
        <f aca="false">IF(D54="","",J54+K54)</f>
        <v/>
      </c>
    </row>
    <row r="55" customFormat="false" ht="15" hidden="false" customHeight="false" outlineLevel="0" collapsed="false">
      <c r="A55" s="27"/>
      <c r="B55" s="1"/>
      <c r="C55" s="1"/>
      <c r="D55" s="1"/>
      <c r="E55" s="1"/>
      <c r="F55" s="1"/>
      <c r="G55" s="31"/>
      <c r="H55" s="28"/>
      <c r="I55" s="29"/>
      <c r="J55" s="20" t="str">
        <f aca="false">IF(D55="","",E55*H55)</f>
        <v/>
      </c>
      <c r="K55" s="20" t="str">
        <f aca="false">IF(D55="","",J55*I55)</f>
        <v/>
      </c>
      <c r="L55" s="20" t="str">
        <f aca="false">IF(D55="","",J55+K55)</f>
        <v/>
      </c>
    </row>
    <row r="56" customFormat="false" ht="15" hidden="false" customHeight="false" outlineLevel="0" collapsed="false">
      <c r="A56" s="27"/>
      <c r="B56" s="1"/>
      <c r="C56" s="1"/>
      <c r="D56" s="1"/>
      <c r="E56" s="1"/>
      <c r="F56" s="1"/>
      <c r="G56" s="31"/>
      <c r="H56" s="28"/>
      <c r="I56" s="29"/>
      <c r="J56" s="20" t="str">
        <f aca="false">IF(D56="","",E56*H56)</f>
        <v/>
      </c>
      <c r="K56" s="20" t="str">
        <f aca="false">IF(D56="","",J56*I56)</f>
        <v/>
      </c>
      <c r="L56" s="20" t="str">
        <f aca="false">IF(D56="","",J56+K56)</f>
        <v/>
      </c>
    </row>
    <row r="57" customFormat="false" ht="15" hidden="false" customHeight="false" outlineLevel="0" collapsed="false">
      <c r="A57" s="27"/>
      <c r="B57" s="1"/>
      <c r="C57" s="1"/>
      <c r="D57" s="1"/>
      <c r="E57" s="1"/>
      <c r="F57" s="1"/>
      <c r="G57" s="31"/>
      <c r="H57" s="28"/>
      <c r="I57" s="29"/>
      <c r="J57" s="20" t="str">
        <f aca="false">IF(D57="","",E57*H57)</f>
        <v/>
      </c>
      <c r="K57" s="20" t="str">
        <f aca="false">IF(D57="","",J57*I57)</f>
        <v/>
      </c>
      <c r="L57" s="20" t="str">
        <f aca="false">IF(D57="","",J57+K57)</f>
        <v/>
      </c>
    </row>
    <row r="58" customFormat="false" ht="15" hidden="false" customHeight="false" outlineLevel="0" collapsed="false">
      <c r="A58" s="27"/>
      <c r="B58" s="1"/>
      <c r="C58" s="1"/>
      <c r="D58" s="1"/>
      <c r="E58" s="1"/>
      <c r="F58" s="1"/>
      <c r="G58" s="31"/>
      <c r="H58" s="28"/>
      <c r="I58" s="29"/>
      <c r="J58" s="20" t="str">
        <f aca="false">IF(D58="","",E58*H58)</f>
        <v/>
      </c>
      <c r="K58" s="20" t="str">
        <f aca="false">IF(D58="","",J58*I58)</f>
        <v/>
      </c>
      <c r="L58" s="20" t="str">
        <f aca="false">IF(D58="","",J58+K58)</f>
        <v/>
      </c>
    </row>
    <row r="59" customFormat="false" ht="15" hidden="false" customHeight="false" outlineLevel="0" collapsed="false">
      <c r="A59" s="27"/>
      <c r="B59" s="1"/>
      <c r="C59" s="1"/>
      <c r="D59" s="1"/>
      <c r="E59" s="1"/>
      <c r="F59" s="1"/>
      <c r="G59" s="31"/>
      <c r="H59" s="28"/>
      <c r="I59" s="29"/>
      <c r="J59" s="20" t="str">
        <f aca="false">IF(D59="","",E59*H59)</f>
        <v/>
      </c>
      <c r="K59" s="20" t="str">
        <f aca="false">IF(D59="","",J59*I59)</f>
        <v/>
      </c>
      <c r="L59" s="20" t="str">
        <f aca="false">IF(D59="","",J59+K59)</f>
        <v/>
      </c>
    </row>
    <row r="60" customFormat="false" ht="15" hidden="false" customHeight="false" outlineLevel="0" collapsed="false">
      <c r="A60" s="27"/>
      <c r="B60" s="1"/>
      <c r="C60" s="1"/>
      <c r="D60" s="1"/>
      <c r="E60" s="1"/>
      <c r="F60" s="1"/>
      <c r="G60" s="31"/>
      <c r="H60" s="28"/>
      <c r="I60" s="29"/>
      <c r="J60" s="20" t="str">
        <f aca="false">IF(D60="","",E60*H60)</f>
        <v/>
      </c>
      <c r="K60" s="20" t="str">
        <f aca="false">IF(D60="","",J60*I60)</f>
        <v/>
      </c>
      <c r="L60" s="20" t="str">
        <f aca="false">IF(D60="","",J60+K60)</f>
        <v/>
      </c>
    </row>
    <row r="61" customFormat="false" ht="15" hidden="false" customHeight="false" outlineLevel="0" collapsed="false">
      <c r="A61" s="27"/>
      <c r="B61" s="1"/>
      <c r="C61" s="1"/>
      <c r="D61" s="1"/>
      <c r="E61" s="1"/>
      <c r="F61" s="1"/>
      <c r="G61" s="31"/>
      <c r="H61" s="28"/>
      <c r="I61" s="29"/>
      <c r="J61" s="20" t="str">
        <f aca="false">IF(D61="","",E61*H61)</f>
        <v/>
      </c>
      <c r="K61" s="20" t="str">
        <f aca="false">IF(D61="","",J61*I61)</f>
        <v/>
      </c>
      <c r="L61" s="20" t="str">
        <f aca="false">IF(D61="","",J61+K61)</f>
        <v/>
      </c>
    </row>
    <row r="62" customFormat="false" ht="15" hidden="false" customHeight="false" outlineLevel="0" collapsed="false">
      <c r="A62" s="27"/>
      <c r="B62" s="1"/>
      <c r="C62" s="1"/>
      <c r="D62" s="1"/>
      <c r="E62" s="1"/>
      <c r="F62" s="1"/>
      <c r="G62" s="31"/>
      <c r="H62" s="28"/>
      <c r="I62" s="29"/>
      <c r="J62" s="20" t="str">
        <f aca="false">IF(D62="","",E62*H62)</f>
        <v/>
      </c>
      <c r="K62" s="20" t="str">
        <f aca="false">IF(D62="","",J62*I62)</f>
        <v/>
      </c>
      <c r="L62" s="20" t="str">
        <f aca="false">IF(D62="","",J62+K62)</f>
        <v/>
      </c>
    </row>
    <row r="63" customFormat="false" ht="15" hidden="false" customHeight="false" outlineLevel="0" collapsed="false">
      <c r="A63" s="27"/>
      <c r="B63" s="1"/>
      <c r="C63" s="1"/>
      <c r="D63" s="1"/>
      <c r="E63" s="1"/>
      <c r="F63" s="1"/>
      <c r="G63" s="31"/>
      <c r="H63" s="28"/>
      <c r="I63" s="29"/>
      <c r="J63" s="20" t="str">
        <f aca="false">IF(D63="","",E63*H63)</f>
        <v/>
      </c>
      <c r="K63" s="20" t="str">
        <f aca="false">IF(D63="","",J63*I63)</f>
        <v/>
      </c>
      <c r="L63" s="20" t="str">
        <f aca="false">IF(D63="","",J63+K63)</f>
        <v/>
      </c>
    </row>
    <row r="64" customFormat="false" ht="15" hidden="false" customHeight="false" outlineLevel="0" collapsed="false">
      <c r="A64" s="27"/>
      <c r="B64" s="1"/>
      <c r="C64" s="1"/>
      <c r="D64" s="1"/>
      <c r="E64" s="1"/>
      <c r="F64" s="1"/>
      <c r="G64" s="31"/>
      <c r="H64" s="28"/>
      <c r="I64" s="29"/>
      <c r="J64" s="20" t="str">
        <f aca="false">IF(D64="","",E64*H64)</f>
        <v/>
      </c>
      <c r="K64" s="20" t="str">
        <f aca="false">IF(D64="","",J64*I64)</f>
        <v/>
      </c>
      <c r="L64" s="20" t="str">
        <f aca="false">IF(D64="","",J64+K64)</f>
        <v/>
      </c>
    </row>
    <row r="65" customFormat="false" ht="15" hidden="false" customHeight="false" outlineLevel="0" collapsed="false">
      <c r="A65" s="27"/>
      <c r="B65" s="1"/>
      <c r="C65" s="1"/>
      <c r="D65" s="1"/>
      <c r="E65" s="1"/>
      <c r="F65" s="1"/>
      <c r="G65" s="31"/>
      <c r="H65" s="28"/>
      <c r="I65" s="29"/>
      <c r="J65" s="20" t="str">
        <f aca="false">IF(D65="","",E65*H65)</f>
        <v/>
      </c>
      <c r="K65" s="20" t="str">
        <f aca="false">IF(D65="","",J65*I65)</f>
        <v/>
      </c>
      <c r="L65" s="20" t="str">
        <f aca="false">IF(D65="","",J65+K65)</f>
        <v/>
      </c>
    </row>
    <row r="66" customFormat="false" ht="15" hidden="false" customHeight="false" outlineLevel="0" collapsed="false">
      <c r="A66" s="27"/>
      <c r="B66" s="1"/>
      <c r="C66" s="1"/>
      <c r="D66" s="1"/>
      <c r="E66" s="1"/>
      <c r="F66" s="1"/>
      <c r="G66" s="31"/>
      <c r="H66" s="28"/>
      <c r="I66" s="29"/>
      <c r="J66" s="20" t="str">
        <f aca="false">IF(D66="","",E66*H66)</f>
        <v/>
      </c>
      <c r="K66" s="20" t="str">
        <f aca="false">IF(D66="","",J66*I66)</f>
        <v/>
      </c>
      <c r="L66" s="20" t="str">
        <f aca="false">IF(D66="","",J66+K66)</f>
        <v/>
      </c>
    </row>
    <row r="67" customFormat="false" ht="15" hidden="false" customHeight="false" outlineLevel="0" collapsed="false">
      <c r="A67" s="27"/>
      <c r="B67" s="1"/>
      <c r="C67" s="1"/>
      <c r="D67" s="1"/>
      <c r="E67" s="1"/>
      <c r="F67" s="1"/>
      <c r="G67" s="31"/>
      <c r="H67" s="28"/>
      <c r="I67" s="29"/>
      <c r="J67" s="20" t="str">
        <f aca="false">IF(D67="","",E67*H67)</f>
        <v/>
      </c>
      <c r="K67" s="20" t="str">
        <f aca="false">IF(D67="","",J67*I67)</f>
        <v/>
      </c>
      <c r="L67" s="20" t="str">
        <f aca="false">IF(D67="","",J67+K67)</f>
        <v/>
      </c>
    </row>
    <row r="68" customFormat="false" ht="15" hidden="false" customHeight="false" outlineLevel="0" collapsed="false">
      <c r="A68" s="27"/>
      <c r="B68" s="1"/>
      <c r="C68" s="1"/>
      <c r="D68" s="1"/>
      <c r="E68" s="1"/>
      <c r="F68" s="1"/>
      <c r="G68" s="31"/>
      <c r="H68" s="28"/>
      <c r="I68" s="29"/>
      <c r="J68" s="20" t="str">
        <f aca="false">IF(D68="","",E68*H68)</f>
        <v/>
      </c>
      <c r="K68" s="20" t="str">
        <f aca="false">IF(D68="","",J68*I68)</f>
        <v/>
      </c>
      <c r="L68" s="20" t="str">
        <f aca="false">IF(D68="","",J68+K68)</f>
        <v/>
      </c>
    </row>
    <row r="69" customFormat="false" ht="15" hidden="false" customHeight="false" outlineLevel="0" collapsed="false">
      <c r="A69" s="27"/>
      <c r="B69" s="1"/>
      <c r="C69" s="1"/>
      <c r="D69" s="1"/>
      <c r="E69" s="1"/>
      <c r="F69" s="1"/>
      <c r="G69" s="31"/>
      <c r="H69" s="28"/>
      <c r="I69" s="29"/>
      <c r="J69" s="20" t="str">
        <f aca="false">IF(D69="","",E69*H69)</f>
        <v/>
      </c>
      <c r="K69" s="20" t="str">
        <f aca="false">IF(D69="","",J69*I69)</f>
        <v/>
      </c>
      <c r="L69" s="20" t="str">
        <f aca="false">IF(D69="","",J69+K69)</f>
        <v/>
      </c>
    </row>
    <row r="70" customFormat="false" ht="15" hidden="false" customHeight="false" outlineLevel="0" collapsed="false">
      <c r="A70" s="27"/>
      <c r="B70" s="1"/>
      <c r="C70" s="1"/>
      <c r="D70" s="1"/>
      <c r="E70" s="1"/>
      <c r="F70" s="1"/>
      <c r="G70" s="31"/>
      <c r="H70" s="28"/>
      <c r="I70" s="29"/>
      <c r="J70" s="20" t="str">
        <f aca="false">IF(D70="","",E70*H70)</f>
        <v/>
      </c>
      <c r="K70" s="20" t="str">
        <f aca="false">IF(D70="","",J70*I70)</f>
        <v/>
      </c>
      <c r="L70" s="20" t="str">
        <f aca="false">IF(D70="","",J70+K70)</f>
        <v/>
      </c>
    </row>
    <row r="71" customFormat="false" ht="15" hidden="false" customHeight="false" outlineLevel="0" collapsed="false">
      <c r="A71" s="27"/>
      <c r="B71" s="1"/>
      <c r="C71" s="1"/>
      <c r="D71" s="1"/>
      <c r="E71" s="1"/>
      <c r="F71" s="1"/>
      <c r="G71" s="31"/>
      <c r="H71" s="28"/>
      <c r="I71" s="29"/>
      <c r="J71" s="20" t="str">
        <f aca="false">IF(D71="","",E71*H71)</f>
        <v/>
      </c>
      <c r="K71" s="20" t="str">
        <f aca="false">IF(D71="","",J71*I71)</f>
        <v/>
      </c>
      <c r="L71" s="20" t="str">
        <f aca="false">IF(D71="","",J71+K71)</f>
        <v/>
      </c>
    </row>
    <row r="72" customFormat="false" ht="15" hidden="false" customHeight="false" outlineLevel="0" collapsed="false">
      <c r="A72" s="27"/>
      <c r="B72" s="1"/>
      <c r="C72" s="1"/>
      <c r="D72" s="1"/>
      <c r="E72" s="1"/>
      <c r="F72" s="1"/>
      <c r="G72" s="31"/>
      <c r="H72" s="28"/>
      <c r="I72" s="29"/>
      <c r="J72" s="20" t="str">
        <f aca="false">IF(D72="","",E72*H72)</f>
        <v/>
      </c>
      <c r="K72" s="20" t="str">
        <f aca="false">IF(D72="","",J72*I72)</f>
        <v/>
      </c>
      <c r="L72" s="20" t="str">
        <f aca="false">IF(D72="","",J72+K72)</f>
        <v/>
      </c>
    </row>
    <row r="73" customFormat="false" ht="15" hidden="false" customHeight="false" outlineLevel="0" collapsed="false">
      <c r="A73" s="27"/>
      <c r="B73" s="1"/>
      <c r="C73" s="1"/>
      <c r="D73" s="1"/>
      <c r="E73" s="1"/>
      <c r="F73" s="1"/>
      <c r="G73" s="31"/>
      <c r="H73" s="28"/>
      <c r="I73" s="29"/>
      <c r="J73" s="20" t="str">
        <f aca="false">IF(D73="","",E73*H73)</f>
        <v/>
      </c>
      <c r="K73" s="20" t="str">
        <f aca="false">IF(D73="","",J73*I73)</f>
        <v/>
      </c>
      <c r="L73" s="20" t="str">
        <f aca="false">IF(D73="","",J73+K73)</f>
        <v/>
      </c>
    </row>
    <row r="74" customFormat="false" ht="15" hidden="false" customHeight="false" outlineLevel="0" collapsed="false">
      <c r="A74" s="27"/>
      <c r="B74" s="1"/>
      <c r="C74" s="1"/>
      <c r="D74" s="1"/>
      <c r="E74" s="1"/>
      <c r="F74" s="1"/>
      <c r="G74" s="31"/>
      <c r="H74" s="28"/>
      <c r="I74" s="29"/>
      <c r="J74" s="20" t="str">
        <f aca="false">IF(D74="","",E74*H74)</f>
        <v/>
      </c>
      <c r="K74" s="20" t="str">
        <f aca="false">IF(D74="","",J74*I74)</f>
        <v/>
      </c>
      <c r="L74" s="20" t="str">
        <f aca="false">IF(D74="","",J74+K74)</f>
        <v/>
      </c>
    </row>
    <row r="75" customFormat="false" ht="15" hidden="false" customHeight="false" outlineLevel="0" collapsed="false">
      <c r="A75" s="27"/>
      <c r="B75" s="1"/>
      <c r="C75" s="1"/>
      <c r="D75" s="1"/>
      <c r="E75" s="1"/>
      <c r="F75" s="1"/>
      <c r="G75" s="31"/>
      <c r="H75" s="28"/>
      <c r="I75" s="29"/>
      <c r="J75" s="20" t="str">
        <f aca="false">IF(D75="","",E75*H75)</f>
        <v/>
      </c>
      <c r="K75" s="20" t="str">
        <f aca="false">IF(D75="","",J75*I75)</f>
        <v/>
      </c>
      <c r="L75" s="20" t="str">
        <f aca="false">IF(D75="","",J75+K75)</f>
        <v/>
      </c>
    </row>
    <row r="76" customFormat="false" ht="15" hidden="false" customHeight="false" outlineLevel="0" collapsed="false">
      <c r="A76" s="27"/>
      <c r="B76" s="1"/>
      <c r="C76" s="1"/>
      <c r="D76" s="1"/>
      <c r="E76" s="1"/>
      <c r="F76" s="1"/>
      <c r="G76" s="31"/>
      <c r="H76" s="28"/>
      <c r="I76" s="29"/>
      <c r="J76" s="20" t="str">
        <f aca="false">IF(D76="","",E76*H76)</f>
        <v/>
      </c>
      <c r="K76" s="20" t="str">
        <f aca="false">IF(D76="","",J76*I76)</f>
        <v/>
      </c>
      <c r="L76" s="20" t="str">
        <f aca="false">IF(D76="","",J76+K76)</f>
        <v/>
      </c>
    </row>
    <row r="77" customFormat="false" ht="15" hidden="false" customHeight="false" outlineLevel="0" collapsed="false">
      <c r="A77" s="27"/>
      <c r="B77" s="1"/>
      <c r="C77" s="1"/>
      <c r="D77" s="1"/>
      <c r="E77" s="1"/>
      <c r="F77" s="1"/>
      <c r="G77" s="31"/>
      <c r="H77" s="28"/>
      <c r="I77" s="29"/>
      <c r="J77" s="20" t="str">
        <f aca="false">IF(D77="","",E77*H77)</f>
        <v/>
      </c>
      <c r="K77" s="20" t="str">
        <f aca="false">IF(D77="","",J77*I77)</f>
        <v/>
      </c>
      <c r="L77" s="20" t="str">
        <f aca="false">IF(D77="","",J77+K77)</f>
        <v/>
      </c>
    </row>
    <row r="78" customFormat="false" ht="15" hidden="false" customHeight="false" outlineLevel="0" collapsed="false">
      <c r="A78" s="27"/>
      <c r="B78" s="1"/>
      <c r="C78" s="1"/>
      <c r="D78" s="1"/>
      <c r="E78" s="1"/>
      <c r="F78" s="1"/>
      <c r="G78" s="31"/>
      <c r="H78" s="28"/>
      <c r="I78" s="29"/>
      <c r="J78" s="20" t="str">
        <f aca="false">IF(D78="","",E78*H78)</f>
        <v/>
      </c>
      <c r="K78" s="20" t="str">
        <f aca="false">IF(D78="","",J78*I78)</f>
        <v/>
      </c>
      <c r="L78" s="20" t="str">
        <f aca="false">IF(D78="","",J78+K78)</f>
        <v/>
      </c>
    </row>
    <row r="79" customFormat="false" ht="15" hidden="false" customHeight="false" outlineLevel="0" collapsed="false">
      <c r="A79" s="27"/>
      <c r="B79" s="1"/>
      <c r="C79" s="1"/>
      <c r="D79" s="1"/>
      <c r="E79" s="1"/>
      <c r="F79" s="1"/>
      <c r="G79" s="31"/>
      <c r="H79" s="28"/>
      <c r="I79" s="29"/>
      <c r="J79" s="20" t="str">
        <f aca="false">IF(D79="","",E79*H79)</f>
        <v/>
      </c>
      <c r="K79" s="20" t="str">
        <f aca="false">IF(D79="","",J79*I79)</f>
        <v/>
      </c>
      <c r="L79" s="20" t="str">
        <f aca="false">IF(D79="","",J79+K79)</f>
        <v/>
      </c>
    </row>
    <row r="80" customFormat="false" ht="15" hidden="false" customHeight="false" outlineLevel="0" collapsed="false">
      <c r="A80" s="27"/>
      <c r="B80" s="1"/>
      <c r="C80" s="1"/>
      <c r="D80" s="1"/>
      <c r="E80" s="1"/>
      <c r="F80" s="1"/>
      <c r="G80" s="31"/>
      <c r="H80" s="28"/>
      <c r="I80" s="29"/>
      <c r="J80" s="20" t="str">
        <f aca="false">IF(D80="","",E80*H80)</f>
        <v/>
      </c>
      <c r="K80" s="20" t="str">
        <f aca="false">IF(D80="","",J80*I80)</f>
        <v/>
      </c>
      <c r="L80" s="20" t="str">
        <f aca="false">IF(D80="","",J80+K80)</f>
        <v/>
      </c>
    </row>
    <row r="81" customFormat="false" ht="15" hidden="false" customHeight="false" outlineLevel="0" collapsed="false">
      <c r="A81" s="27"/>
      <c r="B81" s="1"/>
      <c r="C81" s="1"/>
      <c r="D81" s="1"/>
      <c r="E81" s="1"/>
      <c r="F81" s="1"/>
      <c r="G81" s="31"/>
      <c r="H81" s="28"/>
      <c r="I81" s="29"/>
      <c r="J81" s="20" t="str">
        <f aca="false">IF(D81="","",E81*H81)</f>
        <v/>
      </c>
      <c r="K81" s="20" t="str">
        <f aca="false">IF(D81="","",J81*I81)</f>
        <v/>
      </c>
      <c r="L81" s="20" t="str">
        <f aca="false">IF(D81="","",J81+K81)</f>
        <v/>
      </c>
    </row>
    <row r="82" customFormat="false" ht="15" hidden="false" customHeight="false" outlineLevel="0" collapsed="false">
      <c r="A82" s="27"/>
      <c r="B82" s="1"/>
      <c r="C82" s="1"/>
      <c r="D82" s="1"/>
      <c r="E82" s="1"/>
      <c r="F82" s="1"/>
      <c r="G82" s="31"/>
      <c r="H82" s="28"/>
      <c r="I82" s="29"/>
      <c r="J82" s="20" t="str">
        <f aca="false">IF(D82="","",E82*H82)</f>
        <v/>
      </c>
      <c r="K82" s="20" t="str">
        <f aca="false">IF(D82="","",J82*I82)</f>
        <v/>
      </c>
      <c r="L82" s="20" t="str">
        <f aca="false">IF(D82="","",J82+K82)</f>
        <v/>
      </c>
    </row>
    <row r="83" customFormat="false" ht="15" hidden="false" customHeight="false" outlineLevel="0" collapsed="false">
      <c r="A83" s="27"/>
      <c r="B83" s="1"/>
      <c r="C83" s="1"/>
      <c r="D83" s="1"/>
      <c r="E83" s="1"/>
      <c r="F83" s="1"/>
      <c r="G83" s="31"/>
      <c r="H83" s="28"/>
      <c r="I83" s="29"/>
      <c r="J83" s="20" t="str">
        <f aca="false">IF(D83="","",E83*H83)</f>
        <v/>
      </c>
      <c r="K83" s="20" t="str">
        <f aca="false">IF(D83="","",J83*I83)</f>
        <v/>
      </c>
      <c r="L83" s="20" t="str">
        <f aca="false">IF(D83="","",J83+K83)</f>
        <v/>
      </c>
    </row>
    <row r="84" customFormat="false" ht="15" hidden="false" customHeight="false" outlineLevel="0" collapsed="false">
      <c r="A84" s="27"/>
      <c r="B84" s="1"/>
      <c r="C84" s="1"/>
      <c r="D84" s="1"/>
      <c r="E84" s="1"/>
      <c r="F84" s="1"/>
      <c r="G84" s="31"/>
      <c r="H84" s="28"/>
      <c r="I84" s="29"/>
      <c r="J84" s="20" t="str">
        <f aca="false">IF(D84="","",E84*H84)</f>
        <v/>
      </c>
      <c r="K84" s="20" t="str">
        <f aca="false">IF(D84="","",J84*I84)</f>
        <v/>
      </c>
      <c r="L84" s="20" t="str">
        <f aca="false">IF(D84="","",J84+K84)</f>
        <v/>
      </c>
    </row>
    <row r="85" customFormat="false" ht="15" hidden="false" customHeight="false" outlineLevel="0" collapsed="false">
      <c r="A85" s="27"/>
      <c r="B85" s="1"/>
      <c r="C85" s="1"/>
      <c r="D85" s="1"/>
      <c r="E85" s="1"/>
      <c r="F85" s="1"/>
      <c r="G85" s="31"/>
      <c r="H85" s="28"/>
      <c r="I85" s="29"/>
      <c r="J85" s="20" t="str">
        <f aca="false">IF(D85="","",E85*H85)</f>
        <v/>
      </c>
      <c r="K85" s="20" t="str">
        <f aca="false">IF(D85="","",J85*I85)</f>
        <v/>
      </c>
      <c r="L85" s="20" t="str">
        <f aca="false">IF(D85="","",J85+K85)</f>
        <v/>
      </c>
    </row>
    <row r="86" customFormat="false" ht="15" hidden="false" customHeight="false" outlineLevel="0" collapsed="false">
      <c r="A86" s="27"/>
      <c r="B86" s="1"/>
      <c r="C86" s="1"/>
      <c r="D86" s="1"/>
      <c r="E86" s="1"/>
      <c r="F86" s="1"/>
      <c r="G86" s="31"/>
      <c r="H86" s="28"/>
      <c r="I86" s="29"/>
      <c r="J86" s="20" t="str">
        <f aca="false">IF(D86="","",E86*H86)</f>
        <v/>
      </c>
      <c r="K86" s="20" t="str">
        <f aca="false">IF(D86="","",J86*I86)</f>
        <v/>
      </c>
      <c r="L86" s="20" t="str">
        <f aca="false">IF(D86="","",J86+K86)</f>
        <v/>
      </c>
    </row>
    <row r="87" customFormat="false" ht="15" hidden="false" customHeight="false" outlineLevel="0" collapsed="false">
      <c r="A87" s="27"/>
      <c r="B87" s="1"/>
      <c r="C87" s="1"/>
      <c r="D87" s="1"/>
      <c r="E87" s="1"/>
      <c r="F87" s="1"/>
      <c r="G87" s="31"/>
      <c r="H87" s="28"/>
      <c r="I87" s="29"/>
      <c r="J87" s="20" t="str">
        <f aca="false">IF(D87="","",E87*H87)</f>
        <v/>
      </c>
      <c r="K87" s="20" t="str">
        <f aca="false">IF(D87="","",J87*I87)</f>
        <v/>
      </c>
      <c r="L87" s="20" t="str">
        <f aca="false">IF(D87="","",J87+K87)</f>
        <v/>
      </c>
    </row>
    <row r="88" customFormat="false" ht="15" hidden="false" customHeight="false" outlineLevel="0" collapsed="false">
      <c r="A88" s="27"/>
      <c r="B88" s="1"/>
      <c r="C88" s="1"/>
      <c r="D88" s="1"/>
      <c r="E88" s="1"/>
      <c r="F88" s="1"/>
      <c r="G88" s="31"/>
      <c r="H88" s="28"/>
      <c r="I88" s="29"/>
      <c r="J88" s="20" t="str">
        <f aca="false">IF(D88="","",E88*H88)</f>
        <v/>
      </c>
      <c r="K88" s="20" t="str">
        <f aca="false">IF(D88="","",J88*I88)</f>
        <v/>
      </c>
      <c r="L88" s="20" t="str">
        <f aca="false">IF(D88="","",J88+K88)</f>
        <v/>
      </c>
    </row>
    <row r="89" customFormat="false" ht="15" hidden="false" customHeight="false" outlineLevel="0" collapsed="false">
      <c r="A89" s="27"/>
      <c r="B89" s="1"/>
      <c r="C89" s="1"/>
      <c r="D89" s="1"/>
      <c r="E89" s="1"/>
      <c r="F89" s="1"/>
      <c r="G89" s="31"/>
      <c r="H89" s="28"/>
      <c r="I89" s="29"/>
      <c r="J89" s="20" t="str">
        <f aca="false">IF(D89="","",E89*H89)</f>
        <v/>
      </c>
      <c r="K89" s="20" t="str">
        <f aca="false">IF(D89="","",J89*I89)</f>
        <v/>
      </c>
      <c r="L89" s="20" t="str">
        <f aca="false">IF(D89="","",J89+K89)</f>
        <v/>
      </c>
    </row>
    <row r="90" customFormat="false" ht="15" hidden="false" customHeight="false" outlineLevel="0" collapsed="false">
      <c r="A90" s="27"/>
      <c r="B90" s="1"/>
      <c r="C90" s="1"/>
      <c r="D90" s="1"/>
      <c r="E90" s="1"/>
      <c r="F90" s="1"/>
      <c r="G90" s="31"/>
      <c r="H90" s="28"/>
      <c r="I90" s="29"/>
      <c r="J90" s="20" t="str">
        <f aca="false">IF(D90="","",E90*H90)</f>
        <v/>
      </c>
      <c r="K90" s="20" t="str">
        <f aca="false">IF(D90="","",J90*I90)</f>
        <v/>
      </c>
      <c r="L90" s="20" t="str">
        <f aca="false">IF(D90="","",J90+K90)</f>
        <v/>
      </c>
    </row>
    <row r="91" customFormat="false" ht="15" hidden="false" customHeight="false" outlineLevel="0" collapsed="false">
      <c r="A91" s="27"/>
      <c r="B91" s="1"/>
      <c r="C91" s="1"/>
      <c r="D91" s="1"/>
      <c r="E91" s="1"/>
      <c r="F91" s="1"/>
      <c r="G91" s="31"/>
      <c r="H91" s="28"/>
      <c r="I91" s="29"/>
      <c r="J91" s="20" t="str">
        <f aca="false">IF(D91="","",E91*H91)</f>
        <v/>
      </c>
      <c r="K91" s="20" t="str">
        <f aca="false">IF(D91="","",J91*I91)</f>
        <v/>
      </c>
      <c r="L91" s="20" t="str">
        <f aca="false">IF(D91="","",J91+K91)</f>
        <v/>
      </c>
    </row>
    <row r="92" customFormat="false" ht="15" hidden="false" customHeight="false" outlineLevel="0" collapsed="false">
      <c r="A92" s="27"/>
      <c r="B92" s="1"/>
      <c r="C92" s="1"/>
      <c r="D92" s="1"/>
      <c r="E92" s="1"/>
      <c r="F92" s="1"/>
      <c r="G92" s="31"/>
      <c r="H92" s="28"/>
      <c r="I92" s="29"/>
      <c r="J92" s="20" t="str">
        <f aca="false">IF(D92="","",E92*H92)</f>
        <v/>
      </c>
      <c r="K92" s="20" t="str">
        <f aca="false">IF(D92="","",J92*I92)</f>
        <v/>
      </c>
      <c r="L92" s="20" t="str">
        <f aca="false">IF(D92="","",J92+K92)</f>
        <v/>
      </c>
    </row>
    <row r="93" customFormat="false" ht="15" hidden="false" customHeight="false" outlineLevel="0" collapsed="false">
      <c r="A93" s="27"/>
      <c r="B93" s="1"/>
      <c r="C93" s="1"/>
      <c r="D93" s="1"/>
      <c r="E93" s="1"/>
      <c r="F93" s="1"/>
      <c r="G93" s="31"/>
      <c r="H93" s="28"/>
      <c r="I93" s="29"/>
      <c r="J93" s="20" t="str">
        <f aca="false">IF(D93="","",E93*H93)</f>
        <v/>
      </c>
      <c r="K93" s="20" t="str">
        <f aca="false">IF(D93="","",J93*I93)</f>
        <v/>
      </c>
      <c r="L93" s="20" t="str">
        <f aca="false">IF(D93="","",J93+K93)</f>
        <v/>
      </c>
    </row>
    <row r="94" customFormat="false" ht="15" hidden="false" customHeight="false" outlineLevel="0" collapsed="false">
      <c r="A94" s="27"/>
      <c r="B94" s="1"/>
      <c r="C94" s="1"/>
      <c r="D94" s="1"/>
      <c r="E94" s="1"/>
      <c r="F94" s="1"/>
      <c r="G94" s="31"/>
      <c r="H94" s="28"/>
      <c r="I94" s="29"/>
      <c r="J94" s="20" t="str">
        <f aca="false">IF(D94="","",E94*H94)</f>
        <v/>
      </c>
      <c r="K94" s="20" t="str">
        <f aca="false">IF(D94="","",J94*I94)</f>
        <v/>
      </c>
      <c r="L94" s="20" t="str">
        <f aca="false">IF(D94="","",J94+K94)</f>
        <v/>
      </c>
    </row>
    <row r="95" customFormat="false" ht="15" hidden="false" customHeight="false" outlineLevel="0" collapsed="false">
      <c r="A95" s="27"/>
      <c r="B95" s="1"/>
      <c r="C95" s="1"/>
      <c r="D95" s="1"/>
      <c r="E95" s="1"/>
      <c r="F95" s="1"/>
      <c r="G95" s="31"/>
      <c r="H95" s="28"/>
      <c r="I95" s="29"/>
      <c r="J95" s="20" t="str">
        <f aca="false">IF(D95="","",E95*H95)</f>
        <v/>
      </c>
      <c r="K95" s="20" t="str">
        <f aca="false">IF(D95="","",J95*I95)</f>
        <v/>
      </c>
      <c r="L95" s="20" t="str">
        <f aca="false">IF(D95="","",J95+K95)</f>
        <v/>
      </c>
    </row>
    <row r="96" customFormat="false" ht="15" hidden="false" customHeight="false" outlineLevel="0" collapsed="false">
      <c r="A96" s="27"/>
      <c r="B96" s="1"/>
      <c r="C96" s="1"/>
      <c r="D96" s="1"/>
      <c r="E96" s="1"/>
      <c r="F96" s="1"/>
      <c r="G96" s="31"/>
      <c r="H96" s="28"/>
      <c r="I96" s="29"/>
      <c r="J96" s="20" t="str">
        <f aca="false">IF(D96="","",E96*H96)</f>
        <v/>
      </c>
      <c r="K96" s="20" t="str">
        <f aca="false">IF(D96="","",J96*I96)</f>
        <v/>
      </c>
      <c r="L96" s="20" t="str">
        <f aca="false">IF(D96="","",J96+K96)</f>
        <v/>
      </c>
    </row>
    <row r="97" customFormat="false" ht="15" hidden="false" customHeight="false" outlineLevel="0" collapsed="false">
      <c r="A97" s="27"/>
      <c r="B97" s="1"/>
      <c r="C97" s="1"/>
      <c r="D97" s="1"/>
      <c r="E97" s="1"/>
      <c r="F97" s="1"/>
      <c r="G97" s="31"/>
      <c r="H97" s="28"/>
      <c r="I97" s="29"/>
      <c r="J97" s="20" t="str">
        <f aca="false">IF(D97="","",E97*H97)</f>
        <v/>
      </c>
      <c r="K97" s="20" t="str">
        <f aca="false">IF(D97="","",J97*I97)</f>
        <v/>
      </c>
      <c r="L97" s="20" t="str">
        <f aca="false">IF(D97="","",J97+K97)</f>
        <v/>
      </c>
    </row>
    <row r="98" customFormat="false" ht="15" hidden="false" customHeight="false" outlineLevel="0" collapsed="false">
      <c r="A98" s="27"/>
      <c r="B98" s="1"/>
      <c r="C98" s="1"/>
      <c r="D98" s="1"/>
      <c r="E98" s="1"/>
      <c r="F98" s="1"/>
      <c r="G98" s="31"/>
      <c r="H98" s="28"/>
      <c r="I98" s="29"/>
      <c r="J98" s="20" t="str">
        <f aca="false">IF(D98="","",E98*H98)</f>
        <v/>
      </c>
      <c r="K98" s="20" t="str">
        <f aca="false">IF(D98="","",J98*I98)</f>
        <v/>
      </c>
      <c r="L98" s="20" t="str">
        <f aca="false">IF(D98="","",J98+K98)</f>
        <v/>
      </c>
    </row>
    <row r="99" customFormat="false" ht="15" hidden="false" customHeight="false" outlineLevel="0" collapsed="false">
      <c r="A99" s="27"/>
      <c r="B99" s="1"/>
      <c r="C99" s="1"/>
      <c r="D99" s="1"/>
      <c r="E99" s="1"/>
      <c r="F99" s="1"/>
      <c r="G99" s="31"/>
      <c r="H99" s="28"/>
      <c r="I99" s="29"/>
      <c r="J99" s="20" t="str">
        <f aca="false">IF(D99="","",E99*H99)</f>
        <v/>
      </c>
      <c r="K99" s="20" t="str">
        <f aca="false">IF(D99="","",J99*I99)</f>
        <v/>
      </c>
      <c r="L99" s="20" t="str">
        <f aca="false">IF(D99="","",J99+K99)</f>
        <v/>
      </c>
    </row>
    <row r="100" customFormat="false" ht="15" hidden="false" customHeight="false" outlineLevel="0" collapsed="false">
      <c r="A100" s="27"/>
      <c r="B100" s="1"/>
      <c r="C100" s="1"/>
      <c r="D100" s="1"/>
      <c r="E100" s="1"/>
      <c r="F100" s="1"/>
      <c r="G100" s="31"/>
      <c r="H100" s="28"/>
      <c r="I100" s="29"/>
      <c r="J100" s="20" t="str">
        <f aca="false">IF(D100="","",E100*H100)</f>
        <v/>
      </c>
      <c r="K100" s="20" t="str">
        <f aca="false">IF(D100="","",J100*I100)</f>
        <v/>
      </c>
      <c r="L100" s="20" t="str">
        <f aca="false">IF(D100="","",J100+K100)</f>
        <v/>
      </c>
    </row>
    <row r="101" customFormat="false" ht="15" hidden="false" customHeight="false" outlineLevel="0" collapsed="false">
      <c r="A101" s="27"/>
      <c r="B101" s="1"/>
      <c r="C101" s="1"/>
      <c r="D101" s="1"/>
      <c r="E101" s="1"/>
      <c r="F101" s="1"/>
      <c r="G101" s="31"/>
      <c r="H101" s="28"/>
      <c r="I101" s="29"/>
      <c r="J101" s="20" t="str">
        <f aca="false">IF(D101="","",E101*H101)</f>
        <v/>
      </c>
      <c r="K101" s="20" t="str">
        <f aca="false">IF(D101="","",J101*I101)</f>
        <v/>
      </c>
      <c r="L101" s="20" t="str">
        <f aca="false">IF(D101="","",J101+K101)</f>
        <v/>
      </c>
    </row>
    <row r="102" customFormat="false" ht="15" hidden="false" customHeight="false" outlineLevel="0" collapsed="false">
      <c r="A102" s="27"/>
      <c r="B102" s="1"/>
      <c r="C102" s="1"/>
      <c r="D102" s="1"/>
      <c r="E102" s="1"/>
      <c r="F102" s="1"/>
      <c r="G102" s="31"/>
      <c r="H102" s="28"/>
      <c r="I102" s="29"/>
      <c r="J102" s="20" t="str">
        <f aca="false">IF(D102="","",E102*H102)</f>
        <v/>
      </c>
      <c r="K102" s="20" t="str">
        <f aca="false">IF(D102="","",J102*I102)</f>
        <v/>
      </c>
      <c r="L102" s="20" t="str">
        <f aca="false">IF(D102="","",J102+K102)</f>
        <v/>
      </c>
    </row>
    <row r="103" customFormat="false" ht="15" hidden="false" customHeight="false" outlineLevel="0" collapsed="false">
      <c r="A103" s="27"/>
      <c r="B103" s="1"/>
      <c r="C103" s="1"/>
      <c r="D103" s="1"/>
      <c r="E103" s="1"/>
      <c r="F103" s="1"/>
      <c r="G103" s="31"/>
      <c r="H103" s="28"/>
      <c r="I103" s="29"/>
      <c r="J103" s="20" t="str">
        <f aca="false">IF(D103="","",E103*H103)</f>
        <v/>
      </c>
      <c r="K103" s="20" t="str">
        <f aca="false">IF(D103="","",J103*I103)</f>
        <v/>
      </c>
      <c r="L103" s="20" t="str">
        <f aca="false">IF(D103="","",J103+K103)</f>
        <v/>
      </c>
    </row>
    <row r="104" customFormat="false" ht="15" hidden="false" customHeight="false" outlineLevel="0" collapsed="false">
      <c r="A104" s="27"/>
      <c r="B104" s="1"/>
      <c r="C104" s="1"/>
      <c r="D104" s="1"/>
      <c r="E104" s="1"/>
      <c r="F104" s="1"/>
      <c r="G104" s="31"/>
      <c r="H104" s="28"/>
      <c r="I104" s="29"/>
      <c r="J104" s="20" t="str">
        <f aca="false">IF(D104="","",E104*H104)</f>
        <v/>
      </c>
      <c r="K104" s="20" t="str">
        <f aca="false">IF(D104="","",J104*I104)</f>
        <v/>
      </c>
      <c r="L104" s="20" t="str">
        <f aca="false">IF(D104="","",J104+K104)</f>
        <v/>
      </c>
    </row>
    <row r="105" customFormat="false" ht="15" hidden="false" customHeight="false" outlineLevel="0" collapsed="false">
      <c r="A105" s="27"/>
      <c r="B105" s="1"/>
      <c r="C105" s="1"/>
      <c r="D105" s="1"/>
      <c r="E105" s="1"/>
      <c r="F105" s="1"/>
      <c r="G105" s="31"/>
      <c r="H105" s="28"/>
      <c r="I105" s="29"/>
      <c r="J105" s="20" t="str">
        <f aca="false">IF(D105="","",E105*H105)</f>
        <v/>
      </c>
      <c r="K105" s="20" t="str">
        <f aca="false">IF(D105="","",J105*I105)</f>
        <v/>
      </c>
      <c r="L105" s="20" t="str">
        <f aca="false">IF(D105="","",J105+K105)</f>
        <v/>
      </c>
    </row>
    <row r="106" customFormat="false" ht="15" hidden="false" customHeight="false" outlineLevel="0" collapsed="false">
      <c r="A106" s="27"/>
      <c r="B106" s="1"/>
      <c r="C106" s="1"/>
      <c r="D106" s="1"/>
      <c r="E106" s="1"/>
      <c r="F106" s="1"/>
      <c r="G106" s="31"/>
      <c r="H106" s="28"/>
      <c r="I106" s="29"/>
      <c r="J106" s="20" t="str">
        <f aca="false">IF(D106="","",E106*H106)</f>
        <v/>
      </c>
      <c r="K106" s="20" t="str">
        <f aca="false">IF(D106="","",J106*I106)</f>
        <v/>
      </c>
      <c r="L106" s="20" t="str">
        <f aca="false">IF(D106="","",J106+K106)</f>
        <v/>
      </c>
    </row>
    <row r="107" customFormat="false" ht="15" hidden="false" customHeight="false" outlineLevel="0" collapsed="false">
      <c r="A107" s="27"/>
      <c r="B107" s="1"/>
      <c r="C107" s="1"/>
      <c r="D107" s="1"/>
      <c r="E107" s="1"/>
      <c r="F107" s="1"/>
      <c r="G107" s="31"/>
      <c r="H107" s="28"/>
      <c r="I107" s="29"/>
      <c r="J107" s="20" t="str">
        <f aca="false">IF(D107="","",E107*H107)</f>
        <v/>
      </c>
      <c r="K107" s="20" t="str">
        <f aca="false">IF(D107="","",J107*I107)</f>
        <v/>
      </c>
      <c r="L107" s="20" t="str">
        <f aca="false">IF(D107="","",J107+K107)</f>
        <v/>
      </c>
    </row>
    <row r="108" customFormat="false" ht="15" hidden="false" customHeight="false" outlineLevel="0" collapsed="false">
      <c r="A108" s="27"/>
      <c r="B108" s="1"/>
      <c r="C108" s="1"/>
      <c r="D108" s="1"/>
      <c r="E108" s="1"/>
      <c r="F108" s="1"/>
      <c r="G108" s="31"/>
      <c r="H108" s="28"/>
      <c r="I108" s="29"/>
      <c r="J108" s="20" t="str">
        <f aca="false">IF(D108="","",E108*H108)</f>
        <v/>
      </c>
      <c r="K108" s="20" t="str">
        <f aca="false">IF(D108="","",J108*I108)</f>
        <v/>
      </c>
      <c r="L108" s="20" t="str">
        <f aca="false">IF(D108="","",J108+K108)</f>
        <v/>
      </c>
    </row>
    <row r="109" customFormat="false" ht="15" hidden="false" customHeight="false" outlineLevel="0" collapsed="false">
      <c r="A109" s="27"/>
      <c r="B109" s="1"/>
      <c r="C109" s="1"/>
      <c r="D109" s="1"/>
      <c r="E109" s="1"/>
      <c r="F109" s="1"/>
      <c r="G109" s="31"/>
      <c r="H109" s="28"/>
      <c r="I109" s="29"/>
      <c r="J109" s="20" t="str">
        <f aca="false">IF(D109="","",E109*H109)</f>
        <v/>
      </c>
      <c r="K109" s="20" t="str">
        <f aca="false">IF(D109="","",J109*I109)</f>
        <v/>
      </c>
      <c r="L109" s="20" t="str">
        <f aca="false">IF(D109="","",J109+K109)</f>
        <v/>
      </c>
    </row>
    <row r="110" customFormat="false" ht="15" hidden="false" customHeight="false" outlineLevel="0" collapsed="false">
      <c r="A110" s="27"/>
      <c r="B110" s="1"/>
      <c r="C110" s="1"/>
      <c r="D110" s="1"/>
      <c r="E110" s="1"/>
      <c r="F110" s="1"/>
      <c r="G110" s="31"/>
      <c r="H110" s="28"/>
      <c r="I110" s="29"/>
      <c r="J110" s="20" t="str">
        <f aca="false">IF(D110="","",E110*H110)</f>
        <v/>
      </c>
      <c r="K110" s="20" t="str">
        <f aca="false">IF(D110="","",J110*I110)</f>
        <v/>
      </c>
      <c r="L110" s="20" t="str">
        <f aca="false">IF(D110="","",J110+K110)</f>
        <v/>
      </c>
    </row>
    <row r="111" customFormat="false" ht="15" hidden="false" customHeight="false" outlineLevel="0" collapsed="false">
      <c r="A111" s="27"/>
      <c r="B111" s="1"/>
      <c r="C111" s="1"/>
      <c r="D111" s="1"/>
      <c r="E111" s="1"/>
      <c r="F111" s="1"/>
      <c r="G111" s="31"/>
      <c r="H111" s="28"/>
      <c r="I111" s="29"/>
      <c r="J111" s="20" t="str">
        <f aca="false">IF(D111="","",E111*H111)</f>
        <v/>
      </c>
      <c r="K111" s="20" t="str">
        <f aca="false">IF(D111="","",J111*I111)</f>
        <v/>
      </c>
      <c r="L111" s="20" t="str">
        <f aca="false">IF(D111="","",J111+K111)</f>
        <v/>
      </c>
    </row>
    <row r="112" customFormat="false" ht="15" hidden="false" customHeight="false" outlineLevel="0" collapsed="false">
      <c r="A112" s="27"/>
      <c r="B112" s="1"/>
      <c r="C112" s="1"/>
      <c r="D112" s="1"/>
      <c r="E112" s="1"/>
      <c r="F112" s="1"/>
      <c r="G112" s="31"/>
      <c r="H112" s="28"/>
      <c r="I112" s="29"/>
      <c r="J112" s="20" t="str">
        <f aca="false">IF(D112="","",E112*H112)</f>
        <v/>
      </c>
      <c r="K112" s="20" t="str">
        <f aca="false">IF(D112="","",J112*I112)</f>
        <v/>
      </c>
      <c r="L112" s="20" t="str">
        <f aca="false">IF(D112="","",J112+K112)</f>
        <v/>
      </c>
    </row>
    <row r="113" customFormat="false" ht="15" hidden="false" customHeight="false" outlineLevel="0" collapsed="false">
      <c r="A113" s="27"/>
      <c r="B113" s="1"/>
      <c r="C113" s="1"/>
      <c r="D113" s="1"/>
      <c r="E113" s="1"/>
      <c r="F113" s="1"/>
      <c r="G113" s="31"/>
      <c r="H113" s="28"/>
      <c r="I113" s="29"/>
      <c r="J113" s="20" t="str">
        <f aca="false">IF(D113="","",E113*H113)</f>
        <v/>
      </c>
      <c r="K113" s="20" t="str">
        <f aca="false">IF(D113="","",J113*I113)</f>
        <v/>
      </c>
      <c r="L113" s="20" t="str">
        <f aca="false">IF(D113="","",J113+K113)</f>
        <v/>
      </c>
    </row>
    <row r="114" customFormat="false" ht="15" hidden="false" customHeight="false" outlineLevel="0" collapsed="false">
      <c r="A114" s="27"/>
      <c r="B114" s="1"/>
      <c r="C114" s="1"/>
      <c r="D114" s="1"/>
      <c r="E114" s="1"/>
      <c r="F114" s="1"/>
      <c r="G114" s="31"/>
      <c r="H114" s="28"/>
      <c r="I114" s="29"/>
      <c r="J114" s="20" t="str">
        <f aca="false">IF(D114="","",E114*H114)</f>
        <v/>
      </c>
      <c r="K114" s="20" t="str">
        <f aca="false">IF(D114="","",J114*I114)</f>
        <v/>
      </c>
      <c r="L114" s="20" t="str">
        <f aca="false">IF(D114="","",J114+K114)</f>
        <v/>
      </c>
    </row>
    <row r="115" customFormat="false" ht="15" hidden="false" customHeight="false" outlineLevel="0" collapsed="false">
      <c r="A115" s="27"/>
      <c r="B115" s="1"/>
      <c r="C115" s="1"/>
      <c r="D115" s="1"/>
      <c r="E115" s="1"/>
      <c r="F115" s="1"/>
      <c r="G115" s="31"/>
      <c r="H115" s="28"/>
      <c r="I115" s="29"/>
      <c r="J115" s="20" t="str">
        <f aca="false">IF(D115="","",E115*H115)</f>
        <v/>
      </c>
      <c r="K115" s="20" t="str">
        <f aca="false">IF(D115="","",J115*I115)</f>
        <v/>
      </c>
      <c r="L115" s="20" t="str">
        <f aca="false">IF(D115="","",J115+K115)</f>
        <v/>
      </c>
    </row>
    <row r="116" customFormat="false" ht="15" hidden="false" customHeight="false" outlineLevel="0" collapsed="false">
      <c r="A116" s="27"/>
      <c r="B116" s="1"/>
      <c r="C116" s="1"/>
      <c r="D116" s="1"/>
      <c r="E116" s="1"/>
      <c r="F116" s="1"/>
      <c r="G116" s="31"/>
      <c r="H116" s="28"/>
      <c r="I116" s="29"/>
      <c r="J116" s="20" t="str">
        <f aca="false">IF(D116="","",E116*H116)</f>
        <v/>
      </c>
      <c r="K116" s="20" t="str">
        <f aca="false">IF(D116="","",J116*I116)</f>
        <v/>
      </c>
      <c r="L116" s="20" t="str">
        <f aca="false">IF(D116="","",J116+K116)</f>
        <v/>
      </c>
    </row>
    <row r="117" customFormat="false" ht="15" hidden="false" customHeight="false" outlineLevel="0" collapsed="false">
      <c r="A117" s="27"/>
      <c r="B117" s="1"/>
      <c r="C117" s="1"/>
      <c r="D117" s="1"/>
      <c r="E117" s="1"/>
      <c r="F117" s="1"/>
      <c r="G117" s="31"/>
      <c r="H117" s="28"/>
      <c r="I117" s="29"/>
      <c r="J117" s="20" t="str">
        <f aca="false">IF(D117="","",E117*H117)</f>
        <v/>
      </c>
      <c r="K117" s="20" t="str">
        <f aca="false">IF(D117="","",J117*I117)</f>
        <v/>
      </c>
      <c r="L117" s="20" t="str">
        <f aca="false">IF(D117="","",J117+K117)</f>
        <v/>
      </c>
    </row>
    <row r="118" customFormat="false" ht="15" hidden="false" customHeight="false" outlineLevel="0" collapsed="false">
      <c r="A118" s="27"/>
      <c r="B118" s="1"/>
      <c r="C118" s="1"/>
      <c r="D118" s="1"/>
      <c r="E118" s="1"/>
      <c r="F118" s="1"/>
      <c r="G118" s="31"/>
      <c r="H118" s="28"/>
      <c r="I118" s="29"/>
      <c r="J118" s="20" t="str">
        <f aca="false">IF(D118="","",E118*H118)</f>
        <v/>
      </c>
      <c r="K118" s="20" t="str">
        <f aca="false">IF(D118="","",J118*I118)</f>
        <v/>
      </c>
      <c r="L118" s="20" t="str">
        <f aca="false">IF(D118="","",J118+K118)</f>
        <v/>
      </c>
    </row>
    <row r="119" customFormat="false" ht="15" hidden="false" customHeight="false" outlineLevel="0" collapsed="false">
      <c r="A119" s="27"/>
      <c r="B119" s="1"/>
      <c r="C119" s="1"/>
      <c r="D119" s="1"/>
      <c r="E119" s="1"/>
      <c r="F119" s="1"/>
      <c r="G119" s="31"/>
      <c r="H119" s="28"/>
      <c r="I119" s="29"/>
      <c r="J119" s="20" t="str">
        <f aca="false">IF(D119="","",E119*H119)</f>
        <v/>
      </c>
      <c r="K119" s="20" t="str">
        <f aca="false">IF(D119="","",J119*I119)</f>
        <v/>
      </c>
      <c r="L119" s="20" t="str">
        <f aca="false">IF(D119="","",J119+K119)</f>
        <v/>
      </c>
    </row>
    <row r="120" customFormat="false" ht="15" hidden="false" customHeight="false" outlineLevel="0" collapsed="false">
      <c r="A120" s="27"/>
      <c r="B120" s="1"/>
      <c r="C120" s="1"/>
      <c r="D120" s="1"/>
      <c r="E120" s="1"/>
      <c r="F120" s="1"/>
      <c r="G120" s="31"/>
      <c r="H120" s="28"/>
      <c r="I120" s="29"/>
      <c r="J120" s="20" t="str">
        <f aca="false">IF(D120="","",E120*H120)</f>
        <v/>
      </c>
      <c r="K120" s="20" t="str">
        <f aca="false">IF(D120="","",J120*I120)</f>
        <v/>
      </c>
      <c r="L120" s="20" t="str">
        <f aca="false">IF(D120="","",J120+K120)</f>
        <v/>
      </c>
    </row>
    <row r="121" customFormat="false" ht="15" hidden="false" customHeight="false" outlineLevel="0" collapsed="false">
      <c r="A121" s="27"/>
      <c r="B121" s="1"/>
      <c r="C121" s="1"/>
      <c r="D121" s="1"/>
      <c r="E121" s="1"/>
      <c r="F121" s="1"/>
      <c r="G121" s="31"/>
      <c r="H121" s="28"/>
      <c r="I121" s="29"/>
      <c r="J121" s="20" t="str">
        <f aca="false">IF(D121="","",E121*H121)</f>
        <v/>
      </c>
      <c r="K121" s="20" t="str">
        <f aca="false">IF(D121="","",J121*I121)</f>
        <v/>
      </c>
      <c r="L121" s="20" t="str">
        <f aca="false">IF(D121="","",J121+K121)</f>
        <v/>
      </c>
    </row>
    <row r="122" customFormat="false" ht="15" hidden="false" customHeight="false" outlineLevel="0" collapsed="false">
      <c r="A122" s="27"/>
      <c r="B122" s="1"/>
      <c r="C122" s="1"/>
      <c r="D122" s="1"/>
      <c r="E122" s="1"/>
      <c r="F122" s="1"/>
      <c r="G122" s="31"/>
      <c r="H122" s="28"/>
      <c r="I122" s="29"/>
      <c r="J122" s="20" t="str">
        <f aca="false">IF(D122="","",E122*H122)</f>
        <v/>
      </c>
      <c r="K122" s="20" t="str">
        <f aca="false">IF(D122="","",J122*I122)</f>
        <v/>
      </c>
      <c r="L122" s="20" t="str">
        <f aca="false">IF(D122="","",J122+K122)</f>
        <v/>
      </c>
    </row>
    <row r="123" customFormat="false" ht="15" hidden="false" customHeight="false" outlineLevel="0" collapsed="false">
      <c r="A123" s="27"/>
      <c r="B123" s="1"/>
      <c r="C123" s="1"/>
      <c r="D123" s="1"/>
      <c r="E123" s="1"/>
      <c r="F123" s="1"/>
      <c r="G123" s="31"/>
      <c r="H123" s="28"/>
      <c r="I123" s="29"/>
      <c r="J123" s="20" t="str">
        <f aca="false">IF(D123="","",E123*H123)</f>
        <v/>
      </c>
      <c r="K123" s="20" t="str">
        <f aca="false">IF(D123="","",J123*I123)</f>
        <v/>
      </c>
      <c r="L123" s="20" t="str">
        <f aca="false">IF(D123="","",J123+K123)</f>
        <v/>
      </c>
    </row>
    <row r="124" customFormat="false" ht="15" hidden="false" customHeight="false" outlineLevel="0" collapsed="false">
      <c r="A124" s="27"/>
      <c r="B124" s="1"/>
      <c r="C124" s="1"/>
      <c r="D124" s="1"/>
      <c r="E124" s="1"/>
      <c r="F124" s="1"/>
      <c r="G124" s="31"/>
      <c r="H124" s="28"/>
      <c r="I124" s="29"/>
      <c r="J124" s="20" t="str">
        <f aca="false">IF(D124="","",E124*H124)</f>
        <v/>
      </c>
      <c r="K124" s="20" t="str">
        <f aca="false">IF(D124="","",J124*I124)</f>
        <v/>
      </c>
      <c r="L124" s="20" t="str">
        <f aca="false">IF(D124="","",J124+K124)</f>
        <v/>
      </c>
    </row>
    <row r="125" customFormat="false" ht="15" hidden="false" customHeight="false" outlineLevel="0" collapsed="false">
      <c r="A125" s="27"/>
      <c r="B125" s="1"/>
      <c r="C125" s="1"/>
      <c r="D125" s="1"/>
      <c r="E125" s="1"/>
      <c r="F125" s="1"/>
      <c r="G125" s="31"/>
      <c r="H125" s="28"/>
      <c r="I125" s="29"/>
      <c r="J125" s="20" t="str">
        <f aca="false">IF(D125="","",E125*H125)</f>
        <v/>
      </c>
      <c r="K125" s="20" t="str">
        <f aca="false">IF(D125="","",J125*I125)</f>
        <v/>
      </c>
      <c r="L125" s="20" t="str">
        <f aca="false">IF(D125="","",J125+K125)</f>
        <v/>
      </c>
    </row>
    <row r="126" customFormat="false" ht="15" hidden="false" customHeight="false" outlineLevel="0" collapsed="false">
      <c r="A126" s="27"/>
      <c r="B126" s="1"/>
      <c r="C126" s="1"/>
      <c r="D126" s="1"/>
      <c r="E126" s="1"/>
      <c r="F126" s="1"/>
      <c r="G126" s="31"/>
      <c r="H126" s="28"/>
      <c r="I126" s="29"/>
      <c r="J126" s="20" t="str">
        <f aca="false">IF(D126="","",E126*H126)</f>
        <v/>
      </c>
      <c r="K126" s="20" t="str">
        <f aca="false">IF(D126="","",J126*I126)</f>
        <v/>
      </c>
      <c r="L126" s="20" t="str">
        <f aca="false">IF(D126="","",J126+K126)</f>
        <v/>
      </c>
    </row>
    <row r="127" customFormat="false" ht="15" hidden="false" customHeight="false" outlineLevel="0" collapsed="false">
      <c r="A127" s="27"/>
      <c r="B127" s="1"/>
      <c r="C127" s="1"/>
      <c r="D127" s="1"/>
      <c r="E127" s="1"/>
      <c r="F127" s="1"/>
      <c r="G127" s="31"/>
      <c r="H127" s="28"/>
      <c r="I127" s="29"/>
      <c r="J127" s="20" t="str">
        <f aca="false">IF(D127="","",E127*H127)</f>
        <v/>
      </c>
      <c r="K127" s="20" t="str">
        <f aca="false">IF(D127="","",J127*I127)</f>
        <v/>
      </c>
      <c r="L127" s="20" t="str">
        <f aca="false">IF(D127="","",J127+K127)</f>
        <v/>
      </c>
    </row>
    <row r="128" customFormat="false" ht="15" hidden="false" customHeight="false" outlineLevel="0" collapsed="false">
      <c r="A128" s="27"/>
      <c r="B128" s="1"/>
      <c r="C128" s="1"/>
      <c r="D128" s="1"/>
      <c r="E128" s="1"/>
      <c r="F128" s="1"/>
      <c r="G128" s="31"/>
      <c r="H128" s="28"/>
      <c r="I128" s="29"/>
      <c r="J128" s="20" t="str">
        <f aca="false">IF(D128="","",E128*H128)</f>
        <v/>
      </c>
      <c r="K128" s="20" t="str">
        <f aca="false">IF(D128="","",J128*I128)</f>
        <v/>
      </c>
      <c r="L128" s="20" t="str">
        <f aca="false">IF(D128="","",J128+K128)</f>
        <v/>
      </c>
    </row>
    <row r="129" customFormat="false" ht="15" hidden="false" customHeight="false" outlineLevel="0" collapsed="false">
      <c r="A129" s="27"/>
      <c r="B129" s="1"/>
      <c r="C129" s="1"/>
      <c r="D129" s="1"/>
      <c r="E129" s="1"/>
      <c r="F129" s="1"/>
      <c r="G129" s="31"/>
      <c r="H129" s="28"/>
      <c r="I129" s="29"/>
      <c r="J129" s="20" t="str">
        <f aca="false">IF(D129="","",E129*H129)</f>
        <v/>
      </c>
      <c r="K129" s="20" t="str">
        <f aca="false">IF(D129="","",J129*I129)</f>
        <v/>
      </c>
      <c r="L129" s="20" t="str">
        <f aca="false">IF(D129="","",J129+K129)</f>
        <v/>
      </c>
    </row>
    <row r="130" customFormat="false" ht="15" hidden="false" customHeight="false" outlineLevel="0" collapsed="false">
      <c r="A130" s="27"/>
      <c r="B130" s="1"/>
      <c r="C130" s="1"/>
      <c r="D130" s="1"/>
      <c r="E130" s="1"/>
      <c r="F130" s="1"/>
      <c r="G130" s="31"/>
      <c r="H130" s="28"/>
      <c r="I130" s="29"/>
      <c r="J130" s="20" t="str">
        <f aca="false">IF(D130="","",E130*H130)</f>
        <v/>
      </c>
      <c r="K130" s="20" t="str">
        <f aca="false">IF(D130="","",J130*I130)</f>
        <v/>
      </c>
      <c r="L130" s="20" t="str">
        <f aca="false">IF(D130="","",J130+K130)</f>
        <v/>
      </c>
    </row>
    <row r="131" customFormat="false" ht="15" hidden="false" customHeight="false" outlineLevel="0" collapsed="false">
      <c r="A131" s="27"/>
      <c r="B131" s="1"/>
      <c r="C131" s="1"/>
      <c r="D131" s="1"/>
      <c r="E131" s="1"/>
      <c r="F131" s="1"/>
      <c r="G131" s="31"/>
      <c r="H131" s="28"/>
      <c r="I131" s="29"/>
      <c r="J131" s="20" t="str">
        <f aca="false">IF(D131="","",E131*H131)</f>
        <v/>
      </c>
      <c r="K131" s="20" t="str">
        <f aca="false">IF(D131="","",J131*I131)</f>
        <v/>
      </c>
      <c r="L131" s="20" t="str">
        <f aca="false">IF(D131="","",J131+K131)</f>
        <v/>
      </c>
    </row>
    <row r="132" customFormat="false" ht="15" hidden="false" customHeight="false" outlineLevel="0" collapsed="false">
      <c r="A132" s="27"/>
      <c r="B132" s="1"/>
      <c r="C132" s="1"/>
      <c r="D132" s="1"/>
      <c r="E132" s="1"/>
      <c r="F132" s="1"/>
      <c r="G132" s="31"/>
      <c r="H132" s="28"/>
      <c r="I132" s="29"/>
      <c r="J132" s="20" t="str">
        <f aca="false">IF(D132="","",E132*H132)</f>
        <v/>
      </c>
      <c r="K132" s="20" t="str">
        <f aca="false">IF(D132="","",J132*I132)</f>
        <v/>
      </c>
      <c r="L132" s="20" t="str">
        <f aca="false">IF(D132="","",J132+K132)</f>
        <v/>
      </c>
    </row>
    <row r="133" customFormat="false" ht="15" hidden="false" customHeight="false" outlineLevel="0" collapsed="false">
      <c r="A133" s="27"/>
      <c r="B133" s="1"/>
      <c r="C133" s="1"/>
      <c r="D133" s="1"/>
      <c r="E133" s="1"/>
      <c r="F133" s="1"/>
      <c r="G133" s="31"/>
      <c r="H133" s="28"/>
      <c r="I133" s="29"/>
      <c r="J133" s="20" t="str">
        <f aca="false">IF(D133="","",E133*H133)</f>
        <v/>
      </c>
      <c r="K133" s="20" t="str">
        <f aca="false">IF(D133="","",J133*I133)</f>
        <v/>
      </c>
      <c r="L133" s="20" t="str">
        <f aca="false">IF(D133="","",J133+K133)</f>
        <v/>
      </c>
    </row>
    <row r="134" customFormat="false" ht="15" hidden="false" customHeight="false" outlineLevel="0" collapsed="false">
      <c r="A134" s="27"/>
      <c r="B134" s="1"/>
      <c r="C134" s="1"/>
      <c r="D134" s="1"/>
      <c r="E134" s="1"/>
      <c r="F134" s="1"/>
      <c r="G134" s="31"/>
      <c r="H134" s="28"/>
      <c r="I134" s="29"/>
      <c r="J134" s="20" t="str">
        <f aca="false">IF(D134="","",E134*H134)</f>
        <v/>
      </c>
      <c r="K134" s="20" t="str">
        <f aca="false">IF(D134="","",J134*I134)</f>
        <v/>
      </c>
      <c r="L134" s="20" t="str">
        <f aca="false">IF(D134="","",J134+K134)</f>
        <v/>
      </c>
    </row>
    <row r="135" customFormat="false" ht="15" hidden="false" customHeight="false" outlineLevel="0" collapsed="false">
      <c r="A135" s="27"/>
      <c r="B135" s="1"/>
      <c r="C135" s="1"/>
      <c r="D135" s="1"/>
      <c r="E135" s="1"/>
      <c r="F135" s="1"/>
      <c r="G135" s="31"/>
      <c r="H135" s="28"/>
      <c r="I135" s="29"/>
      <c r="J135" s="20" t="str">
        <f aca="false">IF(D135="","",E135*H135)</f>
        <v/>
      </c>
      <c r="K135" s="20" t="str">
        <f aca="false">IF(D135="","",J135*I135)</f>
        <v/>
      </c>
      <c r="L135" s="20" t="str">
        <f aca="false">IF(D135="","",J135+K135)</f>
        <v/>
      </c>
    </row>
    <row r="136" customFormat="false" ht="15" hidden="false" customHeight="false" outlineLevel="0" collapsed="false">
      <c r="A136" s="27"/>
      <c r="B136" s="1"/>
      <c r="C136" s="1"/>
      <c r="D136" s="1"/>
      <c r="E136" s="1"/>
      <c r="F136" s="1"/>
      <c r="G136" s="31"/>
      <c r="H136" s="28"/>
      <c r="I136" s="29"/>
      <c r="J136" s="20" t="str">
        <f aca="false">IF(D136="","",E136*H136)</f>
        <v/>
      </c>
      <c r="K136" s="20" t="str">
        <f aca="false">IF(D136="","",J136*I136)</f>
        <v/>
      </c>
      <c r="L136" s="20" t="str">
        <f aca="false">IF(D136="","",J136+K136)</f>
        <v/>
      </c>
    </row>
    <row r="137" customFormat="false" ht="15" hidden="false" customHeight="false" outlineLevel="0" collapsed="false">
      <c r="A137" s="27"/>
      <c r="B137" s="1"/>
      <c r="C137" s="1"/>
      <c r="D137" s="1"/>
      <c r="E137" s="1"/>
      <c r="F137" s="1"/>
      <c r="G137" s="31"/>
      <c r="H137" s="28"/>
      <c r="I137" s="29"/>
      <c r="J137" s="20" t="str">
        <f aca="false">IF(D137="","",E137*H137)</f>
        <v/>
      </c>
      <c r="K137" s="20" t="str">
        <f aca="false">IF(D137="","",J137*I137)</f>
        <v/>
      </c>
      <c r="L137" s="20" t="str">
        <f aca="false">IF(D137="","",J137+K137)</f>
        <v/>
      </c>
    </row>
    <row r="138" customFormat="false" ht="15" hidden="false" customHeight="false" outlineLevel="0" collapsed="false">
      <c r="A138" s="27"/>
      <c r="B138" s="1"/>
      <c r="C138" s="1"/>
      <c r="D138" s="1"/>
      <c r="E138" s="1"/>
      <c r="F138" s="1"/>
      <c r="G138" s="31"/>
      <c r="H138" s="28"/>
      <c r="I138" s="29"/>
      <c r="J138" s="20" t="str">
        <f aca="false">IF(D138="","",E138*H138)</f>
        <v/>
      </c>
      <c r="K138" s="20" t="str">
        <f aca="false">IF(D138="","",J138*I138)</f>
        <v/>
      </c>
      <c r="L138" s="20" t="str">
        <f aca="false">IF(D138="","",J138+K138)</f>
        <v/>
      </c>
    </row>
    <row r="139" customFormat="false" ht="15" hidden="false" customHeight="false" outlineLevel="0" collapsed="false">
      <c r="A139" s="27"/>
      <c r="B139" s="1"/>
      <c r="C139" s="1"/>
      <c r="D139" s="1"/>
      <c r="E139" s="1"/>
      <c r="F139" s="1"/>
      <c r="G139" s="31"/>
      <c r="H139" s="28"/>
      <c r="I139" s="29"/>
      <c r="J139" s="20" t="str">
        <f aca="false">IF(D139="","",E139*H139)</f>
        <v/>
      </c>
      <c r="K139" s="20" t="str">
        <f aca="false">IF(D139="","",J139*I139)</f>
        <v/>
      </c>
      <c r="L139" s="20" t="str">
        <f aca="false">IF(D139="","",J139+K139)</f>
        <v/>
      </c>
    </row>
    <row r="140" customFormat="false" ht="15" hidden="false" customHeight="false" outlineLevel="0" collapsed="false">
      <c r="A140" s="27"/>
      <c r="B140" s="1"/>
      <c r="C140" s="1"/>
      <c r="D140" s="1"/>
      <c r="E140" s="1"/>
      <c r="F140" s="1"/>
      <c r="G140" s="31"/>
      <c r="H140" s="28"/>
      <c r="I140" s="29"/>
      <c r="J140" s="20" t="str">
        <f aca="false">IF(D140="","",E140*H140)</f>
        <v/>
      </c>
      <c r="K140" s="20" t="str">
        <f aca="false">IF(D140="","",J140*I140)</f>
        <v/>
      </c>
      <c r="L140" s="20" t="str">
        <f aca="false">IF(D140="","",J140+K140)</f>
        <v/>
      </c>
    </row>
    <row r="141" customFormat="false" ht="15" hidden="false" customHeight="false" outlineLevel="0" collapsed="false">
      <c r="A141" s="27"/>
      <c r="B141" s="1"/>
      <c r="C141" s="1"/>
      <c r="D141" s="1"/>
      <c r="E141" s="1"/>
      <c r="F141" s="1"/>
      <c r="G141" s="31"/>
      <c r="H141" s="28"/>
      <c r="I141" s="29"/>
      <c r="J141" s="20" t="str">
        <f aca="false">IF(D141="","",E141*H141)</f>
        <v/>
      </c>
      <c r="K141" s="20" t="str">
        <f aca="false">IF(D141="","",J141*I141)</f>
        <v/>
      </c>
      <c r="L141" s="20" t="str">
        <f aca="false">IF(D141="","",J141+K141)</f>
        <v/>
      </c>
    </row>
    <row r="142" customFormat="false" ht="15" hidden="false" customHeight="false" outlineLevel="0" collapsed="false">
      <c r="A142" s="27"/>
      <c r="B142" s="1"/>
      <c r="C142" s="1"/>
      <c r="D142" s="1"/>
      <c r="E142" s="1"/>
      <c r="F142" s="1"/>
      <c r="G142" s="31"/>
      <c r="H142" s="28"/>
      <c r="I142" s="29"/>
      <c r="J142" s="20" t="str">
        <f aca="false">IF(D142="","",E142*H142)</f>
        <v/>
      </c>
      <c r="K142" s="20" t="str">
        <f aca="false">IF(D142="","",J142*I142)</f>
        <v/>
      </c>
      <c r="L142" s="20" t="str">
        <f aca="false">IF(D142="","",J142+K142)</f>
        <v/>
      </c>
    </row>
    <row r="143" customFormat="false" ht="15" hidden="false" customHeight="false" outlineLevel="0" collapsed="false">
      <c r="A143" s="27"/>
      <c r="B143" s="1"/>
      <c r="C143" s="1"/>
      <c r="D143" s="1"/>
      <c r="E143" s="1"/>
      <c r="F143" s="1"/>
      <c r="G143" s="31"/>
      <c r="H143" s="28"/>
      <c r="I143" s="29"/>
      <c r="J143" s="20" t="str">
        <f aca="false">IF(D143="","",E143*H143)</f>
        <v/>
      </c>
      <c r="K143" s="20" t="str">
        <f aca="false">IF(D143="","",J143*I143)</f>
        <v/>
      </c>
      <c r="L143" s="20" t="str">
        <f aca="false">IF(D143="","",J143+K143)</f>
        <v/>
      </c>
    </row>
    <row r="144" customFormat="false" ht="15" hidden="false" customHeight="false" outlineLevel="0" collapsed="false">
      <c r="A144" s="27"/>
      <c r="B144" s="1"/>
      <c r="C144" s="1"/>
      <c r="D144" s="1"/>
      <c r="E144" s="1"/>
      <c r="F144" s="1"/>
      <c r="G144" s="31"/>
      <c r="H144" s="28"/>
      <c r="I144" s="29"/>
      <c r="J144" s="20" t="str">
        <f aca="false">IF(D144="","",E144*H144)</f>
        <v/>
      </c>
      <c r="K144" s="20" t="str">
        <f aca="false">IF(D144="","",J144*I144)</f>
        <v/>
      </c>
      <c r="L144" s="20" t="str">
        <f aca="false">IF(D144="","",J144+K144)</f>
        <v/>
      </c>
    </row>
    <row r="145" customFormat="false" ht="15" hidden="false" customHeight="false" outlineLevel="0" collapsed="false">
      <c r="A145" s="27"/>
      <c r="B145" s="1"/>
      <c r="C145" s="1"/>
      <c r="D145" s="1"/>
      <c r="E145" s="1"/>
      <c r="F145" s="1"/>
      <c r="G145" s="31"/>
      <c r="H145" s="28"/>
      <c r="I145" s="29"/>
      <c r="J145" s="20" t="str">
        <f aca="false">IF(D145="","",E145*H145)</f>
        <v/>
      </c>
      <c r="K145" s="20" t="str">
        <f aca="false">IF(D145="","",J145*I145)</f>
        <v/>
      </c>
      <c r="L145" s="20" t="str">
        <f aca="false">IF(D145="","",J145+K145)</f>
        <v/>
      </c>
    </row>
    <row r="146" customFormat="false" ht="15" hidden="false" customHeight="false" outlineLevel="0" collapsed="false">
      <c r="A146" s="27"/>
      <c r="B146" s="1"/>
      <c r="C146" s="1"/>
      <c r="D146" s="1"/>
      <c r="E146" s="1"/>
      <c r="F146" s="1"/>
      <c r="G146" s="31"/>
      <c r="H146" s="28"/>
      <c r="I146" s="29"/>
      <c r="J146" s="20" t="str">
        <f aca="false">IF(D146="","",E146*H146)</f>
        <v/>
      </c>
      <c r="K146" s="20" t="str">
        <f aca="false">IF(D146="","",J146*I146)</f>
        <v/>
      </c>
      <c r="L146" s="20" t="str">
        <f aca="false">IF(D146="","",J146+K146)</f>
        <v/>
      </c>
    </row>
    <row r="147" customFormat="false" ht="15" hidden="false" customHeight="false" outlineLevel="0" collapsed="false">
      <c r="A147" s="27"/>
      <c r="B147" s="1"/>
      <c r="C147" s="1"/>
      <c r="D147" s="1"/>
      <c r="E147" s="1"/>
      <c r="F147" s="1"/>
      <c r="G147" s="31"/>
      <c r="H147" s="28"/>
      <c r="I147" s="29"/>
      <c r="J147" s="20" t="str">
        <f aca="false">IF(D147="","",E147*H147)</f>
        <v/>
      </c>
      <c r="K147" s="20" t="str">
        <f aca="false">IF(D147="","",J147*I147)</f>
        <v/>
      </c>
      <c r="L147" s="20" t="str">
        <f aca="false">IF(D147="","",J147+K147)</f>
        <v/>
      </c>
    </row>
    <row r="148" customFormat="false" ht="15" hidden="false" customHeight="false" outlineLevel="0" collapsed="false">
      <c r="A148" s="27"/>
      <c r="B148" s="1"/>
      <c r="C148" s="1"/>
      <c r="D148" s="1"/>
      <c r="E148" s="1"/>
      <c r="F148" s="1"/>
      <c r="G148" s="31"/>
      <c r="H148" s="28"/>
      <c r="I148" s="29"/>
      <c r="J148" s="20" t="str">
        <f aca="false">IF(D148="","",E148*H148)</f>
        <v/>
      </c>
      <c r="K148" s="20" t="str">
        <f aca="false">IF(D148="","",J148*I148)</f>
        <v/>
      </c>
      <c r="L148" s="20" t="str">
        <f aca="false">IF(D148="","",J148+K148)</f>
        <v/>
      </c>
    </row>
    <row r="149" customFormat="false" ht="15" hidden="false" customHeight="false" outlineLevel="0" collapsed="false">
      <c r="A149" s="27"/>
      <c r="B149" s="1"/>
      <c r="C149" s="1"/>
      <c r="D149" s="1"/>
      <c r="E149" s="1"/>
      <c r="F149" s="1"/>
      <c r="G149" s="31"/>
      <c r="H149" s="28"/>
      <c r="I149" s="29"/>
      <c r="J149" s="20" t="str">
        <f aca="false">IF(D149="","",E149*H149)</f>
        <v/>
      </c>
      <c r="K149" s="20" t="str">
        <f aca="false">IF(D149="","",J149*I149)</f>
        <v/>
      </c>
      <c r="L149" s="20" t="str">
        <f aca="false">IF(D149="","",J149+K149)</f>
        <v/>
      </c>
    </row>
    <row r="150" customFormat="false" ht="15" hidden="false" customHeight="false" outlineLevel="0" collapsed="false">
      <c r="A150" s="27"/>
      <c r="B150" s="1"/>
      <c r="C150" s="1"/>
      <c r="D150" s="1"/>
      <c r="E150" s="1"/>
      <c r="F150" s="1"/>
      <c r="G150" s="31"/>
      <c r="H150" s="28"/>
      <c r="I150" s="29"/>
      <c r="J150" s="20" t="str">
        <f aca="false">IF(D150="","",E150*H150)</f>
        <v/>
      </c>
      <c r="K150" s="20" t="str">
        <f aca="false">IF(D150="","",J150*I150)</f>
        <v/>
      </c>
      <c r="L150" s="20" t="str">
        <f aca="false">IF(D150="","",J150+K150)</f>
        <v/>
      </c>
    </row>
    <row r="151" customFormat="false" ht="15" hidden="false" customHeight="false" outlineLevel="0" collapsed="false">
      <c r="A151" s="27"/>
      <c r="B151" s="1"/>
      <c r="C151" s="1"/>
      <c r="D151" s="1"/>
      <c r="E151" s="1"/>
      <c r="F151" s="1"/>
      <c r="G151" s="31"/>
      <c r="H151" s="28"/>
      <c r="I151" s="29"/>
      <c r="J151" s="20" t="str">
        <f aca="false">IF(D151="","",E151*H151)</f>
        <v/>
      </c>
      <c r="K151" s="20" t="str">
        <f aca="false">IF(D151="","",J151*I151)</f>
        <v/>
      </c>
      <c r="L151" s="20" t="str">
        <f aca="false">IF(D151="","",J151+K151)</f>
        <v/>
      </c>
    </row>
    <row r="152" customFormat="false" ht="15" hidden="false" customHeight="false" outlineLevel="0" collapsed="false">
      <c r="A152" s="27"/>
      <c r="B152" s="1"/>
      <c r="C152" s="1"/>
      <c r="D152" s="1"/>
      <c r="E152" s="1"/>
      <c r="F152" s="1"/>
      <c r="G152" s="31"/>
      <c r="H152" s="28"/>
      <c r="I152" s="29"/>
      <c r="J152" s="20" t="str">
        <f aca="false">IF(D152="","",E152*H152)</f>
        <v/>
      </c>
      <c r="K152" s="20" t="str">
        <f aca="false">IF(D152="","",J152*I152)</f>
        <v/>
      </c>
      <c r="L152" s="20" t="str">
        <f aca="false">IF(D152="","",J152+K152)</f>
        <v/>
      </c>
    </row>
    <row r="153" customFormat="false" ht="15" hidden="false" customHeight="false" outlineLevel="0" collapsed="false">
      <c r="A153" s="27"/>
      <c r="B153" s="1"/>
      <c r="C153" s="1"/>
      <c r="D153" s="1"/>
      <c r="E153" s="1"/>
      <c r="F153" s="1"/>
      <c r="G153" s="31"/>
      <c r="H153" s="28"/>
      <c r="I153" s="29"/>
      <c r="J153" s="20" t="str">
        <f aca="false">IF(D153="","",E153*H153)</f>
        <v/>
      </c>
      <c r="K153" s="20" t="str">
        <f aca="false">IF(D153="","",J153*I153)</f>
        <v/>
      </c>
      <c r="L153" s="20" t="str">
        <f aca="false">IF(D153="","",J153+K153)</f>
        <v/>
      </c>
    </row>
    <row r="154" customFormat="false" ht="15" hidden="false" customHeight="false" outlineLevel="0" collapsed="false">
      <c r="A154" s="27"/>
      <c r="B154" s="1"/>
      <c r="C154" s="1"/>
      <c r="D154" s="1"/>
      <c r="E154" s="1"/>
      <c r="F154" s="1"/>
      <c r="G154" s="31"/>
      <c r="H154" s="28"/>
      <c r="I154" s="29"/>
      <c r="J154" s="20" t="str">
        <f aca="false">IF(D154="","",E154*H154)</f>
        <v/>
      </c>
      <c r="K154" s="20" t="str">
        <f aca="false">IF(D154="","",J154*I154)</f>
        <v/>
      </c>
      <c r="L154" s="20" t="str">
        <f aca="false">IF(D154="","",J154+K154)</f>
        <v/>
      </c>
    </row>
    <row r="155" customFormat="false" ht="15" hidden="false" customHeight="false" outlineLevel="0" collapsed="false">
      <c r="A155" s="27"/>
      <c r="B155" s="1"/>
      <c r="C155" s="1"/>
      <c r="D155" s="1"/>
      <c r="E155" s="1"/>
      <c r="F155" s="1"/>
      <c r="G155" s="31"/>
      <c r="H155" s="28"/>
      <c r="I155" s="29"/>
      <c r="J155" s="20" t="str">
        <f aca="false">IF(D155="","",E155*H155)</f>
        <v/>
      </c>
      <c r="K155" s="20" t="str">
        <f aca="false">IF(D155="","",J155*I155)</f>
        <v/>
      </c>
      <c r="L155" s="20" t="str">
        <f aca="false">IF(D155="","",J155+K155)</f>
        <v/>
      </c>
    </row>
    <row r="156" customFormat="false" ht="15" hidden="false" customHeight="false" outlineLevel="0" collapsed="false">
      <c r="A156" s="27"/>
      <c r="B156" s="1"/>
      <c r="C156" s="1"/>
      <c r="D156" s="1"/>
      <c r="E156" s="1"/>
      <c r="F156" s="1"/>
      <c r="G156" s="31"/>
      <c r="H156" s="28"/>
      <c r="I156" s="29"/>
      <c r="J156" s="20" t="str">
        <f aca="false">IF(D156="","",E156*H156)</f>
        <v/>
      </c>
      <c r="K156" s="20" t="str">
        <f aca="false">IF(D156="","",J156*I156)</f>
        <v/>
      </c>
      <c r="L156" s="20" t="str">
        <f aca="false">IF(D156="","",J156+K156)</f>
        <v/>
      </c>
    </row>
    <row r="157" customFormat="false" ht="15" hidden="false" customHeight="false" outlineLevel="0" collapsed="false">
      <c r="A157" s="27"/>
      <c r="B157" s="1"/>
      <c r="C157" s="1"/>
      <c r="D157" s="1"/>
      <c r="E157" s="1"/>
      <c r="F157" s="1"/>
      <c r="G157" s="31"/>
      <c r="H157" s="28"/>
      <c r="I157" s="29"/>
      <c r="J157" s="20" t="str">
        <f aca="false">IF(D157="","",E157*H157)</f>
        <v/>
      </c>
      <c r="K157" s="20" t="str">
        <f aca="false">IF(D157="","",J157*I157)</f>
        <v/>
      </c>
      <c r="L157" s="20" t="str">
        <f aca="false">IF(D157="","",J157+K157)</f>
        <v/>
      </c>
    </row>
    <row r="158" customFormat="false" ht="15" hidden="false" customHeight="false" outlineLevel="0" collapsed="false">
      <c r="A158" s="27"/>
      <c r="B158" s="1"/>
      <c r="C158" s="1"/>
      <c r="D158" s="1"/>
      <c r="E158" s="1"/>
      <c r="F158" s="1"/>
      <c r="G158" s="31"/>
      <c r="H158" s="28"/>
      <c r="I158" s="29"/>
      <c r="J158" s="20" t="str">
        <f aca="false">IF(D158="","",E158*H158)</f>
        <v/>
      </c>
      <c r="K158" s="20" t="str">
        <f aca="false">IF(D158="","",J158*I158)</f>
        <v/>
      </c>
      <c r="L158" s="20" t="str">
        <f aca="false">IF(D158="","",J158+K158)</f>
        <v/>
      </c>
    </row>
    <row r="159" customFormat="false" ht="15" hidden="false" customHeight="false" outlineLevel="0" collapsed="false">
      <c r="A159" s="27"/>
      <c r="B159" s="1"/>
      <c r="C159" s="1"/>
      <c r="D159" s="1"/>
      <c r="E159" s="1"/>
      <c r="F159" s="1"/>
      <c r="G159" s="31"/>
      <c r="H159" s="28"/>
      <c r="I159" s="29"/>
      <c r="J159" s="20" t="str">
        <f aca="false">IF(D159="","",E159*H159)</f>
        <v/>
      </c>
      <c r="K159" s="20" t="str">
        <f aca="false">IF(D159="","",J159*I159)</f>
        <v/>
      </c>
      <c r="L159" s="20" t="str">
        <f aca="false">IF(D159="","",J159+K159)</f>
        <v/>
      </c>
    </row>
    <row r="160" customFormat="false" ht="15" hidden="false" customHeight="false" outlineLevel="0" collapsed="false">
      <c r="A160" s="27"/>
      <c r="B160" s="1"/>
      <c r="C160" s="1"/>
      <c r="D160" s="1"/>
      <c r="E160" s="1"/>
      <c r="F160" s="1"/>
      <c r="G160" s="31"/>
      <c r="H160" s="28"/>
      <c r="I160" s="29"/>
      <c r="J160" s="20" t="str">
        <f aca="false">IF(D160="","",E160*H160)</f>
        <v/>
      </c>
      <c r="K160" s="20" t="str">
        <f aca="false">IF(D160="","",J160*I160)</f>
        <v/>
      </c>
      <c r="L160" s="20" t="str">
        <f aca="false">IF(D160="","",J160+K160)</f>
        <v/>
      </c>
    </row>
    <row r="161" customFormat="false" ht="15" hidden="false" customHeight="false" outlineLevel="0" collapsed="false">
      <c r="A161" s="27"/>
      <c r="B161" s="1"/>
      <c r="C161" s="1"/>
      <c r="D161" s="1"/>
      <c r="E161" s="1"/>
      <c r="F161" s="1"/>
      <c r="G161" s="31"/>
      <c r="H161" s="28"/>
      <c r="I161" s="29"/>
      <c r="J161" s="20" t="str">
        <f aca="false">IF(D161="","",E161*H161)</f>
        <v/>
      </c>
      <c r="K161" s="20" t="str">
        <f aca="false">IF(D161="","",J161*I161)</f>
        <v/>
      </c>
      <c r="L161" s="20" t="str">
        <f aca="false">IF(D161="","",J161+K161)</f>
        <v/>
      </c>
    </row>
    <row r="162" customFormat="false" ht="15" hidden="false" customHeight="false" outlineLevel="0" collapsed="false">
      <c r="A162" s="27"/>
      <c r="B162" s="1"/>
      <c r="C162" s="1"/>
      <c r="D162" s="1"/>
      <c r="E162" s="1"/>
      <c r="F162" s="1"/>
      <c r="G162" s="31"/>
      <c r="H162" s="28"/>
      <c r="I162" s="29"/>
      <c r="J162" s="20" t="str">
        <f aca="false">IF(D162="","",E162*H162)</f>
        <v/>
      </c>
      <c r="K162" s="20" t="str">
        <f aca="false">IF(D162="","",J162*I162)</f>
        <v/>
      </c>
      <c r="L162" s="20" t="str">
        <f aca="false">IF(D162="","",J162+K162)</f>
        <v/>
      </c>
    </row>
    <row r="163" customFormat="false" ht="15" hidden="false" customHeight="false" outlineLevel="0" collapsed="false">
      <c r="A163" s="27"/>
      <c r="B163" s="1"/>
      <c r="C163" s="1"/>
      <c r="D163" s="1"/>
      <c r="E163" s="1"/>
      <c r="F163" s="1"/>
      <c r="G163" s="31"/>
      <c r="H163" s="28"/>
      <c r="I163" s="29"/>
      <c r="J163" s="20" t="str">
        <f aca="false">IF(D163="","",E163*H163)</f>
        <v/>
      </c>
      <c r="K163" s="20" t="str">
        <f aca="false">IF(D163="","",J163*I163)</f>
        <v/>
      </c>
      <c r="L163" s="20" t="str">
        <f aca="false">IF(D163="","",J163+K163)</f>
        <v/>
      </c>
    </row>
    <row r="164" customFormat="false" ht="15" hidden="false" customHeight="false" outlineLevel="0" collapsed="false">
      <c r="A164" s="27"/>
      <c r="B164" s="1"/>
      <c r="C164" s="1"/>
      <c r="D164" s="1"/>
      <c r="E164" s="1"/>
      <c r="F164" s="1"/>
      <c r="G164" s="31"/>
      <c r="H164" s="28"/>
      <c r="I164" s="29"/>
      <c r="J164" s="20" t="str">
        <f aca="false">IF(D164="","",E164*H164)</f>
        <v/>
      </c>
      <c r="K164" s="20" t="str">
        <f aca="false">IF(D164="","",J164*I164)</f>
        <v/>
      </c>
      <c r="L164" s="20" t="str">
        <f aca="false">IF(D164="","",J164+K164)</f>
        <v/>
      </c>
    </row>
    <row r="165" customFormat="false" ht="15" hidden="false" customHeight="false" outlineLevel="0" collapsed="false">
      <c r="A165" s="27"/>
      <c r="B165" s="1"/>
      <c r="C165" s="1"/>
      <c r="D165" s="1"/>
      <c r="E165" s="1"/>
      <c r="F165" s="1"/>
      <c r="G165" s="31"/>
      <c r="H165" s="28"/>
      <c r="I165" s="29"/>
      <c r="J165" s="20" t="str">
        <f aca="false">IF(D165="","",E165*H165)</f>
        <v/>
      </c>
      <c r="K165" s="20" t="str">
        <f aca="false">IF(D165="","",J165*I165)</f>
        <v/>
      </c>
      <c r="L165" s="20" t="str">
        <f aca="false">IF(D165="","",J165+K165)</f>
        <v/>
      </c>
    </row>
    <row r="166" customFormat="false" ht="15" hidden="false" customHeight="false" outlineLevel="0" collapsed="false">
      <c r="A166" s="27"/>
      <c r="B166" s="1"/>
      <c r="C166" s="1"/>
      <c r="D166" s="1"/>
      <c r="E166" s="1"/>
      <c r="F166" s="1"/>
      <c r="G166" s="31"/>
      <c r="H166" s="28"/>
      <c r="I166" s="29"/>
      <c r="J166" s="20" t="str">
        <f aca="false">IF(D166="","",E166*H166)</f>
        <v/>
      </c>
      <c r="K166" s="20" t="str">
        <f aca="false">IF(D166="","",J166*I166)</f>
        <v/>
      </c>
      <c r="L166" s="20" t="str">
        <f aca="false">IF(D166="","",J166+K166)</f>
        <v/>
      </c>
    </row>
    <row r="167" customFormat="false" ht="15" hidden="false" customHeight="false" outlineLevel="0" collapsed="false">
      <c r="A167" s="27"/>
      <c r="B167" s="1"/>
      <c r="C167" s="1"/>
      <c r="D167" s="1"/>
      <c r="E167" s="1"/>
      <c r="F167" s="1"/>
      <c r="G167" s="31"/>
      <c r="H167" s="28"/>
      <c r="I167" s="29"/>
      <c r="J167" s="20" t="str">
        <f aca="false">IF(D167="","",E167*H167)</f>
        <v/>
      </c>
      <c r="K167" s="20" t="str">
        <f aca="false">IF(D167="","",J167*I167)</f>
        <v/>
      </c>
      <c r="L167" s="20" t="str">
        <f aca="false">IF(D167="","",J167+K167)</f>
        <v/>
      </c>
    </row>
    <row r="168" customFormat="false" ht="15" hidden="false" customHeight="false" outlineLevel="0" collapsed="false">
      <c r="A168" s="27"/>
      <c r="B168" s="1"/>
      <c r="C168" s="1"/>
      <c r="D168" s="1"/>
      <c r="E168" s="1"/>
      <c r="F168" s="1"/>
      <c r="G168" s="31"/>
      <c r="H168" s="28"/>
      <c r="I168" s="29"/>
      <c r="J168" s="20" t="str">
        <f aca="false">IF(D168="","",E168*H168)</f>
        <v/>
      </c>
      <c r="K168" s="20" t="str">
        <f aca="false">IF(D168="","",J168*I168)</f>
        <v/>
      </c>
      <c r="L168" s="20" t="str">
        <f aca="false">IF(D168="","",J168+K168)</f>
        <v/>
      </c>
    </row>
    <row r="169" customFormat="false" ht="15" hidden="false" customHeight="false" outlineLevel="0" collapsed="false">
      <c r="A169" s="27"/>
      <c r="B169" s="1"/>
      <c r="C169" s="1"/>
      <c r="D169" s="1"/>
      <c r="E169" s="1"/>
      <c r="F169" s="1"/>
      <c r="G169" s="31"/>
      <c r="H169" s="28"/>
      <c r="I169" s="29"/>
      <c r="J169" s="20" t="str">
        <f aca="false">IF(D169="","",E169*H169)</f>
        <v/>
      </c>
      <c r="K169" s="20" t="str">
        <f aca="false">IF(D169="","",J169*I169)</f>
        <v/>
      </c>
      <c r="L169" s="20" t="str">
        <f aca="false">IF(D169="","",J169+K169)</f>
        <v/>
      </c>
    </row>
    <row r="170" customFormat="false" ht="15" hidden="false" customHeight="false" outlineLevel="0" collapsed="false">
      <c r="A170" s="27"/>
      <c r="B170" s="1"/>
      <c r="C170" s="1"/>
      <c r="D170" s="1"/>
      <c r="E170" s="1"/>
      <c r="F170" s="1"/>
      <c r="G170" s="31"/>
      <c r="H170" s="28"/>
      <c r="I170" s="29"/>
      <c r="J170" s="20" t="str">
        <f aca="false">IF(D170="","",E170*H170)</f>
        <v/>
      </c>
      <c r="K170" s="20" t="str">
        <f aca="false">IF(D170="","",J170*I170)</f>
        <v/>
      </c>
      <c r="L170" s="20" t="str">
        <f aca="false">IF(D170="","",J170+K170)</f>
        <v/>
      </c>
    </row>
    <row r="171" customFormat="false" ht="15" hidden="false" customHeight="false" outlineLevel="0" collapsed="false">
      <c r="A171" s="27"/>
      <c r="B171" s="1"/>
      <c r="C171" s="1"/>
      <c r="D171" s="1"/>
      <c r="E171" s="1"/>
      <c r="F171" s="1"/>
      <c r="G171" s="31"/>
      <c r="H171" s="28"/>
      <c r="I171" s="29"/>
      <c r="J171" s="20" t="str">
        <f aca="false">IF(D171="","",E171*H171)</f>
        <v/>
      </c>
      <c r="K171" s="20" t="str">
        <f aca="false">IF(D171="","",J171*I171)</f>
        <v/>
      </c>
      <c r="L171" s="20" t="str">
        <f aca="false">IF(D171="","",J171+K171)</f>
        <v/>
      </c>
    </row>
    <row r="172" customFormat="false" ht="15" hidden="false" customHeight="false" outlineLevel="0" collapsed="false">
      <c r="A172" s="27"/>
      <c r="B172" s="1"/>
      <c r="C172" s="1"/>
      <c r="D172" s="1"/>
      <c r="E172" s="1"/>
      <c r="F172" s="1"/>
      <c r="G172" s="31"/>
      <c r="H172" s="28"/>
      <c r="I172" s="29"/>
      <c r="J172" s="20" t="str">
        <f aca="false">IF(D172="","",E172*H172)</f>
        <v/>
      </c>
      <c r="K172" s="20" t="str">
        <f aca="false">IF(D172="","",J172*I172)</f>
        <v/>
      </c>
      <c r="L172" s="20" t="str">
        <f aca="false">IF(D172="","",J172+K172)</f>
        <v/>
      </c>
    </row>
    <row r="173" customFormat="false" ht="15" hidden="false" customHeight="false" outlineLevel="0" collapsed="false">
      <c r="A173" s="27"/>
      <c r="B173" s="1"/>
      <c r="C173" s="1"/>
      <c r="D173" s="1"/>
      <c r="E173" s="1"/>
      <c r="F173" s="1"/>
      <c r="G173" s="31"/>
      <c r="H173" s="28"/>
      <c r="I173" s="29"/>
      <c r="J173" s="20" t="str">
        <f aca="false">IF(D173="","",E173*H173)</f>
        <v/>
      </c>
      <c r="K173" s="20" t="str">
        <f aca="false">IF(D173="","",J173*I173)</f>
        <v/>
      </c>
      <c r="L173" s="20" t="str">
        <f aca="false">IF(D173="","",J173+K173)</f>
        <v/>
      </c>
    </row>
    <row r="174" customFormat="false" ht="15" hidden="false" customHeight="false" outlineLevel="0" collapsed="false">
      <c r="A174" s="27"/>
      <c r="B174" s="1"/>
      <c r="C174" s="1"/>
      <c r="D174" s="1"/>
      <c r="E174" s="1"/>
      <c r="F174" s="1"/>
      <c r="G174" s="31"/>
      <c r="H174" s="28"/>
      <c r="I174" s="29"/>
      <c r="J174" s="20" t="str">
        <f aca="false">IF(D174="","",E174*H174)</f>
        <v/>
      </c>
      <c r="K174" s="20" t="str">
        <f aca="false">IF(D174="","",J174*I174)</f>
        <v/>
      </c>
      <c r="L174" s="20" t="str">
        <f aca="false">IF(D174="","",J174+K174)</f>
        <v/>
      </c>
    </row>
    <row r="175" customFormat="false" ht="15" hidden="false" customHeight="false" outlineLevel="0" collapsed="false">
      <c r="A175" s="27"/>
      <c r="B175" s="1"/>
      <c r="C175" s="1"/>
      <c r="D175" s="1"/>
      <c r="E175" s="1"/>
      <c r="F175" s="1"/>
      <c r="G175" s="31"/>
      <c r="H175" s="28"/>
      <c r="I175" s="29"/>
      <c r="J175" s="20" t="str">
        <f aca="false">IF(D175="","",E175*H175)</f>
        <v/>
      </c>
      <c r="K175" s="20" t="str">
        <f aca="false">IF(D175="","",J175*I175)</f>
        <v/>
      </c>
      <c r="L175" s="20" t="str">
        <f aca="false">IF(D175="","",J175+K175)</f>
        <v/>
      </c>
    </row>
    <row r="176" customFormat="false" ht="15" hidden="false" customHeight="false" outlineLevel="0" collapsed="false">
      <c r="A176" s="27"/>
      <c r="B176" s="1"/>
      <c r="C176" s="1"/>
      <c r="D176" s="1"/>
      <c r="E176" s="1"/>
      <c r="F176" s="1"/>
      <c r="G176" s="31"/>
      <c r="H176" s="28"/>
      <c r="I176" s="29"/>
      <c r="J176" s="20" t="str">
        <f aca="false">IF(D176="","",E176*H176)</f>
        <v/>
      </c>
      <c r="K176" s="20" t="str">
        <f aca="false">IF(D176="","",J176*I176)</f>
        <v/>
      </c>
      <c r="L176" s="20" t="str">
        <f aca="false">IF(D176="","",J176+K176)</f>
        <v/>
      </c>
    </row>
    <row r="177" customFormat="false" ht="15" hidden="false" customHeight="false" outlineLevel="0" collapsed="false">
      <c r="A177" s="27"/>
      <c r="B177" s="1"/>
      <c r="C177" s="1"/>
      <c r="D177" s="1"/>
      <c r="E177" s="1"/>
      <c r="F177" s="1"/>
      <c r="G177" s="31"/>
      <c r="H177" s="28"/>
      <c r="I177" s="29"/>
      <c r="J177" s="20" t="str">
        <f aca="false">IF(D177="","",E177*H177)</f>
        <v/>
      </c>
      <c r="K177" s="20" t="str">
        <f aca="false">IF(D177="","",J177*I177)</f>
        <v/>
      </c>
      <c r="L177" s="20" t="str">
        <f aca="false">IF(D177="","",J177+K177)</f>
        <v/>
      </c>
    </row>
    <row r="178" customFormat="false" ht="15" hidden="false" customHeight="false" outlineLevel="0" collapsed="false">
      <c r="A178" s="27"/>
      <c r="B178" s="1"/>
      <c r="C178" s="1"/>
      <c r="D178" s="1"/>
      <c r="E178" s="1"/>
      <c r="F178" s="1"/>
      <c r="G178" s="31"/>
      <c r="H178" s="28"/>
      <c r="I178" s="29"/>
      <c r="J178" s="20" t="str">
        <f aca="false">IF(D178="","",E178*H178)</f>
        <v/>
      </c>
      <c r="K178" s="20" t="str">
        <f aca="false">IF(D178="","",J178*I178)</f>
        <v/>
      </c>
      <c r="L178" s="20" t="str">
        <f aca="false">IF(D178="","",J178+K178)</f>
        <v/>
      </c>
    </row>
    <row r="179" customFormat="false" ht="15" hidden="false" customHeight="false" outlineLevel="0" collapsed="false">
      <c r="A179" s="27"/>
      <c r="B179" s="1"/>
      <c r="C179" s="1"/>
      <c r="D179" s="1"/>
      <c r="E179" s="1"/>
      <c r="F179" s="1"/>
      <c r="G179" s="31"/>
      <c r="H179" s="28"/>
      <c r="I179" s="29"/>
      <c r="J179" s="20" t="str">
        <f aca="false">IF(D179="","",E179*H179)</f>
        <v/>
      </c>
      <c r="K179" s="20" t="str">
        <f aca="false">IF(D179="","",J179*I179)</f>
        <v/>
      </c>
      <c r="L179" s="20" t="str">
        <f aca="false">IF(D179="","",J179+K179)</f>
        <v/>
      </c>
    </row>
    <row r="180" customFormat="false" ht="15" hidden="false" customHeight="false" outlineLevel="0" collapsed="false">
      <c r="A180" s="27"/>
      <c r="B180" s="1"/>
      <c r="C180" s="1"/>
      <c r="D180" s="1"/>
      <c r="E180" s="1"/>
      <c r="F180" s="1"/>
      <c r="G180" s="31"/>
      <c r="H180" s="28"/>
      <c r="I180" s="29"/>
      <c r="J180" s="20" t="str">
        <f aca="false">IF(D180="","",E180*H180)</f>
        <v/>
      </c>
      <c r="K180" s="20" t="str">
        <f aca="false">IF(D180="","",J180*I180)</f>
        <v/>
      </c>
      <c r="L180" s="20" t="str">
        <f aca="false">IF(D180="","",J180+K180)</f>
        <v/>
      </c>
    </row>
    <row r="181" customFormat="false" ht="15" hidden="false" customHeight="false" outlineLevel="0" collapsed="false">
      <c r="A181" s="27"/>
      <c r="B181" s="1"/>
      <c r="C181" s="1"/>
      <c r="D181" s="1"/>
      <c r="E181" s="1"/>
      <c r="F181" s="1"/>
      <c r="G181" s="31"/>
      <c r="H181" s="28"/>
      <c r="I181" s="29"/>
      <c r="J181" s="20" t="str">
        <f aca="false">IF(D181="","",E181*H181)</f>
        <v/>
      </c>
      <c r="K181" s="20" t="str">
        <f aca="false">IF(D181="","",J181*I181)</f>
        <v/>
      </c>
      <c r="L181" s="20" t="str">
        <f aca="false">IF(D181="","",J181+K181)</f>
        <v/>
      </c>
    </row>
    <row r="182" customFormat="false" ht="15" hidden="false" customHeight="false" outlineLevel="0" collapsed="false">
      <c r="A182" s="27"/>
      <c r="B182" s="1"/>
      <c r="C182" s="1"/>
      <c r="D182" s="1"/>
      <c r="E182" s="1"/>
      <c r="F182" s="1"/>
      <c r="G182" s="31"/>
      <c r="H182" s="28"/>
      <c r="I182" s="29"/>
      <c r="J182" s="20" t="str">
        <f aca="false">IF(D182="","",E182*H182)</f>
        <v/>
      </c>
      <c r="K182" s="20" t="str">
        <f aca="false">IF(D182="","",J182*I182)</f>
        <v/>
      </c>
      <c r="L182" s="20" t="str">
        <f aca="false">IF(D182="","",J182+K182)</f>
        <v/>
      </c>
    </row>
    <row r="183" customFormat="false" ht="15" hidden="false" customHeight="false" outlineLevel="0" collapsed="false">
      <c r="A183" s="27"/>
      <c r="B183" s="1"/>
      <c r="C183" s="1"/>
      <c r="D183" s="1"/>
      <c r="E183" s="1"/>
      <c r="F183" s="1"/>
      <c r="G183" s="31"/>
      <c r="H183" s="28"/>
      <c r="I183" s="29"/>
      <c r="J183" s="20" t="str">
        <f aca="false">IF(D183="","",E183*H183)</f>
        <v/>
      </c>
      <c r="K183" s="20" t="str">
        <f aca="false">IF(D183="","",J183*I183)</f>
        <v/>
      </c>
      <c r="L183" s="20" t="str">
        <f aca="false">IF(D183="","",J183+K183)</f>
        <v/>
      </c>
    </row>
    <row r="184" customFormat="false" ht="15" hidden="false" customHeight="false" outlineLevel="0" collapsed="false">
      <c r="A184" s="27"/>
      <c r="B184" s="1"/>
      <c r="C184" s="1"/>
      <c r="D184" s="1"/>
      <c r="E184" s="1"/>
      <c r="F184" s="1"/>
      <c r="G184" s="31"/>
      <c r="H184" s="28"/>
      <c r="I184" s="29"/>
      <c r="J184" s="20" t="str">
        <f aca="false">IF(D184="","",E184*H184)</f>
        <v/>
      </c>
      <c r="K184" s="20" t="str">
        <f aca="false">IF(D184="","",J184*I184)</f>
        <v/>
      </c>
      <c r="L184" s="20" t="str">
        <f aca="false">IF(D184="","",J184+K184)</f>
        <v/>
      </c>
    </row>
    <row r="185" customFormat="false" ht="15" hidden="false" customHeight="false" outlineLevel="0" collapsed="false">
      <c r="A185" s="27"/>
      <c r="B185" s="1"/>
      <c r="C185" s="1"/>
      <c r="D185" s="1"/>
      <c r="E185" s="1"/>
      <c r="F185" s="1"/>
      <c r="G185" s="31"/>
      <c r="H185" s="28"/>
      <c r="I185" s="29"/>
      <c r="J185" s="20" t="str">
        <f aca="false">IF(D185="","",E185*H185)</f>
        <v/>
      </c>
      <c r="K185" s="20" t="str">
        <f aca="false">IF(D185="","",J185*I185)</f>
        <v/>
      </c>
      <c r="L185" s="20" t="str">
        <f aca="false">IF(D185="","",J185+K185)</f>
        <v/>
      </c>
    </row>
    <row r="186" customFormat="false" ht="15" hidden="false" customHeight="false" outlineLevel="0" collapsed="false">
      <c r="A186" s="27"/>
      <c r="B186" s="1"/>
      <c r="C186" s="1"/>
      <c r="D186" s="1"/>
      <c r="E186" s="1"/>
      <c r="F186" s="1"/>
      <c r="G186" s="31"/>
      <c r="H186" s="28"/>
      <c r="I186" s="29"/>
      <c r="J186" s="20" t="str">
        <f aca="false">IF(D186="","",E186*H186)</f>
        <v/>
      </c>
      <c r="K186" s="20" t="str">
        <f aca="false">IF(D186="","",J186*I186)</f>
        <v/>
      </c>
      <c r="L186" s="20" t="str">
        <f aca="false">IF(D186="","",J186+K186)</f>
        <v/>
      </c>
    </row>
    <row r="187" customFormat="false" ht="15" hidden="false" customHeight="false" outlineLevel="0" collapsed="false">
      <c r="A187" s="27"/>
      <c r="B187" s="1"/>
      <c r="C187" s="1"/>
      <c r="D187" s="1"/>
      <c r="E187" s="1"/>
      <c r="F187" s="1"/>
      <c r="G187" s="31"/>
      <c r="H187" s="28"/>
      <c r="I187" s="29"/>
      <c r="J187" s="20" t="str">
        <f aca="false">IF(D187="","",E187*H187)</f>
        <v/>
      </c>
      <c r="K187" s="20" t="str">
        <f aca="false">IF(D187="","",J187*I187)</f>
        <v/>
      </c>
      <c r="L187" s="20" t="str">
        <f aca="false">IF(D187="","",J187+K187)</f>
        <v/>
      </c>
    </row>
    <row r="188" customFormat="false" ht="15" hidden="false" customHeight="false" outlineLevel="0" collapsed="false">
      <c r="A188" s="27"/>
      <c r="B188" s="1"/>
      <c r="C188" s="1"/>
      <c r="D188" s="1"/>
      <c r="E188" s="1"/>
      <c r="F188" s="1"/>
      <c r="G188" s="31"/>
      <c r="H188" s="28"/>
      <c r="I188" s="29"/>
      <c r="J188" s="20" t="str">
        <f aca="false">IF(D188="","",E188*H188)</f>
        <v/>
      </c>
      <c r="K188" s="20" t="str">
        <f aca="false">IF(D188="","",J188*I188)</f>
        <v/>
      </c>
      <c r="L188" s="20" t="str">
        <f aca="false">IF(D188="","",J188+K188)</f>
        <v/>
      </c>
    </row>
    <row r="189" customFormat="false" ht="15" hidden="false" customHeight="false" outlineLevel="0" collapsed="false">
      <c r="A189" s="27"/>
      <c r="B189" s="1"/>
      <c r="C189" s="1"/>
      <c r="D189" s="1"/>
      <c r="E189" s="1"/>
      <c r="F189" s="1"/>
      <c r="G189" s="31"/>
      <c r="H189" s="28"/>
      <c r="I189" s="29"/>
      <c r="J189" s="20" t="str">
        <f aca="false">IF(D189="","",E189*H189)</f>
        <v/>
      </c>
      <c r="K189" s="20" t="str">
        <f aca="false">IF(D189="","",J189*I189)</f>
        <v/>
      </c>
      <c r="L189" s="20" t="str">
        <f aca="false">IF(D189="","",J189+K189)</f>
        <v/>
      </c>
    </row>
    <row r="190" customFormat="false" ht="15" hidden="false" customHeight="false" outlineLevel="0" collapsed="false">
      <c r="A190" s="27"/>
      <c r="B190" s="1"/>
      <c r="C190" s="1"/>
      <c r="D190" s="1"/>
      <c r="E190" s="1"/>
      <c r="F190" s="1"/>
      <c r="G190" s="31"/>
      <c r="H190" s="28"/>
      <c r="I190" s="29"/>
      <c r="J190" s="20" t="str">
        <f aca="false">IF(D190="","",E190*H190)</f>
        <v/>
      </c>
      <c r="K190" s="20" t="str">
        <f aca="false">IF(D190="","",J190*I190)</f>
        <v/>
      </c>
      <c r="L190" s="20" t="str">
        <f aca="false">IF(D190="","",J190+K190)</f>
        <v/>
      </c>
    </row>
    <row r="191" customFormat="false" ht="15" hidden="false" customHeight="false" outlineLevel="0" collapsed="false">
      <c r="A191" s="27"/>
      <c r="B191" s="1"/>
      <c r="C191" s="1"/>
      <c r="D191" s="1"/>
      <c r="E191" s="1"/>
      <c r="F191" s="1"/>
      <c r="G191" s="31"/>
      <c r="H191" s="28"/>
      <c r="I191" s="29"/>
      <c r="J191" s="20" t="str">
        <f aca="false">IF(D191="","",E191*H191)</f>
        <v/>
      </c>
      <c r="K191" s="20" t="str">
        <f aca="false">IF(D191="","",J191*I191)</f>
        <v/>
      </c>
      <c r="L191" s="20" t="str">
        <f aca="false">IF(D191="","",J191+K191)</f>
        <v/>
      </c>
    </row>
    <row r="192" customFormat="false" ht="15" hidden="false" customHeight="false" outlineLevel="0" collapsed="false">
      <c r="A192" s="27"/>
      <c r="B192" s="1"/>
      <c r="C192" s="1"/>
      <c r="D192" s="1"/>
      <c r="E192" s="1"/>
      <c r="F192" s="1"/>
      <c r="G192" s="31"/>
      <c r="H192" s="28"/>
      <c r="I192" s="29"/>
      <c r="J192" s="20" t="str">
        <f aca="false">IF(D192="","",E192*H192)</f>
        <v/>
      </c>
      <c r="K192" s="20" t="str">
        <f aca="false">IF(D192="","",J192*I192)</f>
        <v/>
      </c>
      <c r="L192" s="20" t="str">
        <f aca="false">IF(D192="","",J192+K192)</f>
        <v/>
      </c>
    </row>
    <row r="193" customFormat="false" ht="15" hidden="false" customHeight="false" outlineLevel="0" collapsed="false">
      <c r="A193" s="27"/>
      <c r="B193" s="1"/>
      <c r="C193" s="1"/>
      <c r="D193" s="1"/>
      <c r="E193" s="1"/>
      <c r="F193" s="1"/>
      <c r="G193" s="31"/>
      <c r="H193" s="28"/>
      <c r="I193" s="29"/>
      <c r="J193" s="20" t="str">
        <f aca="false">IF(D193="","",E193*H193)</f>
        <v/>
      </c>
      <c r="K193" s="20" t="str">
        <f aca="false">IF(D193="","",J193*I193)</f>
        <v/>
      </c>
      <c r="L193" s="20" t="str">
        <f aca="false">IF(D193="","",J193+K193)</f>
        <v/>
      </c>
    </row>
    <row r="194" customFormat="false" ht="15" hidden="false" customHeight="false" outlineLevel="0" collapsed="false">
      <c r="A194" s="27"/>
      <c r="B194" s="1"/>
      <c r="C194" s="1"/>
      <c r="D194" s="1"/>
      <c r="E194" s="1"/>
      <c r="F194" s="1"/>
      <c r="G194" s="31"/>
      <c r="H194" s="28"/>
      <c r="I194" s="29"/>
      <c r="J194" s="20" t="str">
        <f aca="false">IF(D194="","",E194*H194)</f>
        <v/>
      </c>
      <c r="K194" s="20" t="str">
        <f aca="false">IF(D194="","",J194*I194)</f>
        <v/>
      </c>
      <c r="L194" s="20" t="str">
        <f aca="false">IF(D194="","",J194+K194)</f>
        <v/>
      </c>
    </row>
    <row r="195" customFormat="false" ht="15" hidden="false" customHeight="false" outlineLevel="0" collapsed="false">
      <c r="A195" s="27"/>
      <c r="B195" s="1"/>
      <c r="C195" s="1"/>
      <c r="D195" s="1"/>
      <c r="E195" s="1"/>
      <c r="F195" s="1"/>
      <c r="G195" s="31"/>
      <c r="H195" s="28"/>
      <c r="I195" s="29"/>
      <c r="J195" s="20" t="str">
        <f aca="false">IF(D195="","",E195*H195)</f>
        <v/>
      </c>
      <c r="K195" s="20" t="str">
        <f aca="false">IF(D195="","",J195*I195)</f>
        <v/>
      </c>
      <c r="L195" s="20" t="str">
        <f aca="false">IF(D195="","",J195+K195)</f>
        <v/>
      </c>
    </row>
    <row r="196" customFormat="false" ht="15" hidden="false" customHeight="false" outlineLevel="0" collapsed="false">
      <c r="A196" s="27"/>
      <c r="B196" s="1"/>
      <c r="C196" s="1"/>
      <c r="D196" s="1"/>
      <c r="E196" s="1"/>
      <c r="F196" s="1"/>
      <c r="G196" s="31"/>
      <c r="H196" s="28"/>
      <c r="I196" s="29"/>
      <c r="J196" s="20" t="str">
        <f aca="false">IF(D196="","",E196*H196)</f>
        <v/>
      </c>
      <c r="K196" s="20" t="str">
        <f aca="false">IF(D196="","",J196*I196)</f>
        <v/>
      </c>
      <c r="L196" s="20" t="str">
        <f aca="false">IF(D196="","",J196+K196)</f>
        <v/>
      </c>
    </row>
    <row r="197" customFormat="false" ht="15" hidden="false" customHeight="false" outlineLevel="0" collapsed="false">
      <c r="A197" s="27"/>
      <c r="B197" s="1"/>
      <c r="C197" s="1"/>
      <c r="D197" s="1"/>
      <c r="E197" s="1"/>
      <c r="F197" s="1"/>
      <c r="G197" s="31"/>
      <c r="H197" s="28"/>
      <c r="I197" s="29"/>
      <c r="J197" s="20" t="str">
        <f aca="false">IF(D197="","",E197*H197)</f>
        <v/>
      </c>
      <c r="K197" s="20" t="str">
        <f aca="false">IF(D197="","",J197*I197)</f>
        <v/>
      </c>
      <c r="L197" s="20" t="str">
        <f aca="false">IF(D197="","",J197+K197)</f>
        <v/>
      </c>
    </row>
    <row r="198" customFormat="false" ht="15" hidden="false" customHeight="false" outlineLevel="0" collapsed="false">
      <c r="A198" s="27"/>
      <c r="B198" s="1"/>
      <c r="C198" s="1"/>
      <c r="D198" s="1"/>
      <c r="E198" s="1"/>
      <c r="F198" s="1"/>
      <c r="G198" s="31"/>
      <c r="H198" s="28"/>
      <c r="I198" s="29"/>
      <c r="J198" s="20" t="str">
        <f aca="false">IF(D198="","",E198*H198)</f>
        <v/>
      </c>
      <c r="K198" s="20" t="str">
        <f aca="false">IF(D198="","",J198*I198)</f>
        <v/>
      </c>
      <c r="L198" s="20" t="str">
        <f aca="false">IF(D198="","",J198+K198)</f>
        <v/>
      </c>
    </row>
    <row r="199" customFormat="false" ht="15" hidden="false" customHeight="false" outlineLevel="0" collapsed="false">
      <c r="A199" s="27"/>
      <c r="B199" s="1"/>
      <c r="C199" s="1"/>
      <c r="D199" s="1"/>
      <c r="E199" s="1"/>
      <c r="F199" s="1"/>
      <c r="G199" s="31"/>
      <c r="H199" s="28"/>
      <c r="I199" s="29"/>
      <c r="J199" s="20" t="str">
        <f aca="false">IF(D199="","",E199*H199)</f>
        <v/>
      </c>
      <c r="K199" s="20" t="str">
        <f aca="false">IF(D199="","",J199*I199)</f>
        <v/>
      </c>
      <c r="L199" s="20" t="str">
        <f aca="false">IF(D199="","",J199+K199)</f>
        <v/>
      </c>
    </row>
    <row r="200" customFormat="false" ht="15" hidden="false" customHeight="false" outlineLevel="0" collapsed="false">
      <c r="A200" s="27"/>
      <c r="B200" s="1"/>
      <c r="C200" s="1"/>
      <c r="D200" s="1"/>
      <c r="E200" s="1"/>
      <c r="F200" s="1"/>
      <c r="G200" s="31"/>
      <c r="H200" s="28"/>
      <c r="I200" s="29"/>
      <c r="J200" s="20" t="str">
        <f aca="false">IF(D200="","",E200*H200)</f>
        <v/>
      </c>
      <c r="K200" s="20" t="str">
        <f aca="false">IF(D200="","",J200*I200)</f>
        <v/>
      </c>
      <c r="L200" s="20" t="str">
        <f aca="false">IF(D200="","",J200+K200)</f>
        <v/>
      </c>
    </row>
    <row r="201" customFormat="false" ht="15" hidden="false" customHeight="false" outlineLevel="0" collapsed="false">
      <c r="A201" s="27"/>
      <c r="B201" s="1"/>
      <c r="C201" s="1"/>
      <c r="D201" s="1"/>
      <c r="E201" s="1"/>
      <c r="F201" s="1"/>
      <c r="G201" s="31"/>
      <c r="H201" s="28"/>
      <c r="I201" s="29"/>
      <c r="J201" s="20" t="str">
        <f aca="false">IF(D201="","",E201*H201)</f>
        <v/>
      </c>
      <c r="K201" s="20" t="str">
        <f aca="false">IF(D201="","",J201*I201)</f>
        <v/>
      </c>
      <c r="L201" s="20" t="str">
        <f aca="false">IF(D201="","",J201+K201)</f>
        <v/>
      </c>
    </row>
    <row r="202" customFormat="false" ht="15" hidden="false" customHeight="false" outlineLevel="0" collapsed="false">
      <c r="A202" s="27"/>
      <c r="B202" s="1"/>
      <c r="C202" s="1"/>
      <c r="D202" s="1"/>
      <c r="E202" s="1"/>
      <c r="F202" s="1"/>
      <c r="G202" s="31"/>
      <c r="H202" s="28"/>
      <c r="I202" s="29"/>
      <c r="J202" s="20" t="str">
        <f aca="false">IF(D202="","",E202*H202)</f>
        <v/>
      </c>
      <c r="K202" s="20" t="str">
        <f aca="false">IF(D202="","",J202*I202)</f>
        <v/>
      </c>
      <c r="L202" s="20" t="str">
        <f aca="false">IF(D202="","",J202+K202)</f>
        <v/>
      </c>
    </row>
    <row r="203" customFormat="false" ht="15" hidden="false" customHeight="false" outlineLevel="0" collapsed="false">
      <c r="A203" s="27"/>
      <c r="B203" s="1"/>
      <c r="C203" s="1"/>
      <c r="D203" s="1"/>
      <c r="E203" s="1"/>
      <c r="F203" s="1"/>
      <c r="G203" s="31"/>
      <c r="H203" s="28"/>
      <c r="I203" s="29"/>
      <c r="J203" s="20" t="str">
        <f aca="false">IF(D203="","",E203*H203)</f>
        <v/>
      </c>
      <c r="K203" s="20" t="str">
        <f aca="false">IF(D203="","",J203*I203)</f>
        <v/>
      </c>
      <c r="L203" s="20" t="str">
        <f aca="false">IF(D203="","",J203+K203)</f>
        <v/>
      </c>
    </row>
    <row r="204" customFormat="false" ht="15" hidden="false" customHeight="false" outlineLevel="0" collapsed="false">
      <c r="A204" s="27"/>
      <c r="B204" s="1"/>
      <c r="C204" s="1"/>
      <c r="D204" s="1"/>
      <c r="E204" s="1"/>
      <c r="F204" s="1"/>
      <c r="G204" s="31"/>
      <c r="H204" s="28"/>
      <c r="I204" s="29"/>
      <c r="J204" s="20" t="str">
        <f aca="false">IF(D204="","",E204*H204)</f>
        <v/>
      </c>
      <c r="K204" s="20" t="str">
        <f aca="false">IF(D204="","",J204*I204)</f>
        <v/>
      </c>
      <c r="L204" s="20" t="str">
        <f aca="false">IF(D204="","",J204+K204)</f>
        <v/>
      </c>
    </row>
    <row r="205" customFormat="false" ht="15" hidden="false" customHeight="false" outlineLevel="0" collapsed="false">
      <c r="A205" s="27"/>
      <c r="B205" s="1"/>
      <c r="C205" s="1"/>
      <c r="D205" s="1"/>
      <c r="E205" s="1"/>
      <c r="F205" s="1"/>
      <c r="G205" s="31"/>
      <c r="H205" s="28"/>
      <c r="I205" s="29"/>
      <c r="J205" s="20" t="str">
        <f aca="false">IF(D205="","",E205*H205)</f>
        <v/>
      </c>
      <c r="K205" s="20" t="str">
        <f aca="false">IF(D205="","",J205*I205)</f>
        <v/>
      </c>
      <c r="L205" s="20" t="str">
        <f aca="false">IF(D205="","",J205+K205)</f>
        <v/>
      </c>
    </row>
    <row r="206" customFormat="false" ht="15" hidden="false" customHeight="false" outlineLevel="0" collapsed="false">
      <c r="A206" s="27"/>
      <c r="B206" s="1"/>
      <c r="C206" s="1"/>
      <c r="D206" s="1"/>
      <c r="E206" s="1"/>
      <c r="F206" s="1"/>
      <c r="G206" s="31"/>
      <c r="H206" s="28"/>
      <c r="I206" s="29"/>
      <c r="J206" s="20" t="str">
        <f aca="false">IF(D206="","",E206*H206)</f>
        <v/>
      </c>
      <c r="K206" s="20" t="str">
        <f aca="false">IF(D206="","",J206*I206)</f>
        <v/>
      </c>
      <c r="L206" s="20" t="str">
        <f aca="false">IF(D206="","",J206+K206)</f>
        <v/>
      </c>
    </row>
    <row r="207" customFormat="false" ht="15" hidden="false" customHeight="false" outlineLevel="0" collapsed="false">
      <c r="A207" s="27"/>
      <c r="B207" s="1"/>
      <c r="C207" s="1"/>
      <c r="D207" s="1"/>
      <c r="E207" s="1"/>
      <c r="F207" s="1"/>
      <c r="G207" s="31"/>
      <c r="H207" s="28"/>
      <c r="I207" s="29"/>
      <c r="J207" s="20" t="str">
        <f aca="false">IF(D207="","",E207*H207)</f>
        <v/>
      </c>
      <c r="K207" s="20" t="str">
        <f aca="false">IF(D207="","",J207*I207)</f>
        <v/>
      </c>
      <c r="L207" s="20" t="str">
        <f aca="false">IF(D207="","",J207+K207)</f>
        <v/>
      </c>
    </row>
    <row r="208" customFormat="false" ht="15" hidden="false" customHeight="false" outlineLevel="0" collapsed="false">
      <c r="A208" s="27"/>
      <c r="B208" s="1"/>
      <c r="C208" s="1"/>
      <c r="D208" s="1"/>
      <c r="E208" s="1"/>
      <c r="F208" s="1"/>
      <c r="G208" s="31"/>
      <c r="H208" s="28"/>
      <c r="I208" s="29"/>
      <c r="J208" s="20" t="str">
        <f aca="false">IF(D208="","",E208*H208)</f>
        <v/>
      </c>
      <c r="K208" s="20" t="str">
        <f aca="false">IF(D208="","",J208*I208)</f>
        <v/>
      </c>
      <c r="L208" s="20" t="str">
        <f aca="false">IF(D208="","",J208+K208)</f>
        <v/>
      </c>
    </row>
    <row r="209" customFormat="false" ht="15" hidden="false" customHeight="false" outlineLevel="0" collapsed="false">
      <c r="A209" s="27"/>
      <c r="B209" s="1"/>
      <c r="C209" s="1"/>
      <c r="D209" s="1"/>
      <c r="E209" s="1"/>
      <c r="F209" s="1"/>
      <c r="G209" s="31"/>
      <c r="H209" s="28"/>
      <c r="I209" s="29"/>
      <c r="J209" s="20" t="str">
        <f aca="false">IF(D209="","",E209*H209)</f>
        <v/>
      </c>
      <c r="K209" s="20" t="str">
        <f aca="false">IF(D209="","",J209*I209)</f>
        <v/>
      </c>
      <c r="L209" s="20" t="str">
        <f aca="false">IF(D209="","",J209+K209)</f>
        <v/>
      </c>
    </row>
    <row r="210" customFormat="false" ht="15" hidden="false" customHeight="false" outlineLevel="0" collapsed="false">
      <c r="A210" s="27"/>
      <c r="B210" s="1"/>
      <c r="C210" s="1"/>
      <c r="D210" s="1"/>
      <c r="E210" s="1"/>
      <c r="F210" s="1"/>
      <c r="G210" s="31"/>
      <c r="H210" s="28"/>
      <c r="I210" s="29"/>
      <c r="J210" s="20" t="str">
        <f aca="false">IF(D210="","",E210*H210)</f>
        <v/>
      </c>
      <c r="K210" s="20" t="str">
        <f aca="false">IF(D210="","",J210*I210)</f>
        <v/>
      </c>
      <c r="L210" s="20" t="str">
        <f aca="false">IF(D210="","",J210+K210)</f>
        <v/>
      </c>
    </row>
    <row r="211" customFormat="false" ht="15" hidden="false" customHeight="false" outlineLevel="0" collapsed="false">
      <c r="A211" s="27"/>
      <c r="B211" s="1"/>
      <c r="C211" s="1"/>
      <c r="D211" s="1"/>
      <c r="E211" s="1"/>
      <c r="F211" s="1"/>
      <c r="G211" s="31"/>
      <c r="H211" s="28"/>
      <c r="I211" s="29"/>
      <c r="J211" s="20" t="str">
        <f aca="false">IF(D211="","",E211*H211)</f>
        <v/>
      </c>
      <c r="K211" s="20" t="str">
        <f aca="false">IF(D211="","",J211*I211)</f>
        <v/>
      </c>
      <c r="L211" s="20" t="str">
        <f aca="false">IF(D211="","",J211+K211)</f>
        <v/>
      </c>
    </row>
    <row r="212" customFormat="false" ht="15" hidden="false" customHeight="false" outlineLevel="0" collapsed="false">
      <c r="A212" s="27"/>
      <c r="B212" s="1"/>
      <c r="C212" s="1"/>
      <c r="D212" s="1"/>
      <c r="E212" s="1"/>
      <c r="F212" s="1"/>
      <c r="G212" s="31"/>
      <c r="H212" s="28"/>
      <c r="I212" s="29"/>
      <c r="J212" s="20" t="str">
        <f aca="false">IF(D212="","",E212*H212)</f>
        <v/>
      </c>
      <c r="K212" s="20" t="str">
        <f aca="false">IF(D212="","",J212*I212)</f>
        <v/>
      </c>
      <c r="L212" s="20" t="str">
        <f aca="false">IF(D212="","",J212+K212)</f>
        <v/>
      </c>
    </row>
    <row r="213" customFormat="false" ht="15" hidden="false" customHeight="false" outlineLevel="0" collapsed="false">
      <c r="A213" s="27"/>
      <c r="B213" s="1"/>
      <c r="C213" s="1"/>
      <c r="D213" s="1"/>
      <c r="E213" s="1"/>
      <c r="F213" s="1"/>
      <c r="G213" s="31"/>
      <c r="H213" s="28"/>
      <c r="I213" s="29"/>
      <c r="J213" s="20" t="str">
        <f aca="false">IF(D213="","",E213*H213)</f>
        <v/>
      </c>
      <c r="K213" s="20" t="str">
        <f aca="false">IF(D213="","",J213*I213)</f>
        <v/>
      </c>
      <c r="L213" s="20" t="str">
        <f aca="false">IF(D213="","",J213+K213)</f>
        <v/>
      </c>
    </row>
    <row r="214" customFormat="false" ht="15" hidden="false" customHeight="false" outlineLevel="0" collapsed="false">
      <c r="A214" s="27"/>
      <c r="B214" s="1"/>
      <c r="C214" s="1"/>
      <c r="D214" s="1"/>
      <c r="E214" s="1"/>
      <c r="F214" s="1"/>
      <c r="G214" s="31"/>
      <c r="H214" s="28"/>
      <c r="I214" s="29"/>
      <c r="J214" s="20" t="str">
        <f aca="false">IF(D214="","",E214*H214)</f>
        <v/>
      </c>
      <c r="K214" s="20" t="str">
        <f aca="false">IF(D214="","",J214*I214)</f>
        <v/>
      </c>
      <c r="L214" s="20" t="str">
        <f aca="false">IF(D214="","",J214+K214)</f>
        <v/>
      </c>
    </row>
    <row r="215" customFormat="false" ht="15" hidden="false" customHeight="false" outlineLevel="0" collapsed="false">
      <c r="A215" s="27"/>
      <c r="B215" s="1"/>
      <c r="C215" s="1"/>
      <c r="D215" s="1"/>
      <c r="E215" s="1"/>
      <c r="F215" s="1"/>
      <c r="G215" s="31"/>
      <c r="H215" s="28"/>
      <c r="I215" s="29"/>
      <c r="J215" s="20" t="str">
        <f aca="false">IF(D215="","",E215*H215)</f>
        <v/>
      </c>
      <c r="K215" s="20" t="str">
        <f aca="false">IF(D215="","",J215*I215)</f>
        <v/>
      </c>
      <c r="L215" s="20" t="str">
        <f aca="false">IF(D215="","",J215+K215)</f>
        <v/>
      </c>
    </row>
    <row r="216" customFormat="false" ht="15" hidden="false" customHeight="false" outlineLevel="0" collapsed="false">
      <c r="A216" s="27"/>
      <c r="B216" s="1"/>
      <c r="C216" s="1"/>
      <c r="D216" s="1"/>
      <c r="E216" s="1"/>
      <c r="F216" s="1"/>
      <c r="G216" s="31"/>
      <c r="H216" s="28"/>
      <c r="I216" s="29"/>
      <c r="J216" s="20" t="str">
        <f aca="false">IF(D216="","",E216*H216)</f>
        <v/>
      </c>
      <c r="K216" s="20" t="str">
        <f aca="false">IF(D216="","",J216*I216)</f>
        <v/>
      </c>
      <c r="L216" s="20" t="str">
        <f aca="false">IF(D216="","",J216+K216)</f>
        <v/>
      </c>
    </row>
    <row r="217" customFormat="false" ht="15" hidden="false" customHeight="false" outlineLevel="0" collapsed="false">
      <c r="A217" s="27"/>
      <c r="B217" s="1"/>
      <c r="C217" s="1"/>
      <c r="D217" s="1"/>
      <c r="E217" s="1"/>
      <c r="F217" s="1"/>
      <c r="G217" s="31"/>
      <c r="H217" s="28"/>
      <c r="I217" s="29"/>
      <c r="J217" s="20" t="str">
        <f aca="false">IF(D217="","",E217*H217)</f>
        <v/>
      </c>
      <c r="K217" s="20" t="str">
        <f aca="false">IF(D217="","",J217*I217)</f>
        <v/>
      </c>
      <c r="L217" s="20" t="str">
        <f aca="false">IF(D217="","",J217+K217)</f>
        <v/>
      </c>
    </row>
    <row r="218" customFormat="false" ht="15" hidden="false" customHeight="false" outlineLevel="0" collapsed="false">
      <c r="A218" s="27"/>
      <c r="B218" s="1"/>
      <c r="C218" s="1"/>
      <c r="D218" s="1"/>
      <c r="E218" s="1"/>
      <c r="F218" s="1"/>
      <c r="G218" s="31"/>
      <c r="H218" s="28"/>
      <c r="I218" s="29"/>
      <c r="J218" s="20" t="str">
        <f aca="false">IF(D218="","",E218*H218)</f>
        <v/>
      </c>
      <c r="K218" s="20" t="str">
        <f aca="false">IF(D218="","",J218*I218)</f>
        <v/>
      </c>
      <c r="L218" s="20" t="str">
        <f aca="false">IF(D218="","",J218+K218)</f>
        <v/>
      </c>
    </row>
    <row r="219" customFormat="false" ht="15" hidden="false" customHeight="false" outlineLevel="0" collapsed="false">
      <c r="A219" s="27"/>
      <c r="B219" s="1"/>
      <c r="C219" s="1"/>
      <c r="D219" s="1"/>
      <c r="E219" s="1"/>
      <c r="F219" s="1"/>
      <c r="G219" s="31"/>
      <c r="H219" s="28"/>
      <c r="I219" s="29"/>
      <c r="J219" s="20" t="str">
        <f aca="false">IF(D219="","",E219*H219)</f>
        <v/>
      </c>
      <c r="K219" s="20" t="str">
        <f aca="false">IF(D219="","",J219*I219)</f>
        <v/>
      </c>
      <c r="L219" s="20" t="str">
        <f aca="false">IF(D219="","",J219+K219)</f>
        <v/>
      </c>
    </row>
    <row r="220" customFormat="false" ht="15" hidden="false" customHeight="false" outlineLevel="0" collapsed="false">
      <c r="A220" s="27"/>
      <c r="B220" s="1"/>
      <c r="C220" s="1"/>
      <c r="D220" s="1"/>
      <c r="E220" s="1"/>
      <c r="F220" s="1"/>
      <c r="G220" s="31"/>
      <c r="H220" s="28"/>
      <c r="I220" s="29"/>
      <c r="J220" s="20" t="str">
        <f aca="false">IF(D220="","",E220*H220)</f>
        <v/>
      </c>
      <c r="K220" s="20" t="str">
        <f aca="false">IF(D220="","",J220*I220)</f>
        <v/>
      </c>
      <c r="L220" s="20" t="str">
        <f aca="false">IF(D220="","",J220+K220)</f>
        <v/>
      </c>
    </row>
    <row r="221" customFormat="false" ht="15" hidden="false" customHeight="false" outlineLevel="0" collapsed="false">
      <c r="A221" s="27"/>
      <c r="B221" s="1"/>
      <c r="C221" s="1"/>
      <c r="D221" s="1"/>
      <c r="E221" s="1"/>
      <c r="F221" s="1"/>
      <c r="G221" s="31"/>
      <c r="H221" s="28"/>
      <c r="I221" s="29"/>
      <c r="J221" s="20" t="str">
        <f aca="false">IF(D221="","",E221*H221)</f>
        <v/>
      </c>
      <c r="K221" s="20" t="str">
        <f aca="false">IF(D221="","",J221*I221)</f>
        <v/>
      </c>
      <c r="L221" s="20" t="str">
        <f aca="false">IF(D221="","",J221+K221)</f>
        <v/>
      </c>
    </row>
    <row r="222" customFormat="false" ht="15" hidden="false" customHeight="false" outlineLevel="0" collapsed="false">
      <c r="A222" s="27"/>
      <c r="B222" s="1"/>
      <c r="C222" s="1"/>
      <c r="D222" s="1"/>
      <c r="E222" s="1"/>
      <c r="F222" s="1"/>
      <c r="G222" s="31"/>
      <c r="H222" s="28"/>
      <c r="I222" s="29"/>
      <c r="J222" s="20" t="str">
        <f aca="false">IF(D222="","",E222*H222)</f>
        <v/>
      </c>
      <c r="K222" s="20" t="str">
        <f aca="false">IF(D222="","",J222*I222)</f>
        <v/>
      </c>
      <c r="L222" s="20" t="str">
        <f aca="false">IF(D222="","",J222+K222)</f>
        <v/>
      </c>
    </row>
    <row r="223" customFormat="false" ht="15" hidden="false" customHeight="false" outlineLevel="0" collapsed="false">
      <c r="A223" s="27"/>
      <c r="B223" s="1"/>
      <c r="C223" s="1"/>
      <c r="D223" s="1"/>
      <c r="E223" s="1"/>
      <c r="F223" s="1"/>
      <c r="G223" s="31"/>
      <c r="H223" s="28"/>
      <c r="I223" s="29"/>
      <c r="J223" s="20" t="str">
        <f aca="false">IF(D223="","",E223*H223)</f>
        <v/>
      </c>
      <c r="K223" s="20" t="str">
        <f aca="false">IF(D223="","",J223*I223)</f>
        <v/>
      </c>
      <c r="L223" s="20" t="str">
        <f aca="false">IF(D223="","",J223+K223)</f>
        <v/>
      </c>
    </row>
    <row r="224" customFormat="false" ht="15" hidden="false" customHeight="false" outlineLevel="0" collapsed="false">
      <c r="A224" s="27"/>
      <c r="B224" s="1"/>
      <c r="C224" s="1"/>
      <c r="D224" s="1"/>
      <c r="E224" s="1"/>
      <c r="F224" s="1"/>
      <c r="G224" s="31"/>
      <c r="H224" s="28"/>
      <c r="I224" s="29"/>
      <c r="J224" s="20" t="str">
        <f aca="false">IF(D224="","",E224*H224)</f>
        <v/>
      </c>
      <c r="K224" s="20" t="str">
        <f aca="false">IF(D224="","",J224*I224)</f>
        <v/>
      </c>
      <c r="L224" s="20" t="str">
        <f aca="false">IF(D224="","",J224+K224)</f>
        <v/>
      </c>
    </row>
    <row r="225" customFormat="false" ht="15" hidden="false" customHeight="false" outlineLevel="0" collapsed="false">
      <c r="A225" s="27"/>
      <c r="B225" s="1"/>
      <c r="C225" s="1"/>
      <c r="D225" s="1"/>
      <c r="E225" s="1"/>
      <c r="F225" s="1"/>
      <c r="G225" s="31"/>
      <c r="H225" s="28"/>
      <c r="I225" s="29"/>
      <c r="J225" s="20" t="str">
        <f aca="false">IF(D225="","",E225*H225)</f>
        <v/>
      </c>
      <c r="K225" s="20" t="str">
        <f aca="false">IF(D225="","",J225*I225)</f>
        <v/>
      </c>
      <c r="L225" s="20" t="str">
        <f aca="false">IF(D225="","",J225+K225)</f>
        <v/>
      </c>
    </row>
    <row r="226" customFormat="false" ht="15" hidden="false" customHeight="false" outlineLevel="0" collapsed="false">
      <c r="A226" s="27"/>
      <c r="B226" s="1"/>
      <c r="C226" s="1"/>
      <c r="D226" s="1"/>
      <c r="E226" s="1"/>
      <c r="F226" s="1"/>
      <c r="G226" s="31"/>
      <c r="H226" s="28"/>
      <c r="I226" s="29"/>
      <c r="J226" s="20" t="str">
        <f aca="false">IF(D226="","",E226*H226)</f>
        <v/>
      </c>
      <c r="K226" s="20" t="str">
        <f aca="false">IF(D226="","",J226*I226)</f>
        <v/>
      </c>
      <c r="L226" s="20" t="str">
        <f aca="false">IF(D226="","",J226+K226)</f>
        <v/>
      </c>
    </row>
    <row r="227" customFormat="false" ht="15" hidden="false" customHeight="false" outlineLevel="0" collapsed="false">
      <c r="A227" s="27"/>
      <c r="B227" s="1"/>
      <c r="C227" s="1"/>
      <c r="D227" s="1"/>
      <c r="E227" s="1"/>
      <c r="F227" s="1"/>
      <c r="G227" s="31"/>
      <c r="H227" s="28"/>
      <c r="I227" s="29"/>
      <c r="J227" s="20" t="str">
        <f aca="false">IF(D227="","",E227*H227)</f>
        <v/>
      </c>
      <c r="K227" s="20" t="str">
        <f aca="false">IF(D227="","",J227*I227)</f>
        <v/>
      </c>
      <c r="L227" s="20" t="str">
        <f aca="false">IF(D227="","",J227+K227)</f>
        <v/>
      </c>
    </row>
    <row r="228" customFormat="false" ht="15" hidden="false" customHeight="false" outlineLevel="0" collapsed="false">
      <c r="A228" s="27"/>
      <c r="B228" s="1"/>
      <c r="C228" s="1"/>
      <c r="D228" s="1"/>
      <c r="E228" s="1"/>
      <c r="F228" s="1"/>
      <c r="G228" s="31"/>
      <c r="H228" s="28"/>
      <c r="I228" s="29"/>
      <c r="J228" s="20" t="str">
        <f aca="false">IF(D228="","",E228*H228)</f>
        <v/>
      </c>
      <c r="K228" s="20" t="str">
        <f aca="false">IF(D228="","",J228*I228)</f>
        <v/>
      </c>
      <c r="L228" s="20" t="str">
        <f aca="false">IF(D228="","",J228+K228)</f>
        <v/>
      </c>
    </row>
    <row r="229" customFormat="false" ht="15" hidden="false" customHeight="false" outlineLevel="0" collapsed="false">
      <c r="A229" s="27"/>
      <c r="B229" s="1"/>
      <c r="C229" s="1"/>
      <c r="D229" s="1"/>
      <c r="E229" s="1"/>
      <c r="F229" s="1"/>
      <c r="G229" s="31"/>
      <c r="H229" s="28"/>
      <c r="I229" s="29"/>
      <c r="J229" s="20" t="str">
        <f aca="false">IF(D229="","",E229*H229)</f>
        <v/>
      </c>
      <c r="K229" s="20" t="str">
        <f aca="false">IF(D229="","",J229*I229)</f>
        <v/>
      </c>
      <c r="L229" s="20" t="str">
        <f aca="false">IF(D229="","",J229+K229)</f>
        <v/>
      </c>
    </row>
    <row r="230" customFormat="false" ht="15" hidden="false" customHeight="false" outlineLevel="0" collapsed="false">
      <c r="A230" s="27"/>
      <c r="B230" s="1"/>
      <c r="C230" s="1"/>
      <c r="D230" s="1"/>
      <c r="E230" s="1"/>
      <c r="F230" s="1"/>
      <c r="G230" s="31"/>
      <c r="H230" s="28"/>
      <c r="I230" s="29"/>
      <c r="J230" s="20" t="str">
        <f aca="false">IF(D230="","",E230*H230)</f>
        <v/>
      </c>
      <c r="K230" s="20" t="str">
        <f aca="false">IF(D230="","",J230*I230)</f>
        <v/>
      </c>
      <c r="L230" s="20" t="str">
        <f aca="false">IF(D230="","",J230+K230)</f>
        <v/>
      </c>
    </row>
    <row r="231" customFormat="false" ht="15" hidden="false" customHeight="false" outlineLevel="0" collapsed="false">
      <c r="A231" s="27"/>
      <c r="B231" s="1"/>
      <c r="C231" s="1"/>
      <c r="D231" s="1"/>
      <c r="E231" s="1"/>
      <c r="F231" s="1"/>
      <c r="G231" s="31"/>
      <c r="H231" s="28"/>
      <c r="I231" s="29"/>
      <c r="J231" s="20" t="str">
        <f aca="false">IF(D231="","",E231*H231)</f>
        <v/>
      </c>
      <c r="K231" s="20" t="str">
        <f aca="false">IF(D231="","",J231*I231)</f>
        <v/>
      </c>
      <c r="L231" s="20" t="str">
        <f aca="false">IF(D231="","",J231+K231)</f>
        <v/>
      </c>
    </row>
    <row r="232" customFormat="false" ht="15" hidden="false" customHeight="false" outlineLevel="0" collapsed="false">
      <c r="A232" s="27"/>
      <c r="B232" s="1"/>
      <c r="C232" s="1"/>
      <c r="D232" s="1"/>
      <c r="E232" s="1"/>
      <c r="F232" s="1"/>
      <c r="G232" s="31"/>
      <c r="H232" s="28"/>
      <c r="I232" s="29"/>
      <c r="J232" s="20" t="str">
        <f aca="false">IF(D232="","",E232*H232)</f>
        <v/>
      </c>
      <c r="K232" s="20" t="str">
        <f aca="false">IF(D232="","",J232*I232)</f>
        <v/>
      </c>
      <c r="L232" s="20" t="str">
        <f aca="false">IF(D232="","",J232+K232)</f>
        <v/>
      </c>
    </row>
    <row r="233" customFormat="false" ht="15" hidden="false" customHeight="false" outlineLevel="0" collapsed="false">
      <c r="A233" s="27"/>
      <c r="B233" s="1"/>
      <c r="C233" s="1"/>
      <c r="D233" s="1"/>
      <c r="E233" s="1"/>
      <c r="F233" s="1"/>
      <c r="G233" s="31"/>
      <c r="H233" s="28"/>
      <c r="I233" s="29"/>
      <c r="J233" s="20" t="str">
        <f aca="false">IF(D233="","",E233*H233)</f>
        <v/>
      </c>
      <c r="K233" s="20" t="str">
        <f aca="false">IF(D233="","",J233*I233)</f>
        <v/>
      </c>
      <c r="L233" s="20" t="str">
        <f aca="false">IF(D233="","",J233+K233)</f>
        <v/>
      </c>
    </row>
    <row r="234" customFormat="false" ht="15" hidden="false" customHeight="false" outlineLevel="0" collapsed="false">
      <c r="A234" s="27"/>
      <c r="B234" s="1"/>
      <c r="C234" s="1"/>
      <c r="D234" s="1"/>
      <c r="E234" s="1"/>
      <c r="F234" s="1"/>
      <c r="G234" s="31"/>
      <c r="H234" s="28"/>
      <c r="I234" s="29"/>
      <c r="J234" s="20" t="str">
        <f aca="false">IF(D234="","",E234*H234)</f>
        <v/>
      </c>
      <c r="K234" s="20" t="str">
        <f aca="false">IF(D234="","",J234*I234)</f>
        <v/>
      </c>
      <c r="L234" s="20" t="str">
        <f aca="false">IF(D234="","",J234+K234)</f>
        <v/>
      </c>
    </row>
    <row r="235" customFormat="false" ht="15" hidden="false" customHeight="false" outlineLevel="0" collapsed="false">
      <c r="A235" s="27"/>
      <c r="B235" s="1"/>
      <c r="C235" s="1"/>
      <c r="D235" s="1"/>
      <c r="E235" s="1"/>
      <c r="F235" s="1"/>
      <c r="G235" s="31"/>
      <c r="H235" s="28"/>
      <c r="I235" s="29"/>
      <c r="J235" s="20" t="str">
        <f aca="false">IF(D235="","",E235*H235)</f>
        <v/>
      </c>
      <c r="K235" s="20" t="str">
        <f aca="false">IF(D235="","",J235*I235)</f>
        <v/>
      </c>
      <c r="L235" s="20" t="str">
        <f aca="false">IF(D235="","",J235+K235)</f>
        <v/>
      </c>
    </row>
    <row r="236" customFormat="false" ht="15" hidden="false" customHeight="false" outlineLevel="0" collapsed="false">
      <c r="A236" s="27"/>
      <c r="B236" s="1"/>
      <c r="C236" s="1"/>
      <c r="D236" s="1"/>
      <c r="E236" s="1"/>
      <c r="F236" s="1"/>
      <c r="G236" s="31"/>
      <c r="H236" s="28"/>
      <c r="I236" s="29"/>
      <c r="J236" s="20" t="str">
        <f aca="false">IF(D236="","",E236*H236)</f>
        <v/>
      </c>
      <c r="K236" s="20" t="str">
        <f aca="false">IF(D236="","",J236*I236)</f>
        <v/>
      </c>
      <c r="L236" s="20" t="str">
        <f aca="false">IF(D236="","",J236+K236)</f>
        <v/>
      </c>
    </row>
    <row r="237" customFormat="false" ht="15" hidden="false" customHeight="false" outlineLevel="0" collapsed="false">
      <c r="A237" s="27"/>
      <c r="B237" s="1"/>
      <c r="C237" s="1"/>
      <c r="D237" s="1"/>
      <c r="E237" s="1"/>
      <c r="F237" s="1"/>
      <c r="G237" s="31"/>
      <c r="H237" s="28"/>
      <c r="I237" s="29"/>
      <c r="J237" s="20" t="str">
        <f aca="false">IF(D237="","",E237*H237)</f>
        <v/>
      </c>
      <c r="K237" s="20" t="str">
        <f aca="false">IF(D237="","",J237*I237)</f>
        <v/>
      </c>
      <c r="L237" s="20" t="str">
        <f aca="false">IF(D237="","",J237+K237)</f>
        <v/>
      </c>
    </row>
    <row r="238" customFormat="false" ht="15" hidden="false" customHeight="false" outlineLevel="0" collapsed="false">
      <c r="A238" s="27"/>
      <c r="B238" s="1"/>
      <c r="C238" s="1"/>
      <c r="D238" s="1"/>
      <c r="E238" s="1"/>
      <c r="F238" s="1"/>
      <c r="G238" s="31"/>
      <c r="H238" s="28"/>
      <c r="I238" s="29"/>
      <c r="J238" s="20" t="str">
        <f aca="false">IF(D238="","",E238*H238)</f>
        <v/>
      </c>
      <c r="K238" s="20" t="str">
        <f aca="false">IF(D238="","",J238*I238)</f>
        <v/>
      </c>
      <c r="L238" s="20" t="str">
        <f aca="false">IF(D238="","",J238+K238)</f>
        <v/>
      </c>
    </row>
    <row r="239" customFormat="false" ht="15" hidden="false" customHeight="false" outlineLevel="0" collapsed="false">
      <c r="A239" s="27"/>
      <c r="B239" s="1"/>
      <c r="C239" s="1"/>
      <c r="D239" s="1"/>
      <c r="E239" s="1"/>
      <c r="F239" s="1"/>
      <c r="G239" s="31"/>
      <c r="H239" s="28"/>
      <c r="I239" s="29"/>
      <c r="J239" s="20" t="str">
        <f aca="false">IF(D239="","",E239*H239)</f>
        <v/>
      </c>
      <c r="K239" s="20" t="str">
        <f aca="false">IF(D239="","",J239*I239)</f>
        <v/>
      </c>
      <c r="L239" s="20" t="str">
        <f aca="false">IF(D239="","",J239+K239)</f>
        <v/>
      </c>
    </row>
    <row r="240" customFormat="false" ht="15" hidden="false" customHeight="false" outlineLevel="0" collapsed="false">
      <c r="A240" s="27"/>
      <c r="B240" s="1"/>
      <c r="C240" s="1"/>
      <c r="D240" s="1"/>
      <c r="E240" s="1"/>
      <c r="F240" s="1"/>
      <c r="G240" s="31"/>
      <c r="H240" s="28"/>
      <c r="I240" s="29"/>
      <c r="J240" s="20" t="str">
        <f aca="false">IF(D240="","",E240*H240)</f>
        <v/>
      </c>
      <c r="K240" s="20" t="str">
        <f aca="false">IF(D240="","",J240*I240)</f>
        <v/>
      </c>
      <c r="L240" s="20" t="str">
        <f aca="false">IF(D240="","",J240+K240)</f>
        <v/>
      </c>
    </row>
    <row r="241" customFormat="false" ht="15" hidden="false" customHeight="false" outlineLevel="0" collapsed="false">
      <c r="A241" s="27"/>
      <c r="B241" s="1"/>
      <c r="C241" s="1"/>
      <c r="D241" s="1"/>
      <c r="E241" s="1"/>
      <c r="F241" s="1"/>
      <c r="G241" s="31"/>
      <c r="H241" s="28"/>
      <c r="I241" s="29"/>
      <c r="J241" s="20" t="str">
        <f aca="false">IF(D241="","",E241*H241)</f>
        <v/>
      </c>
      <c r="K241" s="20" t="str">
        <f aca="false">IF(D241="","",J241*I241)</f>
        <v/>
      </c>
      <c r="L241" s="20" t="str">
        <f aca="false">IF(D241="","",J241+K241)</f>
        <v/>
      </c>
    </row>
    <row r="242" customFormat="false" ht="15" hidden="false" customHeight="false" outlineLevel="0" collapsed="false">
      <c r="A242" s="27"/>
      <c r="B242" s="1"/>
      <c r="C242" s="1"/>
      <c r="D242" s="1"/>
      <c r="E242" s="1"/>
      <c r="F242" s="1"/>
      <c r="G242" s="31"/>
      <c r="H242" s="28"/>
      <c r="I242" s="29"/>
      <c r="J242" s="20" t="str">
        <f aca="false">IF(D242="","",E242*H242)</f>
        <v/>
      </c>
      <c r="K242" s="20" t="str">
        <f aca="false">IF(D242="","",J242*I242)</f>
        <v/>
      </c>
      <c r="L242" s="20" t="str">
        <f aca="false">IF(D242="","",J242+K242)</f>
        <v/>
      </c>
    </row>
    <row r="243" customFormat="false" ht="15" hidden="false" customHeight="false" outlineLevel="0" collapsed="false">
      <c r="A243" s="27"/>
      <c r="B243" s="1"/>
      <c r="C243" s="1"/>
      <c r="D243" s="1"/>
      <c r="E243" s="1"/>
      <c r="F243" s="1"/>
      <c r="G243" s="31"/>
      <c r="H243" s="28"/>
      <c r="I243" s="29"/>
      <c r="J243" s="20" t="str">
        <f aca="false">IF(D243="","",E243*H243)</f>
        <v/>
      </c>
      <c r="K243" s="20" t="str">
        <f aca="false">IF(D243="","",J243*I243)</f>
        <v/>
      </c>
      <c r="L243" s="20" t="str">
        <f aca="false">IF(D243="","",J243+K243)</f>
        <v/>
      </c>
    </row>
    <row r="244" customFormat="false" ht="15" hidden="false" customHeight="false" outlineLevel="0" collapsed="false">
      <c r="A244" s="27"/>
      <c r="B244" s="1"/>
      <c r="C244" s="1"/>
      <c r="D244" s="1"/>
      <c r="E244" s="1"/>
      <c r="F244" s="1"/>
      <c r="G244" s="31"/>
      <c r="H244" s="28"/>
      <c r="I244" s="29"/>
      <c r="J244" s="20" t="str">
        <f aca="false">IF(D244="","",E244*H244)</f>
        <v/>
      </c>
      <c r="K244" s="20" t="str">
        <f aca="false">IF(D244="","",J244*I244)</f>
        <v/>
      </c>
      <c r="L244" s="20" t="str">
        <f aca="false">IF(D244="","",J244+K244)</f>
        <v/>
      </c>
    </row>
    <row r="245" customFormat="false" ht="15" hidden="false" customHeight="false" outlineLevel="0" collapsed="false">
      <c r="A245" s="27"/>
      <c r="B245" s="1"/>
      <c r="C245" s="1"/>
      <c r="D245" s="1"/>
      <c r="E245" s="1"/>
      <c r="F245" s="1"/>
      <c r="G245" s="31"/>
      <c r="H245" s="28"/>
      <c r="I245" s="29"/>
      <c r="J245" s="20" t="str">
        <f aca="false">IF(D245="","",E245*H245)</f>
        <v/>
      </c>
      <c r="K245" s="20" t="str">
        <f aca="false">IF(D245="","",J245*I245)</f>
        <v/>
      </c>
      <c r="L245" s="20" t="str">
        <f aca="false">IF(D245="","",J245+K245)</f>
        <v/>
      </c>
    </row>
    <row r="246" customFormat="false" ht="15" hidden="false" customHeight="false" outlineLevel="0" collapsed="false">
      <c r="A246" s="27"/>
      <c r="B246" s="1"/>
      <c r="C246" s="1"/>
      <c r="D246" s="1"/>
      <c r="E246" s="1"/>
      <c r="F246" s="1"/>
      <c r="G246" s="31"/>
      <c r="H246" s="28"/>
      <c r="I246" s="29"/>
      <c r="J246" s="20" t="str">
        <f aca="false">IF(D246="","",E246*H246)</f>
        <v/>
      </c>
      <c r="K246" s="20" t="str">
        <f aca="false">IF(D246="","",J246*I246)</f>
        <v/>
      </c>
      <c r="L246" s="20" t="str">
        <f aca="false">IF(D246="","",J246+K246)</f>
        <v/>
      </c>
    </row>
    <row r="247" customFormat="false" ht="15" hidden="false" customHeight="false" outlineLevel="0" collapsed="false">
      <c r="A247" s="27"/>
      <c r="B247" s="1"/>
      <c r="C247" s="1"/>
      <c r="D247" s="1"/>
      <c r="E247" s="1"/>
      <c r="F247" s="1"/>
      <c r="G247" s="31"/>
      <c r="H247" s="28"/>
      <c r="I247" s="29"/>
      <c r="J247" s="20" t="str">
        <f aca="false">IF(D247="","",E247*H247)</f>
        <v/>
      </c>
      <c r="K247" s="20" t="str">
        <f aca="false">IF(D247="","",J247*I247)</f>
        <v/>
      </c>
      <c r="L247" s="20" t="str">
        <f aca="false">IF(D247="","",J247+K247)</f>
        <v/>
      </c>
    </row>
    <row r="248" customFormat="false" ht="15" hidden="false" customHeight="false" outlineLevel="0" collapsed="false">
      <c r="A248" s="27"/>
      <c r="B248" s="1"/>
      <c r="C248" s="1"/>
      <c r="D248" s="1"/>
      <c r="E248" s="1"/>
      <c r="F248" s="1"/>
      <c r="G248" s="31"/>
      <c r="H248" s="28"/>
      <c r="I248" s="29"/>
      <c r="J248" s="20" t="str">
        <f aca="false">IF(D248="","",E248*H248)</f>
        <v/>
      </c>
      <c r="K248" s="20" t="str">
        <f aca="false">IF(D248="","",J248*I248)</f>
        <v/>
      </c>
      <c r="L248" s="20" t="str">
        <f aca="false">IF(D248="","",J248+K248)</f>
        <v/>
      </c>
    </row>
    <row r="249" customFormat="false" ht="15" hidden="false" customHeight="false" outlineLevel="0" collapsed="false">
      <c r="A249" s="27"/>
      <c r="B249" s="1"/>
      <c r="C249" s="1"/>
      <c r="D249" s="1"/>
      <c r="E249" s="1"/>
      <c r="F249" s="1"/>
      <c r="G249" s="31"/>
      <c r="H249" s="28"/>
      <c r="I249" s="29"/>
      <c r="J249" s="20" t="str">
        <f aca="false">IF(D249="","",E249*H249)</f>
        <v/>
      </c>
      <c r="K249" s="20" t="str">
        <f aca="false">IF(D249="","",J249*I249)</f>
        <v/>
      </c>
      <c r="L249" s="20" t="str">
        <f aca="false">IF(D249="","",J249+K249)</f>
        <v/>
      </c>
    </row>
    <row r="250" customFormat="false" ht="15" hidden="false" customHeight="false" outlineLevel="0" collapsed="false">
      <c r="A250" s="27"/>
      <c r="B250" s="1"/>
      <c r="C250" s="1"/>
      <c r="D250" s="1"/>
      <c r="E250" s="1"/>
      <c r="F250" s="1"/>
      <c r="G250" s="31"/>
      <c r="H250" s="28"/>
      <c r="I250" s="29"/>
      <c r="J250" s="20" t="str">
        <f aca="false">IF(D250="","",E250*H250)</f>
        <v/>
      </c>
      <c r="K250" s="20" t="str">
        <f aca="false">IF(D250="","",J250*I250)</f>
        <v/>
      </c>
      <c r="L250" s="20" t="str">
        <f aca="false">IF(D250="","",J250+K250)</f>
        <v/>
      </c>
    </row>
    <row r="251" customFormat="false" ht="15" hidden="false" customHeight="false" outlineLevel="0" collapsed="false">
      <c r="A251" s="27"/>
      <c r="B251" s="1"/>
      <c r="C251" s="1"/>
      <c r="D251" s="1"/>
      <c r="E251" s="1"/>
      <c r="F251" s="1"/>
      <c r="G251" s="31"/>
      <c r="H251" s="28"/>
      <c r="I251" s="29"/>
      <c r="J251" s="20" t="str">
        <f aca="false">IF(D251="","",E251*H251)</f>
        <v/>
      </c>
      <c r="K251" s="20" t="str">
        <f aca="false">IF(D251="","",J251*I251)</f>
        <v/>
      </c>
      <c r="L251" s="20" t="str">
        <f aca="false">IF(D251="","",J251+K251)</f>
        <v/>
      </c>
    </row>
    <row r="252" customFormat="false" ht="15" hidden="false" customHeight="false" outlineLevel="0" collapsed="false">
      <c r="A252" s="27"/>
      <c r="B252" s="1"/>
      <c r="C252" s="1"/>
      <c r="D252" s="1"/>
      <c r="E252" s="1"/>
      <c r="F252" s="1"/>
      <c r="G252" s="31"/>
      <c r="H252" s="28"/>
      <c r="I252" s="29"/>
      <c r="J252" s="20" t="str">
        <f aca="false">IF(D252="","",E252*H252)</f>
        <v/>
      </c>
      <c r="K252" s="20" t="str">
        <f aca="false">IF(D252="","",J252*I252)</f>
        <v/>
      </c>
      <c r="L252" s="20" t="str">
        <f aca="false">IF(D252="","",J252+K252)</f>
        <v/>
      </c>
    </row>
    <row r="253" customFormat="false" ht="15" hidden="false" customHeight="false" outlineLevel="0" collapsed="false">
      <c r="A253" s="27"/>
      <c r="B253" s="1"/>
      <c r="C253" s="1"/>
      <c r="D253" s="1"/>
      <c r="E253" s="1"/>
      <c r="F253" s="1"/>
      <c r="G253" s="31"/>
      <c r="H253" s="28"/>
      <c r="I253" s="29"/>
      <c r="J253" s="20" t="str">
        <f aca="false">IF(D253="","",E253*H253)</f>
        <v/>
      </c>
      <c r="K253" s="20" t="str">
        <f aca="false">IF(D253="","",J253*I253)</f>
        <v/>
      </c>
      <c r="L253" s="20" t="str">
        <f aca="false">IF(D253="","",J253+K253)</f>
        <v/>
      </c>
    </row>
    <row r="254" customFormat="false" ht="15" hidden="false" customHeight="false" outlineLevel="0" collapsed="false">
      <c r="A254" s="27"/>
      <c r="B254" s="1"/>
      <c r="C254" s="1"/>
      <c r="D254" s="1"/>
      <c r="E254" s="1"/>
      <c r="F254" s="1"/>
      <c r="G254" s="31"/>
      <c r="H254" s="28"/>
      <c r="I254" s="29"/>
      <c r="J254" s="20" t="str">
        <f aca="false">IF(D254="","",E254*H254)</f>
        <v/>
      </c>
      <c r="K254" s="20" t="str">
        <f aca="false">IF(D254="","",J254*I254)</f>
        <v/>
      </c>
      <c r="L254" s="20" t="str">
        <f aca="false">IF(D254="","",J254+K254)</f>
        <v/>
      </c>
    </row>
    <row r="255" customFormat="false" ht="15" hidden="false" customHeight="false" outlineLevel="0" collapsed="false">
      <c r="A255" s="27"/>
      <c r="B255" s="1"/>
      <c r="C255" s="1"/>
      <c r="D255" s="1"/>
      <c r="E255" s="1"/>
      <c r="F255" s="1"/>
      <c r="G255" s="31"/>
      <c r="H255" s="28"/>
      <c r="I255" s="29"/>
      <c r="J255" s="20" t="str">
        <f aca="false">IF(D255="","",E255*H255)</f>
        <v/>
      </c>
      <c r="K255" s="20" t="str">
        <f aca="false">IF(D255="","",J255*I255)</f>
        <v/>
      </c>
      <c r="L255" s="20" t="str">
        <f aca="false">IF(D255="","",J255+K255)</f>
        <v/>
      </c>
    </row>
    <row r="256" customFormat="false" ht="15" hidden="false" customHeight="false" outlineLevel="0" collapsed="false">
      <c r="A256" s="27"/>
      <c r="B256" s="1"/>
      <c r="C256" s="1"/>
      <c r="D256" s="1"/>
      <c r="E256" s="1"/>
      <c r="F256" s="1"/>
      <c r="G256" s="31"/>
      <c r="H256" s="28"/>
      <c r="I256" s="29"/>
      <c r="J256" s="20" t="str">
        <f aca="false">IF(D256="","",E256*H256)</f>
        <v/>
      </c>
      <c r="K256" s="20" t="str">
        <f aca="false">IF(D256="","",J256*I256)</f>
        <v/>
      </c>
      <c r="L256" s="20" t="str">
        <f aca="false">IF(D256="","",J256+K256)</f>
        <v/>
      </c>
    </row>
    <row r="257" customFormat="false" ht="15" hidden="false" customHeight="false" outlineLevel="0" collapsed="false">
      <c r="A257" s="27"/>
      <c r="B257" s="1"/>
      <c r="C257" s="1"/>
      <c r="D257" s="1"/>
      <c r="E257" s="1"/>
      <c r="F257" s="1"/>
      <c r="G257" s="31"/>
      <c r="H257" s="28"/>
      <c r="I257" s="29"/>
      <c r="J257" s="20" t="str">
        <f aca="false">IF(D257="","",E257*H257)</f>
        <v/>
      </c>
      <c r="K257" s="20" t="str">
        <f aca="false">IF(D257="","",J257*I257)</f>
        <v/>
      </c>
      <c r="L257" s="20" t="str">
        <f aca="false">IF(D257="","",J257+K257)</f>
        <v/>
      </c>
    </row>
    <row r="258" customFormat="false" ht="15" hidden="false" customHeight="false" outlineLevel="0" collapsed="false">
      <c r="A258" s="27"/>
      <c r="B258" s="1"/>
      <c r="C258" s="1"/>
      <c r="D258" s="1"/>
      <c r="E258" s="1"/>
      <c r="F258" s="1"/>
      <c r="G258" s="31"/>
      <c r="H258" s="28"/>
      <c r="I258" s="29"/>
      <c r="J258" s="20" t="str">
        <f aca="false">IF(D258="","",E258*H258)</f>
        <v/>
      </c>
      <c r="K258" s="20" t="str">
        <f aca="false">IF(D258="","",J258*I258)</f>
        <v/>
      </c>
      <c r="L258" s="20" t="str">
        <f aca="false">IF(D258="","",J258+K258)</f>
        <v/>
      </c>
    </row>
    <row r="259" customFormat="false" ht="15" hidden="false" customHeight="false" outlineLevel="0" collapsed="false">
      <c r="A259" s="27"/>
      <c r="B259" s="1"/>
      <c r="C259" s="1"/>
      <c r="D259" s="1"/>
      <c r="E259" s="1"/>
      <c r="F259" s="1"/>
      <c r="G259" s="31"/>
      <c r="H259" s="28"/>
      <c r="I259" s="29"/>
      <c r="J259" s="20" t="str">
        <f aca="false">IF(D259="","",E259*H259)</f>
        <v/>
      </c>
      <c r="K259" s="20" t="str">
        <f aca="false">IF(D259="","",J259*I259)</f>
        <v/>
      </c>
      <c r="L259" s="20" t="str">
        <f aca="false">IF(D259="","",J259+K259)</f>
        <v/>
      </c>
    </row>
    <row r="260" customFormat="false" ht="15" hidden="false" customHeight="false" outlineLevel="0" collapsed="false">
      <c r="A260" s="27"/>
      <c r="B260" s="1"/>
      <c r="C260" s="1"/>
      <c r="D260" s="1"/>
      <c r="E260" s="1"/>
      <c r="F260" s="1"/>
      <c r="G260" s="31"/>
      <c r="H260" s="28"/>
      <c r="I260" s="29"/>
      <c r="J260" s="20" t="str">
        <f aca="false">IF(D260="","",E260*H260)</f>
        <v/>
      </c>
      <c r="K260" s="20" t="str">
        <f aca="false">IF(D260="","",J260*I260)</f>
        <v/>
      </c>
      <c r="L260" s="20" t="str">
        <f aca="false">IF(D260="","",J260+K260)</f>
        <v/>
      </c>
    </row>
    <row r="261" customFormat="false" ht="15" hidden="false" customHeight="false" outlineLevel="0" collapsed="false">
      <c r="A261" s="27"/>
      <c r="B261" s="1"/>
      <c r="C261" s="1"/>
      <c r="D261" s="1"/>
      <c r="E261" s="1"/>
      <c r="F261" s="1"/>
      <c r="G261" s="31"/>
      <c r="H261" s="28"/>
      <c r="I261" s="29"/>
      <c r="J261" s="20" t="str">
        <f aca="false">IF(D261="","",E261*H261)</f>
        <v/>
      </c>
      <c r="K261" s="20" t="str">
        <f aca="false">IF(D261="","",J261*I261)</f>
        <v/>
      </c>
      <c r="L261" s="20" t="str">
        <f aca="false">IF(D261="","",J261+K261)</f>
        <v/>
      </c>
    </row>
    <row r="262" customFormat="false" ht="15" hidden="false" customHeight="false" outlineLevel="0" collapsed="false">
      <c r="A262" s="27"/>
      <c r="B262" s="1"/>
      <c r="C262" s="1"/>
      <c r="D262" s="1"/>
      <c r="E262" s="1"/>
      <c r="F262" s="1"/>
      <c r="G262" s="31"/>
      <c r="H262" s="28"/>
      <c r="I262" s="29"/>
      <c r="J262" s="20" t="str">
        <f aca="false">IF(D262="","",E262*H262)</f>
        <v/>
      </c>
      <c r="K262" s="20" t="str">
        <f aca="false">IF(D262="","",J262*I262)</f>
        <v/>
      </c>
      <c r="L262" s="20" t="str">
        <f aca="false">IF(D262="","",J262+K262)</f>
        <v/>
      </c>
    </row>
    <row r="263" customFormat="false" ht="15" hidden="false" customHeight="false" outlineLevel="0" collapsed="false">
      <c r="A263" s="27"/>
      <c r="B263" s="1"/>
      <c r="C263" s="1"/>
      <c r="D263" s="1"/>
      <c r="E263" s="1"/>
      <c r="F263" s="1"/>
      <c r="G263" s="31"/>
      <c r="H263" s="28"/>
      <c r="I263" s="29"/>
      <c r="J263" s="20" t="str">
        <f aca="false">IF(D263="","",E263*H263)</f>
        <v/>
      </c>
      <c r="K263" s="20" t="str">
        <f aca="false">IF(D263="","",J263*I263)</f>
        <v/>
      </c>
      <c r="L263" s="20" t="str">
        <f aca="false">IF(D263="","",J263+K263)</f>
        <v/>
      </c>
    </row>
    <row r="264" customFormat="false" ht="15" hidden="false" customHeight="false" outlineLevel="0" collapsed="false">
      <c r="A264" s="27"/>
      <c r="B264" s="1"/>
      <c r="C264" s="1"/>
      <c r="D264" s="1"/>
      <c r="E264" s="1"/>
      <c r="F264" s="1"/>
      <c r="G264" s="31"/>
      <c r="H264" s="28"/>
      <c r="I264" s="29"/>
      <c r="J264" s="20" t="str">
        <f aca="false">IF(D264="","",E264*H264)</f>
        <v/>
      </c>
      <c r="K264" s="20" t="str">
        <f aca="false">IF(D264="","",J264*I264)</f>
        <v/>
      </c>
      <c r="L264" s="20" t="str">
        <f aca="false">IF(D264="","",J264+K264)</f>
        <v/>
      </c>
    </row>
    <row r="265" customFormat="false" ht="15" hidden="false" customHeight="false" outlineLevel="0" collapsed="false">
      <c r="A265" s="27"/>
      <c r="B265" s="1"/>
      <c r="C265" s="1"/>
      <c r="D265" s="1"/>
      <c r="E265" s="1"/>
      <c r="F265" s="1"/>
      <c r="G265" s="31"/>
      <c r="H265" s="28"/>
      <c r="I265" s="29"/>
      <c r="J265" s="20" t="str">
        <f aca="false">IF(D265="","",E265*H265)</f>
        <v/>
      </c>
      <c r="K265" s="20" t="str">
        <f aca="false">IF(D265="","",J265*I265)</f>
        <v/>
      </c>
      <c r="L265" s="20" t="str">
        <f aca="false">IF(D265="","",J265+K265)</f>
        <v/>
      </c>
    </row>
    <row r="266" customFormat="false" ht="15" hidden="false" customHeight="false" outlineLevel="0" collapsed="false">
      <c r="A266" s="27"/>
      <c r="B266" s="1"/>
      <c r="C266" s="1"/>
      <c r="D266" s="1"/>
      <c r="E266" s="1"/>
      <c r="F266" s="1"/>
      <c r="G266" s="31"/>
      <c r="H266" s="28"/>
      <c r="I266" s="29"/>
      <c r="J266" s="20" t="str">
        <f aca="false">IF(D266="","",E266*H266)</f>
        <v/>
      </c>
      <c r="K266" s="20" t="str">
        <f aca="false">IF(D266="","",J266*I266)</f>
        <v/>
      </c>
      <c r="L266" s="20" t="str">
        <f aca="false">IF(D266="","",J266+K266)</f>
        <v/>
      </c>
    </row>
    <row r="267" customFormat="false" ht="15" hidden="false" customHeight="false" outlineLevel="0" collapsed="false">
      <c r="A267" s="27"/>
      <c r="B267" s="1"/>
      <c r="C267" s="1"/>
      <c r="D267" s="1"/>
      <c r="E267" s="1"/>
      <c r="F267" s="1"/>
      <c r="G267" s="31"/>
      <c r="H267" s="28"/>
      <c r="I267" s="29"/>
      <c r="J267" s="20" t="str">
        <f aca="false">IF(D267="","",E267*H267)</f>
        <v/>
      </c>
      <c r="K267" s="20" t="str">
        <f aca="false">IF(D267="","",J267*I267)</f>
        <v/>
      </c>
      <c r="L267" s="20" t="str">
        <f aca="false">IF(D267="","",J267+K267)</f>
        <v/>
      </c>
    </row>
    <row r="268" customFormat="false" ht="15" hidden="false" customHeight="false" outlineLevel="0" collapsed="false">
      <c r="A268" s="27"/>
      <c r="B268" s="1"/>
      <c r="C268" s="1"/>
      <c r="D268" s="1"/>
      <c r="E268" s="1"/>
      <c r="F268" s="1"/>
      <c r="G268" s="31"/>
      <c r="H268" s="28"/>
      <c r="I268" s="29"/>
      <c r="J268" s="20" t="str">
        <f aca="false">IF(D268="","",E268*H268)</f>
        <v/>
      </c>
      <c r="K268" s="20" t="str">
        <f aca="false">IF(D268="","",J268*I268)</f>
        <v/>
      </c>
      <c r="L268" s="20" t="str">
        <f aca="false">IF(D268="","",J268+K268)</f>
        <v/>
      </c>
    </row>
    <row r="269" customFormat="false" ht="15" hidden="false" customHeight="false" outlineLevel="0" collapsed="false">
      <c r="A269" s="27"/>
      <c r="B269" s="1"/>
      <c r="C269" s="1"/>
      <c r="D269" s="1"/>
      <c r="E269" s="1"/>
      <c r="F269" s="1"/>
      <c r="G269" s="31"/>
      <c r="H269" s="28"/>
      <c r="I269" s="29"/>
      <c r="J269" s="20" t="str">
        <f aca="false">IF(D269="","",E269*H269)</f>
        <v/>
      </c>
      <c r="K269" s="20" t="str">
        <f aca="false">IF(D269="","",J269*I269)</f>
        <v/>
      </c>
      <c r="L269" s="20" t="str">
        <f aca="false">IF(D269="","",J269+K269)</f>
        <v/>
      </c>
    </row>
    <row r="270" customFormat="false" ht="15" hidden="false" customHeight="false" outlineLevel="0" collapsed="false">
      <c r="A270" s="27"/>
      <c r="B270" s="1"/>
      <c r="C270" s="1"/>
      <c r="D270" s="1"/>
      <c r="E270" s="1"/>
      <c r="F270" s="1"/>
      <c r="G270" s="31"/>
      <c r="H270" s="28"/>
      <c r="I270" s="29"/>
      <c r="J270" s="20" t="str">
        <f aca="false">IF(D270="","",E270*H270)</f>
        <v/>
      </c>
      <c r="K270" s="20" t="str">
        <f aca="false">IF(D270="","",J270*I270)</f>
        <v/>
      </c>
      <c r="L270" s="20" t="str">
        <f aca="false">IF(D270="","",J270+K270)</f>
        <v/>
      </c>
    </row>
    <row r="271" customFormat="false" ht="15" hidden="false" customHeight="false" outlineLevel="0" collapsed="false">
      <c r="A271" s="27"/>
      <c r="B271" s="1"/>
      <c r="C271" s="1"/>
      <c r="D271" s="1"/>
      <c r="E271" s="1"/>
      <c r="F271" s="1"/>
      <c r="G271" s="31"/>
      <c r="H271" s="28"/>
      <c r="I271" s="29"/>
      <c r="J271" s="20" t="str">
        <f aca="false">IF(D271="","",E271*H271)</f>
        <v/>
      </c>
      <c r="K271" s="20" t="str">
        <f aca="false">IF(D271="","",J271*I271)</f>
        <v/>
      </c>
      <c r="L271" s="20" t="str">
        <f aca="false">IF(D271="","",J271+K271)</f>
        <v/>
      </c>
    </row>
    <row r="272" customFormat="false" ht="15" hidden="false" customHeight="false" outlineLevel="0" collapsed="false">
      <c r="A272" s="27"/>
      <c r="B272" s="1"/>
      <c r="C272" s="1"/>
      <c r="D272" s="1"/>
      <c r="E272" s="1"/>
      <c r="F272" s="1"/>
      <c r="G272" s="31"/>
      <c r="H272" s="28"/>
      <c r="I272" s="29"/>
      <c r="J272" s="20" t="str">
        <f aca="false">IF(D272="","",E272*H272)</f>
        <v/>
      </c>
      <c r="K272" s="20" t="str">
        <f aca="false">IF(D272="","",J272*I272)</f>
        <v/>
      </c>
      <c r="L272" s="20" t="str">
        <f aca="false">IF(D272="","",J272+K272)</f>
        <v/>
      </c>
    </row>
    <row r="273" customFormat="false" ht="15" hidden="false" customHeight="false" outlineLevel="0" collapsed="false">
      <c r="A273" s="27"/>
      <c r="B273" s="1"/>
      <c r="C273" s="1"/>
      <c r="D273" s="1"/>
      <c r="E273" s="1"/>
      <c r="F273" s="1"/>
      <c r="G273" s="31"/>
      <c r="H273" s="28"/>
      <c r="I273" s="29"/>
      <c r="J273" s="20" t="str">
        <f aca="false">IF(D273="","",E273*H273)</f>
        <v/>
      </c>
      <c r="K273" s="20" t="str">
        <f aca="false">IF(D273="","",J273*I273)</f>
        <v/>
      </c>
      <c r="L273" s="20" t="str">
        <f aca="false">IF(D273="","",J273+K273)</f>
        <v/>
      </c>
    </row>
    <row r="274" customFormat="false" ht="15" hidden="false" customHeight="false" outlineLevel="0" collapsed="false">
      <c r="A274" s="27"/>
      <c r="B274" s="1"/>
      <c r="C274" s="1"/>
      <c r="D274" s="1"/>
      <c r="E274" s="1"/>
      <c r="F274" s="1"/>
      <c r="G274" s="31"/>
      <c r="H274" s="28"/>
      <c r="I274" s="29"/>
      <c r="J274" s="20" t="str">
        <f aca="false">IF(D274="","",E274*H274)</f>
        <v/>
      </c>
      <c r="K274" s="20" t="str">
        <f aca="false">IF(D274="","",J274*I274)</f>
        <v/>
      </c>
      <c r="L274" s="20" t="str">
        <f aca="false">IF(D274="","",J274+K274)</f>
        <v/>
      </c>
    </row>
    <row r="275" customFormat="false" ht="15" hidden="false" customHeight="false" outlineLevel="0" collapsed="false">
      <c r="A275" s="27"/>
      <c r="B275" s="1"/>
      <c r="C275" s="1"/>
      <c r="D275" s="1"/>
      <c r="E275" s="1"/>
      <c r="F275" s="1"/>
      <c r="G275" s="31"/>
      <c r="H275" s="28"/>
      <c r="I275" s="29"/>
      <c r="J275" s="20" t="str">
        <f aca="false">IF(D275="","",E275*H275)</f>
        <v/>
      </c>
      <c r="K275" s="20" t="str">
        <f aca="false">IF(D275="","",J275*I275)</f>
        <v/>
      </c>
      <c r="L275" s="20" t="str">
        <f aca="false">IF(D275="","",J275+K275)</f>
        <v/>
      </c>
    </row>
    <row r="276" customFormat="false" ht="15" hidden="false" customHeight="false" outlineLevel="0" collapsed="false">
      <c r="A276" s="27"/>
      <c r="B276" s="1"/>
      <c r="C276" s="1"/>
      <c r="D276" s="1"/>
      <c r="E276" s="1"/>
      <c r="F276" s="1"/>
      <c r="G276" s="31"/>
      <c r="H276" s="28"/>
      <c r="I276" s="29"/>
      <c r="J276" s="20" t="str">
        <f aca="false">IF(D276="","",E276*H276)</f>
        <v/>
      </c>
      <c r="K276" s="20" t="str">
        <f aca="false">IF(D276="","",J276*I276)</f>
        <v/>
      </c>
      <c r="L276" s="20" t="str">
        <f aca="false">IF(D276="","",J276+K276)</f>
        <v/>
      </c>
    </row>
    <row r="277" customFormat="false" ht="15" hidden="false" customHeight="false" outlineLevel="0" collapsed="false">
      <c r="A277" s="27"/>
      <c r="B277" s="1"/>
      <c r="C277" s="1"/>
      <c r="D277" s="1"/>
      <c r="E277" s="1"/>
      <c r="F277" s="1"/>
      <c r="G277" s="31"/>
      <c r="H277" s="28"/>
      <c r="I277" s="29"/>
      <c r="J277" s="20" t="str">
        <f aca="false">IF(D277="","",E277*H277)</f>
        <v/>
      </c>
      <c r="K277" s="20" t="str">
        <f aca="false">IF(D277="","",J277*I277)</f>
        <v/>
      </c>
      <c r="L277" s="20" t="str">
        <f aca="false">IF(D277="","",J277+K277)</f>
        <v/>
      </c>
    </row>
    <row r="278" customFormat="false" ht="15" hidden="false" customHeight="false" outlineLevel="0" collapsed="false">
      <c r="A278" s="27"/>
      <c r="B278" s="1"/>
      <c r="C278" s="1"/>
      <c r="D278" s="1"/>
      <c r="E278" s="1"/>
      <c r="F278" s="1"/>
      <c r="G278" s="31"/>
      <c r="H278" s="28"/>
      <c r="I278" s="29"/>
      <c r="J278" s="20" t="str">
        <f aca="false">IF(D278="","",E278*H278)</f>
        <v/>
      </c>
      <c r="K278" s="20" t="str">
        <f aca="false">IF(D278="","",J278*I278)</f>
        <v/>
      </c>
      <c r="L278" s="20" t="str">
        <f aca="false">IF(D278="","",J278+K278)</f>
        <v/>
      </c>
    </row>
    <row r="279" customFormat="false" ht="15" hidden="false" customHeight="false" outlineLevel="0" collapsed="false">
      <c r="A279" s="27"/>
      <c r="B279" s="1"/>
      <c r="C279" s="1"/>
      <c r="D279" s="1"/>
      <c r="E279" s="1"/>
      <c r="F279" s="1"/>
      <c r="G279" s="31"/>
      <c r="H279" s="28"/>
      <c r="I279" s="29"/>
      <c r="J279" s="20" t="str">
        <f aca="false">IF(D279="","",E279*H279)</f>
        <v/>
      </c>
      <c r="K279" s="20" t="str">
        <f aca="false">IF(D279="","",J279*I279)</f>
        <v/>
      </c>
      <c r="L279" s="20" t="str">
        <f aca="false">IF(D279="","",J279+K279)</f>
        <v/>
      </c>
    </row>
    <row r="280" customFormat="false" ht="15" hidden="false" customHeight="false" outlineLevel="0" collapsed="false">
      <c r="A280" s="27"/>
      <c r="B280" s="1"/>
      <c r="C280" s="1"/>
      <c r="D280" s="1"/>
      <c r="E280" s="1"/>
      <c r="F280" s="1"/>
      <c r="G280" s="31"/>
      <c r="H280" s="28"/>
      <c r="I280" s="29"/>
      <c r="J280" s="20" t="str">
        <f aca="false">IF(D280="","",E280*H280)</f>
        <v/>
      </c>
      <c r="K280" s="20" t="str">
        <f aca="false">IF(D280="","",J280*I280)</f>
        <v/>
      </c>
      <c r="L280" s="20" t="str">
        <f aca="false">IF(D280="","",J280+K280)</f>
        <v/>
      </c>
    </row>
    <row r="281" customFormat="false" ht="15" hidden="false" customHeight="false" outlineLevel="0" collapsed="false">
      <c r="A281" s="27"/>
      <c r="B281" s="1"/>
      <c r="C281" s="1"/>
      <c r="D281" s="1"/>
      <c r="E281" s="1"/>
      <c r="F281" s="1"/>
      <c r="G281" s="31"/>
      <c r="H281" s="28"/>
      <c r="I281" s="29"/>
      <c r="J281" s="20" t="str">
        <f aca="false">IF(D281="","",E281*H281)</f>
        <v/>
      </c>
      <c r="K281" s="20" t="str">
        <f aca="false">IF(D281="","",J281*I281)</f>
        <v/>
      </c>
      <c r="L281" s="20" t="str">
        <f aca="false">IF(D281="","",J281+K281)</f>
        <v/>
      </c>
    </row>
    <row r="282" customFormat="false" ht="15" hidden="false" customHeight="false" outlineLevel="0" collapsed="false">
      <c r="A282" s="27"/>
      <c r="B282" s="1"/>
      <c r="C282" s="1"/>
      <c r="D282" s="1"/>
      <c r="E282" s="1"/>
      <c r="F282" s="1"/>
      <c r="G282" s="31"/>
      <c r="H282" s="28"/>
      <c r="I282" s="29"/>
      <c r="J282" s="20" t="str">
        <f aca="false">IF(D282="","",E282*H282)</f>
        <v/>
      </c>
      <c r="K282" s="20" t="str">
        <f aca="false">IF(D282="","",J282*I282)</f>
        <v/>
      </c>
      <c r="L282" s="20" t="str">
        <f aca="false">IF(D282="","",J282+K282)</f>
        <v/>
      </c>
    </row>
    <row r="283" customFormat="false" ht="15" hidden="false" customHeight="false" outlineLevel="0" collapsed="false">
      <c r="A283" s="27"/>
      <c r="B283" s="1"/>
      <c r="C283" s="1"/>
      <c r="D283" s="1"/>
      <c r="E283" s="1"/>
      <c r="F283" s="1"/>
      <c r="G283" s="31"/>
      <c r="H283" s="28"/>
      <c r="I283" s="29"/>
      <c r="J283" s="20" t="str">
        <f aca="false">IF(D283="","",E283*H283)</f>
        <v/>
      </c>
      <c r="K283" s="20" t="str">
        <f aca="false">IF(D283="","",J283*I283)</f>
        <v/>
      </c>
      <c r="L283" s="20" t="str">
        <f aca="false">IF(D283="","",J283+K283)</f>
        <v/>
      </c>
    </row>
    <row r="284" customFormat="false" ht="15" hidden="false" customHeight="false" outlineLevel="0" collapsed="false">
      <c r="A284" s="27"/>
      <c r="B284" s="1"/>
      <c r="C284" s="1"/>
      <c r="D284" s="1"/>
      <c r="E284" s="1"/>
      <c r="F284" s="1"/>
      <c r="G284" s="31"/>
      <c r="H284" s="28"/>
      <c r="I284" s="29"/>
      <c r="J284" s="20" t="str">
        <f aca="false">IF(D284="","",E284*H284)</f>
        <v/>
      </c>
      <c r="K284" s="20" t="str">
        <f aca="false">IF(D284="","",J284*I284)</f>
        <v/>
      </c>
      <c r="L284" s="20" t="str">
        <f aca="false">IF(D284="","",J284+K284)</f>
        <v/>
      </c>
    </row>
    <row r="285" customFormat="false" ht="15" hidden="false" customHeight="false" outlineLevel="0" collapsed="false">
      <c r="A285" s="27"/>
      <c r="B285" s="1"/>
      <c r="C285" s="1"/>
      <c r="D285" s="1"/>
      <c r="E285" s="1"/>
      <c r="F285" s="1"/>
      <c r="G285" s="31"/>
      <c r="H285" s="28"/>
      <c r="I285" s="29"/>
      <c r="J285" s="20" t="str">
        <f aca="false">IF(D285="","",E285*H285)</f>
        <v/>
      </c>
      <c r="K285" s="20" t="str">
        <f aca="false">IF(D285="","",J285*I285)</f>
        <v/>
      </c>
      <c r="L285" s="20" t="str">
        <f aca="false">IF(D285="","",J285+K285)</f>
        <v/>
      </c>
    </row>
    <row r="286" customFormat="false" ht="15" hidden="false" customHeight="false" outlineLevel="0" collapsed="false">
      <c r="A286" s="27"/>
      <c r="B286" s="1"/>
      <c r="C286" s="1"/>
      <c r="D286" s="1"/>
      <c r="E286" s="1"/>
      <c r="F286" s="1"/>
      <c r="G286" s="31"/>
      <c r="H286" s="28"/>
      <c r="I286" s="29"/>
      <c r="J286" s="20" t="str">
        <f aca="false">IF(D286="","",E286*H286)</f>
        <v/>
      </c>
      <c r="K286" s="20" t="str">
        <f aca="false">IF(D286="","",J286*I286)</f>
        <v/>
      </c>
      <c r="L286" s="20" t="str">
        <f aca="false">IF(D286="","",J286+K286)</f>
        <v/>
      </c>
    </row>
    <row r="287" customFormat="false" ht="15" hidden="false" customHeight="false" outlineLevel="0" collapsed="false">
      <c r="A287" s="27"/>
      <c r="B287" s="1"/>
      <c r="C287" s="1"/>
      <c r="D287" s="1"/>
      <c r="E287" s="1"/>
      <c r="F287" s="1"/>
      <c r="G287" s="31"/>
      <c r="H287" s="28"/>
      <c r="I287" s="29"/>
      <c r="J287" s="20" t="str">
        <f aca="false">IF(D287="","",E287*H287)</f>
        <v/>
      </c>
      <c r="K287" s="20" t="str">
        <f aca="false">IF(D287="","",J287*I287)</f>
        <v/>
      </c>
      <c r="L287" s="20" t="str">
        <f aca="false">IF(D287="","",J287+K287)</f>
        <v/>
      </c>
    </row>
    <row r="288" customFormat="false" ht="15" hidden="false" customHeight="false" outlineLevel="0" collapsed="false">
      <c r="A288" s="27"/>
      <c r="B288" s="1"/>
      <c r="C288" s="1"/>
      <c r="D288" s="1"/>
      <c r="E288" s="1"/>
      <c r="F288" s="1"/>
      <c r="G288" s="31"/>
      <c r="H288" s="28"/>
      <c r="I288" s="29"/>
      <c r="J288" s="20" t="str">
        <f aca="false">IF(D288="","",E288*H288)</f>
        <v/>
      </c>
      <c r="K288" s="20" t="str">
        <f aca="false">IF(D288="","",J288*I288)</f>
        <v/>
      </c>
      <c r="L288" s="20" t="str">
        <f aca="false">IF(D288="","",J288+K288)</f>
        <v/>
      </c>
    </row>
    <row r="289" customFormat="false" ht="15" hidden="false" customHeight="false" outlineLevel="0" collapsed="false">
      <c r="A289" s="27"/>
      <c r="B289" s="1"/>
      <c r="C289" s="1"/>
      <c r="D289" s="1"/>
      <c r="E289" s="1"/>
      <c r="F289" s="1"/>
      <c r="G289" s="31"/>
      <c r="H289" s="28"/>
      <c r="I289" s="29"/>
      <c r="J289" s="20" t="str">
        <f aca="false">IF(D289="","",E289*H289)</f>
        <v/>
      </c>
      <c r="K289" s="20" t="str">
        <f aca="false">IF(D289="","",J289*I289)</f>
        <v/>
      </c>
      <c r="L289" s="20" t="str">
        <f aca="false">IF(D289="","",J289+K289)</f>
        <v/>
      </c>
    </row>
    <row r="290" customFormat="false" ht="15" hidden="false" customHeight="false" outlineLevel="0" collapsed="false">
      <c r="A290" s="27"/>
      <c r="B290" s="1"/>
      <c r="C290" s="1"/>
      <c r="D290" s="1"/>
      <c r="E290" s="1"/>
      <c r="F290" s="1"/>
      <c r="G290" s="31"/>
      <c r="H290" s="28"/>
      <c r="I290" s="29"/>
      <c r="J290" s="20" t="str">
        <f aca="false">IF(D290="","",E290*H290)</f>
        <v/>
      </c>
      <c r="K290" s="20" t="str">
        <f aca="false">IF(D290="","",J290*I290)</f>
        <v/>
      </c>
      <c r="L290" s="20" t="str">
        <f aca="false">IF(D290="","",J290+K290)</f>
        <v/>
      </c>
    </row>
    <row r="291" customFormat="false" ht="15" hidden="false" customHeight="false" outlineLevel="0" collapsed="false">
      <c r="A291" s="27"/>
      <c r="B291" s="1"/>
      <c r="C291" s="1"/>
      <c r="D291" s="1"/>
      <c r="E291" s="1"/>
      <c r="F291" s="1"/>
      <c r="G291" s="31"/>
      <c r="H291" s="28"/>
      <c r="I291" s="29"/>
      <c r="J291" s="20" t="str">
        <f aca="false">IF(D291="","",E291*H291)</f>
        <v/>
      </c>
      <c r="K291" s="20" t="str">
        <f aca="false">IF(D291="","",J291*I291)</f>
        <v/>
      </c>
      <c r="L291" s="20" t="str">
        <f aca="false">IF(D291="","",J291+K291)</f>
        <v/>
      </c>
    </row>
    <row r="292" customFormat="false" ht="15" hidden="false" customHeight="false" outlineLevel="0" collapsed="false">
      <c r="A292" s="27"/>
      <c r="B292" s="1"/>
      <c r="C292" s="1"/>
      <c r="D292" s="1"/>
      <c r="E292" s="1"/>
      <c r="F292" s="1"/>
      <c r="G292" s="31"/>
      <c r="H292" s="28"/>
      <c r="I292" s="29"/>
      <c r="J292" s="20" t="str">
        <f aca="false">IF(D292="","",E292*H292)</f>
        <v/>
      </c>
      <c r="K292" s="20" t="str">
        <f aca="false">IF(D292="","",J292*I292)</f>
        <v/>
      </c>
      <c r="L292" s="20" t="str">
        <f aca="false">IF(D292="","",J292+K292)</f>
        <v/>
      </c>
    </row>
    <row r="293" customFormat="false" ht="15" hidden="false" customHeight="false" outlineLevel="0" collapsed="false">
      <c r="A293" s="27"/>
      <c r="B293" s="1"/>
      <c r="C293" s="1"/>
      <c r="D293" s="1"/>
      <c r="E293" s="1"/>
      <c r="F293" s="1"/>
      <c r="G293" s="31"/>
      <c r="H293" s="28"/>
      <c r="I293" s="29"/>
      <c r="J293" s="20" t="str">
        <f aca="false">IF(D293="","",E293*H293)</f>
        <v/>
      </c>
      <c r="K293" s="20" t="str">
        <f aca="false">IF(D293="","",J293*I293)</f>
        <v/>
      </c>
      <c r="L293" s="20" t="str">
        <f aca="false">IF(D293="","",J293+K293)</f>
        <v/>
      </c>
    </row>
    <row r="294" customFormat="false" ht="15" hidden="false" customHeight="false" outlineLevel="0" collapsed="false">
      <c r="A294" s="27"/>
      <c r="B294" s="1"/>
      <c r="C294" s="1"/>
      <c r="D294" s="1"/>
      <c r="E294" s="1"/>
      <c r="F294" s="1"/>
      <c r="G294" s="31"/>
      <c r="H294" s="28"/>
      <c r="I294" s="29"/>
      <c r="J294" s="20" t="str">
        <f aca="false">IF(D294="","",E294*H294)</f>
        <v/>
      </c>
      <c r="K294" s="20" t="str">
        <f aca="false">IF(D294="","",J294*I294)</f>
        <v/>
      </c>
      <c r="L294" s="20" t="str">
        <f aca="false">IF(D294="","",J294+K294)</f>
        <v/>
      </c>
    </row>
    <row r="295" customFormat="false" ht="15" hidden="false" customHeight="false" outlineLevel="0" collapsed="false">
      <c r="A295" s="27"/>
      <c r="B295" s="1"/>
      <c r="C295" s="1"/>
      <c r="D295" s="1"/>
      <c r="E295" s="1"/>
      <c r="F295" s="1"/>
      <c r="G295" s="31"/>
      <c r="H295" s="28"/>
      <c r="I295" s="29"/>
      <c r="J295" s="20" t="str">
        <f aca="false">IF(D295="","",E295*H295)</f>
        <v/>
      </c>
      <c r="K295" s="20" t="str">
        <f aca="false">IF(D295="","",J295*I295)</f>
        <v/>
      </c>
      <c r="L295" s="20" t="str">
        <f aca="false">IF(D295="","",J295+K295)</f>
        <v/>
      </c>
    </row>
    <row r="296" customFormat="false" ht="15" hidden="false" customHeight="false" outlineLevel="0" collapsed="false">
      <c r="A296" s="27"/>
      <c r="B296" s="1"/>
      <c r="C296" s="1"/>
      <c r="D296" s="1"/>
      <c r="E296" s="1"/>
      <c r="F296" s="1"/>
      <c r="G296" s="31"/>
      <c r="H296" s="28"/>
      <c r="I296" s="29"/>
      <c r="J296" s="20" t="str">
        <f aca="false">IF(D296="","",E296*H296)</f>
        <v/>
      </c>
      <c r="K296" s="20" t="str">
        <f aca="false">IF(D296="","",J296*I296)</f>
        <v/>
      </c>
      <c r="L296" s="20" t="str">
        <f aca="false">IF(D296="","",J296+K296)</f>
        <v/>
      </c>
    </row>
    <row r="297" customFormat="false" ht="15" hidden="false" customHeight="false" outlineLevel="0" collapsed="false">
      <c r="A297" s="27"/>
      <c r="B297" s="1"/>
      <c r="C297" s="1"/>
      <c r="D297" s="1"/>
      <c r="E297" s="1"/>
      <c r="F297" s="1"/>
      <c r="G297" s="31"/>
      <c r="H297" s="28"/>
      <c r="I297" s="29"/>
      <c r="J297" s="20" t="str">
        <f aca="false">IF(D297="","",E297*H297)</f>
        <v/>
      </c>
      <c r="K297" s="20" t="str">
        <f aca="false">IF(D297="","",J297*I297)</f>
        <v/>
      </c>
      <c r="L297" s="20" t="str">
        <f aca="false">IF(D297="","",J297+K297)</f>
        <v/>
      </c>
    </row>
    <row r="298" customFormat="false" ht="15" hidden="false" customHeight="false" outlineLevel="0" collapsed="false">
      <c r="A298" s="27"/>
      <c r="B298" s="1"/>
      <c r="C298" s="1"/>
      <c r="D298" s="1"/>
      <c r="E298" s="1"/>
      <c r="F298" s="1"/>
      <c r="G298" s="31"/>
      <c r="H298" s="28"/>
      <c r="I298" s="29"/>
      <c r="J298" s="20" t="str">
        <f aca="false">IF(D298="","",E298*H298)</f>
        <v/>
      </c>
      <c r="K298" s="20" t="str">
        <f aca="false">IF(D298="","",J298*I298)</f>
        <v/>
      </c>
      <c r="L298" s="20" t="str">
        <f aca="false">IF(D298="","",J298+K298)</f>
        <v/>
      </c>
    </row>
    <row r="299" customFormat="false" ht="15" hidden="false" customHeight="false" outlineLevel="0" collapsed="false">
      <c r="A299" s="27"/>
      <c r="B299" s="1"/>
      <c r="C299" s="1"/>
      <c r="D299" s="1"/>
      <c r="E299" s="1"/>
      <c r="F299" s="1"/>
      <c r="G299" s="31"/>
      <c r="H299" s="28"/>
      <c r="I299" s="29"/>
      <c r="J299" s="20" t="str">
        <f aca="false">IF(D299="","",E299*H299)</f>
        <v/>
      </c>
      <c r="K299" s="20" t="str">
        <f aca="false">IF(D299="","",J299*I299)</f>
        <v/>
      </c>
      <c r="L299" s="20" t="str">
        <f aca="false">IF(D299="","",J299+K299)</f>
        <v/>
      </c>
    </row>
    <row r="300" customFormat="false" ht="15" hidden="false" customHeight="false" outlineLevel="0" collapsed="false">
      <c r="A300" s="27"/>
      <c r="B300" s="1"/>
      <c r="C300" s="1"/>
      <c r="D300" s="1"/>
      <c r="E300" s="1"/>
      <c r="F300" s="1"/>
      <c r="G300" s="31"/>
      <c r="H300" s="28"/>
      <c r="I300" s="29"/>
      <c r="J300" s="20" t="str">
        <f aca="false">IF(D300="","",E300*H300)</f>
        <v/>
      </c>
      <c r="K300" s="20" t="str">
        <f aca="false">IF(D300="","",J300*I300)</f>
        <v/>
      </c>
      <c r="L300" s="20" t="str">
        <f aca="false">IF(D300="","",J300+K300)</f>
        <v/>
      </c>
    </row>
    <row r="301" customFormat="false" ht="15" hidden="false" customHeight="false" outlineLevel="0" collapsed="false">
      <c r="A301" s="27"/>
      <c r="B301" s="1"/>
      <c r="C301" s="1"/>
      <c r="D301" s="1"/>
      <c r="E301" s="1"/>
      <c r="F301" s="1"/>
      <c r="G301" s="31"/>
      <c r="H301" s="28"/>
      <c r="I301" s="29"/>
      <c r="J301" s="20" t="str">
        <f aca="false">IF(D301="","",E301*H301)</f>
        <v/>
      </c>
      <c r="K301" s="20" t="str">
        <f aca="false">IF(D301="","",J301*I301)</f>
        <v/>
      </c>
      <c r="L301" s="20" t="str">
        <f aca="false">IF(D301="","",J301+K301)</f>
        <v/>
      </c>
    </row>
    <row r="302" customFormat="false" ht="15" hidden="false" customHeight="false" outlineLevel="0" collapsed="false">
      <c r="A302" s="27"/>
      <c r="B302" s="1"/>
      <c r="C302" s="1"/>
      <c r="D302" s="1"/>
      <c r="E302" s="1"/>
      <c r="F302" s="1"/>
      <c r="G302" s="31"/>
      <c r="H302" s="28"/>
      <c r="I302" s="29"/>
      <c r="J302" s="20" t="str">
        <f aca="false">IF(D302="","",E302*H302)</f>
        <v/>
      </c>
      <c r="K302" s="20" t="str">
        <f aca="false">IF(D302="","",J302*I302)</f>
        <v/>
      </c>
      <c r="L302" s="20" t="str">
        <f aca="false">IF(D302="","",J302+K302)</f>
        <v/>
      </c>
    </row>
    <row r="303" customFormat="false" ht="15" hidden="false" customHeight="false" outlineLevel="0" collapsed="false">
      <c r="A303" s="27"/>
      <c r="B303" s="1"/>
      <c r="C303" s="1"/>
      <c r="D303" s="1"/>
      <c r="E303" s="1"/>
      <c r="F303" s="1"/>
      <c r="G303" s="31"/>
      <c r="H303" s="28"/>
      <c r="I303" s="29"/>
      <c r="J303" s="20" t="str">
        <f aca="false">IF(D303="","",E303*H303)</f>
        <v/>
      </c>
      <c r="K303" s="20" t="str">
        <f aca="false">IF(D303="","",J303*I303)</f>
        <v/>
      </c>
      <c r="L303" s="20" t="str">
        <f aca="false">IF(D303="","",J303+K303)</f>
        <v/>
      </c>
    </row>
    <row r="304" customFormat="false" ht="15" hidden="false" customHeight="false" outlineLevel="0" collapsed="false">
      <c r="A304" s="27"/>
      <c r="B304" s="1"/>
      <c r="C304" s="1"/>
      <c r="D304" s="1"/>
      <c r="E304" s="1"/>
      <c r="F304" s="1"/>
      <c r="G304" s="31"/>
      <c r="H304" s="28"/>
      <c r="I304" s="29"/>
      <c r="J304" s="20" t="str">
        <f aca="false">IF(D304="","",E304*H304)</f>
        <v/>
      </c>
      <c r="K304" s="20" t="str">
        <f aca="false">IF(D304="","",J304*I304)</f>
        <v/>
      </c>
      <c r="L304" s="20" t="str">
        <f aca="false">IF(D304="","",J304+K304)</f>
        <v/>
      </c>
    </row>
    <row r="305" customFormat="false" ht="15" hidden="false" customHeight="false" outlineLevel="0" collapsed="false">
      <c r="A305" s="27"/>
      <c r="B305" s="1"/>
      <c r="C305" s="1"/>
      <c r="D305" s="1"/>
      <c r="E305" s="1"/>
      <c r="F305" s="1"/>
      <c r="G305" s="31"/>
      <c r="H305" s="28"/>
      <c r="I305" s="29"/>
      <c r="J305" s="20" t="str">
        <f aca="false">IF(D305="","",E305*H305)</f>
        <v/>
      </c>
      <c r="K305" s="20" t="str">
        <f aca="false">IF(D305="","",J305*I305)</f>
        <v/>
      </c>
      <c r="L305" s="20" t="str">
        <f aca="false">IF(D305="","",J305+K305)</f>
        <v/>
      </c>
    </row>
    <row r="306" customFormat="false" ht="15" hidden="false" customHeight="false" outlineLevel="0" collapsed="false">
      <c r="A306" s="27"/>
      <c r="B306" s="1"/>
      <c r="C306" s="1"/>
      <c r="D306" s="1"/>
      <c r="E306" s="1"/>
      <c r="F306" s="1"/>
      <c r="G306" s="31"/>
      <c r="H306" s="28"/>
      <c r="I306" s="29"/>
      <c r="J306" s="20" t="str">
        <f aca="false">IF(D306="","",E306*H306)</f>
        <v/>
      </c>
      <c r="K306" s="20" t="str">
        <f aca="false">IF(D306="","",J306*I306)</f>
        <v/>
      </c>
      <c r="L306" s="20" t="str">
        <f aca="false">IF(D306="","",J306+K306)</f>
        <v/>
      </c>
    </row>
    <row r="307" customFormat="false" ht="15" hidden="false" customHeight="false" outlineLevel="0" collapsed="false">
      <c r="A307" s="27"/>
      <c r="B307" s="1"/>
      <c r="C307" s="1"/>
      <c r="D307" s="1"/>
      <c r="E307" s="1"/>
      <c r="F307" s="1"/>
      <c r="G307" s="31"/>
      <c r="H307" s="28"/>
      <c r="I307" s="29"/>
      <c r="J307" s="20" t="str">
        <f aca="false">IF(D307="","",E307*H307)</f>
        <v/>
      </c>
      <c r="K307" s="20" t="str">
        <f aca="false">IF(D307="","",J307*I307)</f>
        <v/>
      </c>
      <c r="L307" s="20" t="str">
        <f aca="false">IF(D307="","",J307+K307)</f>
        <v/>
      </c>
    </row>
    <row r="308" customFormat="false" ht="15" hidden="false" customHeight="false" outlineLevel="0" collapsed="false">
      <c r="A308" s="27"/>
      <c r="B308" s="1"/>
      <c r="C308" s="1"/>
      <c r="D308" s="1"/>
      <c r="E308" s="1"/>
      <c r="F308" s="1"/>
      <c r="G308" s="31"/>
      <c r="H308" s="28"/>
      <c r="I308" s="29"/>
      <c r="J308" s="20" t="str">
        <f aca="false">IF(D308="","",E308*H308)</f>
        <v/>
      </c>
      <c r="K308" s="20" t="str">
        <f aca="false">IF(D308="","",J308*I308)</f>
        <v/>
      </c>
      <c r="L308" s="20" t="str">
        <f aca="false">IF(D308="","",J308+K308)</f>
        <v/>
      </c>
    </row>
    <row r="309" customFormat="false" ht="15" hidden="false" customHeight="false" outlineLevel="0" collapsed="false">
      <c r="A309" s="27"/>
      <c r="B309" s="1"/>
      <c r="C309" s="1"/>
      <c r="D309" s="1"/>
      <c r="E309" s="1"/>
      <c r="F309" s="1"/>
      <c r="G309" s="31"/>
      <c r="H309" s="28"/>
      <c r="I309" s="29"/>
      <c r="J309" s="20" t="str">
        <f aca="false">IF(D309="","",E309*H309)</f>
        <v/>
      </c>
      <c r="K309" s="20" t="str">
        <f aca="false">IF(D309="","",J309*I309)</f>
        <v/>
      </c>
      <c r="L309" s="20" t="str">
        <f aca="false">IF(D309="","",J309+K309)</f>
        <v/>
      </c>
    </row>
    <row r="310" customFormat="false" ht="15" hidden="false" customHeight="false" outlineLevel="0" collapsed="false">
      <c r="A310" s="27"/>
      <c r="B310" s="1"/>
      <c r="C310" s="1"/>
      <c r="D310" s="1"/>
      <c r="E310" s="1"/>
      <c r="F310" s="1"/>
      <c r="G310" s="31"/>
      <c r="H310" s="28"/>
      <c r="I310" s="29"/>
      <c r="J310" s="20" t="str">
        <f aca="false">IF(D310="","",E310*H310)</f>
        <v/>
      </c>
      <c r="K310" s="20" t="str">
        <f aca="false">IF(D310="","",J310*I310)</f>
        <v/>
      </c>
      <c r="L310" s="20" t="str">
        <f aca="false">IF(D310="","",J310+K310)</f>
        <v/>
      </c>
    </row>
    <row r="311" customFormat="false" ht="15" hidden="false" customHeight="false" outlineLevel="0" collapsed="false">
      <c r="A311" s="27"/>
      <c r="B311" s="1"/>
      <c r="C311" s="1"/>
      <c r="D311" s="1"/>
      <c r="E311" s="1"/>
      <c r="F311" s="1"/>
      <c r="G311" s="31"/>
      <c r="H311" s="28"/>
      <c r="I311" s="29"/>
      <c r="J311" s="20" t="str">
        <f aca="false">IF(D311="","",E311*H311)</f>
        <v/>
      </c>
      <c r="K311" s="20" t="str">
        <f aca="false">IF(D311="","",J311*I311)</f>
        <v/>
      </c>
      <c r="L311" s="20" t="str">
        <f aca="false">IF(D311="","",J311+K311)</f>
        <v/>
      </c>
    </row>
    <row r="312" customFormat="false" ht="15" hidden="false" customHeight="false" outlineLevel="0" collapsed="false">
      <c r="A312" s="27"/>
      <c r="B312" s="1"/>
      <c r="C312" s="1"/>
      <c r="D312" s="1"/>
      <c r="E312" s="1"/>
      <c r="F312" s="1"/>
      <c r="G312" s="31"/>
      <c r="H312" s="28"/>
      <c r="I312" s="29"/>
      <c r="J312" s="20" t="str">
        <f aca="false">IF(D312="","",E312*H312)</f>
        <v/>
      </c>
      <c r="K312" s="20" t="str">
        <f aca="false">IF(D312="","",J312*I312)</f>
        <v/>
      </c>
      <c r="L312" s="20" t="str">
        <f aca="false">IF(D312="","",J312+K312)</f>
        <v/>
      </c>
    </row>
    <row r="313" customFormat="false" ht="15" hidden="false" customHeight="false" outlineLevel="0" collapsed="false">
      <c r="A313" s="27"/>
      <c r="B313" s="1"/>
      <c r="C313" s="1"/>
      <c r="D313" s="1"/>
      <c r="E313" s="1"/>
      <c r="F313" s="1"/>
      <c r="G313" s="31"/>
      <c r="H313" s="28"/>
      <c r="I313" s="29"/>
      <c r="J313" s="20" t="str">
        <f aca="false">IF(D313="","",E313*H313)</f>
        <v/>
      </c>
      <c r="K313" s="20" t="str">
        <f aca="false">IF(D313="","",J313*I313)</f>
        <v/>
      </c>
      <c r="L313" s="20" t="str">
        <f aca="false">IF(D313="","",J313+K313)</f>
        <v/>
      </c>
    </row>
    <row r="314" customFormat="false" ht="15" hidden="false" customHeight="false" outlineLevel="0" collapsed="false">
      <c r="A314" s="27"/>
      <c r="B314" s="1"/>
      <c r="C314" s="1"/>
      <c r="D314" s="1"/>
      <c r="E314" s="1"/>
      <c r="F314" s="1"/>
      <c r="G314" s="31"/>
      <c r="H314" s="28"/>
      <c r="I314" s="29"/>
      <c r="J314" s="20" t="str">
        <f aca="false">IF(D314="","",E314*H314)</f>
        <v/>
      </c>
      <c r="K314" s="20" t="str">
        <f aca="false">IF(D314="","",J314*I314)</f>
        <v/>
      </c>
      <c r="L314" s="20" t="str">
        <f aca="false">IF(D314="","",J314+K314)</f>
        <v/>
      </c>
    </row>
    <row r="315" customFormat="false" ht="15" hidden="false" customHeight="false" outlineLevel="0" collapsed="false">
      <c r="A315" s="27"/>
      <c r="B315" s="1"/>
      <c r="C315" s="1"/>
      <c r="D315" s="1"/>
      <c r="E315" s="1"/>
      <c r="F315" s="1"/>
      <c r="G315" s="31"/>
      <c r="H315" s="28"/>
      <c r="I315" s="29"/>
      <c r="J315" s="20" t="str">
        <f aca="false">IF(D315="","",E315*H315)</f>
        <v/>
      </c>
      <c r="K315" s="20" t="str">
        <f aca="false">IF(D315="","",J315*I315)</f>
        <v/>
      </c>
      <c r="L315" s="20" t="str">
        <f aca="false">IF(D315="","",J315+K315)</f>
        <v/>
      </c>
    </row>
    <row r="316" customFormat="false" ht="15" hidden="false" customHeight="false" outlineLevel="0" collapsed="false">
      <c r="A316" s="27"/>
      <c r="B316" s="1"/>
      <c r="C316" s="1"/>
      <c r="D316" s="1"/>
      <c r="E316" s="1"/>
      <c r="F316" s="1"/>
      <c r="G316" s="31"/>
      <c r="H316" s="28"/>
      <c r="I316" s="29"/>
      <c r="J316" s="20" t="str">
        <f aca="false">IF(D316="","",E316*H316)</f>
        <v/>
      </c>
      <c r="K316" s="20" t="str">
        <f aca="false">IF(D316="","",J316*I316)</f>
        <v/>
      </c>
      <c r="L316" s="20" t="str">
        <f aca="false">IF(D316="","",J316+K316)</f>
        <v/>
      </c>
    </row>
    <row r="317" customFormat="false" ht="15" hidden="false" customHeight="false" outlineLevel="0" collapsed="false">
      <c r="A317" s="27"/>
      <c r="B317" s="1"/>
      <c r="C317" s="1"/>
      <c r="D317" s="1"/>
      <c r="E317" s="1"/>
      <c r="F317" s="1"/>
      <c r="G317" s="31"/>
      <c r="H317" s="28"/>
      <c r="I317" s="29"/>
      <c r="J317" s="20" t="str">
        <f aca="false">IF(D317="","",E317*H317)</f>
        <v/>
      </c>
      <c r="K317" s="20" t="str">
        <f aca="false">IF(D317="","",J317*I317)</f>
        <v/>
      </c>
      <c r="L317" s="20" t="str">
        <f aca="false">IF(D317="","",J317+K317)</f>
        <v/>
      </c>
    </row>
    <row r="318" customFormat="false" ht="15" hidden="false" customHeight="false" outlineLevel="0" collapsed="false">
      <c r="A318" s="27"/>
      <c r="B318" s="1"/>
      <c r="C318" s="1"/>
      <c r="D318" s="1"/>
      <c r="E318" s="1"/>
      <c r="F318" s="1"/>
      <c r="G318" s="31"/>
      <c r="H318" s="28"/>
      <c r="I318" s="29"/>
      <c r="J318" s="20" t="str">
        <f aca="false">IF(D318="","",E318*H318)</f>
        <v/>
      </c>
      <c r="K318" s="20" t="str">
        <f aca="false">IF(D318="","",J318*I318)</f>
        <v/>
      </c>
      <c r="L318" s="20" t="str">
        <f aca="false">IF(D318="","",J318+K318)</f>
        <v/>
      </c>
    </row>
    <row r="319" customFormat="false" ht="15" hidden="false" customHeight="false" outlineLevel="0" collapsed="false">
      <c r="A319" s="27"/>
      <c r="B319" s="1"/>
      <c r="C319" s="1"/>
      <c r="D319" s="1"/>
      <c r="E319" s="1"/>
      <c r="F319" s="1"/>
      <c r="G319" s="31"/>
      <c r="H319" s="28"/>
      <c r="I319" s="29"/>
      <c r="J319" s="20" t="str">
        <f aca="false">IF(D319="","",E319*H319)</f>
        <v/>
      </c>
      <c r="K319" s="20" t="str">
        <f aca="false">IF(D319="","",J319*I319)</f>
        <v/>
      </c>
      <c r="L319" s="20" t="str">
        <f aca="false">IF(D319="","",J319+K319)</f>
        <v/>
      </c>
    </row>
    <row r="320" customFormat="false" ht="15" hidden="false" customHeight="false" outlineLevel="0" collapsed="false">
      <c r="A320" s="27"/>
      <c r="B320" s="1"/>
      <c r="C320" s="1"/>
      <c r="D320" s="1"/>
      <c r="E320" s="1"/>
      <c r="F320" s="1"/>
      <c r="G320" s="31"/>
      <c r="H320" s="28"/>
      <c r="I320" s="29"/>
      <c r="J320" s="20" t="str">
        <f aca="false">IF(D320="","",E320*H320)</f>
        <v/>
      </c>
      <c r="K320" s="20" t="str">
        <f aca="false">IF(D320="","",J320*I320)</f>
        <v/>
      </c>
      <c r="L320" s="20" t="str">
        <f aca="false">IF(D320="","",J320+K320)</f>
        <v/>
      </c>
    </row>
    <row r="321" customFormat="false" ht="15" hidden="false" customHeight="false" outlineLevel="0" collapsed="false">
      <c r="A321" s="27"/>
      <c r="B321" s="1"/>
      <c r="C321" s="1"/>
      <c r="D321" s="1"/>
      <c r="E321" s="1"/>
      <c r="F321" s="1"/>
      <c r="G321" s="31"/>
      <c r="H321" s="28"/>
      <c r="I321" s="29"/>
      <c r="J321" s="20" t="str">
        <f aca="false">IF(D321="","",E321*H321)</f>
        <v/>
      </c>
      <c r="K321" s="20" t="str">
        <f aca="false">IF(D321="","",J321*I321)</f>
        <v/>
      </c>
      <c r="L321" s="20" t="str">
        <f aca="false">IF(D321="","",J321+K321)</f>
        <v/>
      </c>
    </row>
    <row r="322" customFormat="false" ht="15" hidden="false" customHeight="false" outlineLevel="0" collapsed="false">
      <c r="A322" s="27"/>
      <c r="B322" s="1"/>
      <c r="C322" s="1"/>
      <c r="D322" s="1"/>
      <c r="E322" s="1"/>
      <c r="F322" s="1"/>
      <c r="G322" s="31"/>
      <c r="H322" s="28"/>
      <c r="I322" s="29"/>
      <c r="J322" s="20" t="str">
        <f aca="false">IF(D322="","",E322*H322)</f>
        <v/>
      </c>
      <c r="K322" s="20" t="str">
        <f aca="false">IF(D322="","",J322*I322)</f>
        <v/>
      </c>
      <c r="L322" s="20" t="str">
        <f aca="false">IF(D322="","",J322+K322)</f>
        <v/>
      </c>
    </row>
    <row r="323" customFormat="false" ht="15" hidden="false" customHeight="false" outlineLevel="0" collapsed="false">
      <c r="A323" s="27"/>
      <c r="B323" s="1"/>
      <c r="C323" s="1"/>
      <c r="D323" s="1"/>
      <c r="E323" s="1"/>
      <c r="F323" s="1"/>
      <c r="G323" s="31"/>
      <c r="H323" s="28"/>
      <c r="I323" s="29"/>
      <c r="J323" s="20" t="str">
        <f aca="false">IF(D323="","",E323*H323)</f>
        <v/>
      </c>
      <c r="K323" s="20" t="str">
        <f aca="false">IF(D323="","",J323*I323)</f>
        <v/>
      </c>
      <c r="L323" s="20" t="str">
        <f aca="false">IF(D323="","",J323+K323)</f>
        <v/>
      </c>
    </row>
    <row r="324" customFormat="false" ht="15" hidden="false" customHeight="false" outlineLevel="0" collapsed="false">
      <c r="A324" s="27"/>
      <c r="B324" s="1"/>
      <c r="C324" s="1"/>
      <c r="D324" s="1"/>
      <c r="E324" s="1"/>
      <c r="F324" s="1"/>
      <c r="G324" s="31"/>
      <c r="H324" s="28"/>
      <c r="I324" s="29"/>
      <c r="J324" s="20" t="str">
        <f aca="false">IF(D324="","",E324*H324)</f>
        <v/>
      </c>
      <c r="K324" s="20" t="str">
        <f aca="false">IF(D324="","",J324*I324)</f>
        <v/>
      </c>
      <c r="L324" s="20" t="str">
        <f aca="false">IF(D324="","",J324+K324)</f>
        <v/>
      </c>
    </row>
    <row r="325" customFormat="false" ht="15" hidden="false" customHeight="false" outlineLevel="0" collapsed="false">
      <c r="A325" s="27"/>
      <c r="B325" s="1"/>
      <c r="C325" s="1"/>
      <c r="D325" s="1"/>
      <c r="E325" s="1"/>
      <c r="F325" s="1"/>
      <c r="G325" s="31"/>
      <c r="H325" s="28"/>
      <c r="I325" s="29"/>
      <c r="J325" s="20" t="str">
        <f aca="false">IF(D325="","",E325*H325)</f>
        <v/>
      </c>
      <c r="K325" s="20" t="str">
        <f aca="false">IF(D325="","",J325*I325)</f>
        <v/>
      </c>
      <c r="L325" s="20" t="str">
        <f aca="false">IF(D325="","",J325+K325)</f>
        <v/>
      </c>
    </row>
    <row r="326" customFormat="false" ht="15" hidden="false" customHeight="false" outlineLevel="0" collapsed="false">
      <c r="A326" s="27"/>
      <c r="B326" s="1"/>
      <c r="C326" s="1"/>
      <c r="D326" s="1"/>
      <c r="E326" s="1"/>
      <c r="F326" s="1"/>
      <c r="G326" s="31"/>
      <c r="H326" s="28"/>
      <c r="I326" s="29"/>
      <c r="J326" s="20" t="str">
        <f aca="false">IF(D326="","",E326*H326)</f>
        <v/>
      </c>
      <c r="K326" s="20" t="str">
        <f aca="false">IF(D326="","",J326*I326)</f>
        <v/>
      </c>
      <c r="L326" s="20" t="str">
        <f aca="false">IF(D326="","",J326+K326)</f>
        <v/>
      </c>
    </row>
    <row r="327" customFormat="false" ht="15" hidden="false" customHeight="false" outlineLevel="0" collapsed="false">
      <c r="A327" s="27"/>
      <c r="B327" s="1"/>
      <c r="C327" s="1"/>
      <c r="D327" s="1"/>
      <c r="E327" s="1"/>
      <c r="F327" s="1"/>
      <c r="G327" s="31"/>
      <c r="H327" s="28"/>
      <c r="I327" s="29"/>
      <c r="J327" s="20" t="str">
        <f aca="false">IF(D327="","",E327*H327)</f>
        <v/>
      </c>
      <c r="K327" s="20" t="str">
        <f aca="false">IF(D327="","",J327*I327)</f>
        <v/>
      </c>
      <c r="L327" s="20" t="str">
        <f aca="false">IF(D327="","",J327+K327)</f>
        <v/>
      </c>
    </row>
    <row r="328" customFormat="false" ht="15" hidden="false" customHeight="false" outlineLevel="0" collapsed="false">
      <c r="A328" s="27"/>
      <c r="B328" s="1"/>
      <c r="C328" s="1"/>
      <c r="D328" s="1"/>
      <c r="E328" s="1"/>
      <c r="F328" s="1"/>
      <c r="G328" s="31"/>
      <c r="H328" s="28"/>
      <c r="I328" s="29"/>
      <c r="J328" s="20" t="str">
        <f aca="false">IF(D328="","",E328*H328)</f>
        <v/>
      </c>
      <c r="K328" s="20" t="str">
        <f aca="false">IF(D328="","",J328*I328)</f>
        <v/>
      </c>
      <c r="L328" s="20" t="str">
        <f aca="false">IF(D328="","",J328+K328)</f>
        <v/>
      </c>
    </row>
    <row r="329" customFormat="false" ht="15" hidden="false" customHeight="false" outlineLevel="0" collapsed="false">
      <c r="A329" s="27"/>
      <c r="B329" s="1"/>
      <c r="C329" s="1"/>
      <c r="D329" s="1"/>
      <c r="E329" s="1"/>
      <c r="F329" s="1"/>
      <c r="G329" s="31"/>
      <c r="H329" s="28"/>
      <c r="I329" s="29"/>
      <c r="J329" s="20" t="str">
        <f aca="false">IF(D329="","",E329*H329)</f>
        <v/>
      </c>
      <c r="K329" s="20" t="str">
        <f aca="false">IF(D329="","",J329*I329)</f>
        <v/>
      </c>
      <c r="L329" s="20" t="str">
        <f aca="false">IF(D329="","",J329+K329)</f>
        <v/>
      </c>
    </row>
    <row r="330" customFormat="false" ht="15" hidden="false" customHeight="false" outlineLevel="0" collapsed="false">
      <c r="A330" s="27"/>
      <c r="B330" s="1"/>
      <c r="C330" s="1"/>
      <c r="D330" s="1"/>
      <c r="E330" s="1"/>
      <c r="F330" s="1"/>
      <c r="G330" s="31"/>
      <c r="H330" s="28"/>
      <c r="I330" s="29"/>
      <c r="J330" s="20" t="str">
        <f aca="false">IF(D330="","",E330*H330)</f>
        <v/>
      </c>
      <c r="K330" s="20" t="str">
        <f aca="false">IF(D330="","",J330*I330)</f>
        <v/>
      </c>
      <c r="L330" s="20" t="str">
        <f aca="false">IF(D330="","",J330+K330)</f>
        <v/>
      </c>
    </row>
    <row r="331" customFormat="false" ht="15" hidden="false" customHeight="false" outlineLevel="0" collapsed="false">
      <c r="A331" s="27"/>
      <c r="B331" s="1"/>
      <c r="C331" s="1"/>
      <c r="D331" s="1"/>
      <c r="E331" s="1"/>
      <c r="F331" s="1"/>
      <c r="G331" s="31"/>
      <c r="H331" s="28"/>
      <c r="I331" s="29"/>
      <c r="J331" s="20" t="str">
        <f aca="false">IF(D331="","",E331*H331)</f>
        <v/>
      </c>
      <c r="K331" s="20" t="str">
        <f aca="false">IF(D331="","",J331*I331)</f>
        <v/>
      </c>
      <c r="L331" s="20" t="str">
        <f aca="false">IF(D331="","",J331+K331)</f>
        <v/>
      </c>
    </row>
    <row r="332" customFormat="false" ht="15" hidden="false" customHeight="false" outlineLevel="0" collapsed="false">
      <c r="A332" s="27"/>
      <c r="B332" s="1"/>
      <c r="C332" s="1"/>
      <c r="D332" s="1"/>
      <c r="E332" s="1"/>
      <c r="F332" s="1"/>
      <c r="G332" s="31"/>
      <c r="H332" s="28"/>
      <c r="I332" s="29"/>
      <c r="J332" s="20" t="str">
        <f aca="false">IF(D332="","",E332*H332)</f>
        <v/>
      </c>
      <c r="K332" s="20" t="str">
        <f aca="false">IF(D332="","",J332*I332)</f>
        <v/>
      </c>
      <c r="L332" s="20" t="str">
        <f aca="false">IF(D332="","",J332+K332)</f>
        <v/>
      </c>
    </row>
    <row r="333" customFormat="false" ht="15" hidden="false" customHeight="false" outlineLevel="0" collapsed="false">
      <c r="A333" s="27"/>
      <c r="B333" s="1"/>
      <c r="C333" s="1"/>
      <c r="D333" s="1"/>
      <c r="E333" s="1"/>
      <c r="F333" s="1"/>
      <c r="G333" s="31"/>
      <c r="H333" s="28"/>
      <c r="I333" s="29"/>
      <c r="J333" s="20" t="str">
        <f aca="false">IF(D333="","",E333*H333)</f>
        <v/>
      </c>
      <c r="K333" s="20" t="str">
        <f aca="false">IF(D333="","",J333*I333)</f>
        <v/>
      </c>
      <c r="L333" s="20" t="str">
        <f aca="false">IF(D333="","",J333+K333)</f>
        <v/>
      </c>
    </row>
    <row r="334" customFormat="false" ht="15" hidden="false" customHeight="false" outlineLevel="0" collapsed="false">
      <c r="A334" s="27"/>
      <c r="B334" s="1"/>
      <c r="C334" s="1"/>
      <c r="D334" s="1"/>
      <c r="E334" s="1"/>
      <c r="F334" s="1"/>
      <c r="G334" s="31"/>
      <c r="H334" s="28"/>
      <c r="I334" s="29"/>
      <c r="J334" s="20" t="str">
        <f aca="false">IF(D334="","",E334*H334)</f>
        <v/>
      </c>
      <c r="K334" s="20" t="str">
        <f aca="false">IF(D334="","",J334*I334)</f>
        <v/>
      </c>
      <c r="L334" s="20" t="str">
        <f aca="false">IF(D334="","",J334+K334)</f>
        <v/>
      </c>
    </row>
    <row r="335" customFormat="false" ht="15" hidden="false" customHeight="false" outlineLevel="0" collapsed="false">
      <c r="A335" s="27"/>
      <c r="B335" s="1"/>
      <c r="C335" s="1"/>
      <c r="D335" s="1"/>
      <c r="E335" s="1"/>
      <c r="F335" s="1"/>
      <c r="G335" s="31"/>
      <c r="H335" s="28"/>
      <c r="I335" s="29"/>
      <c r="J335" s="20" t="str">
        <f aca="false">IF(D335="","",E335*H335)</f>
        <v/>
      </c>
      <c r="K335" s="20" t="str">
        <f aca="false">IF(D335="","",J335*I335)</f>
        <v/>
      </c>
      <c r="L335" s="20" t="str">
        <f aca="false">IF(D335="","",J335+K335)</f>
        <v/>
      </c>
    </row>
    <row r="336" customFormat="false" ht="15" hidden="false" customHeight="false" outlineLevel="0" collapsed="false">
      <c r="A336" s="27"/>
      <c r="B336" s="1"/>
      <c r="C336" s="1"/>
      <c r="D336" s="1"/>
      <c r="E336" s="1"/>
      <c r="F336" s="1"/>
      <c r="G336" s="31"/>
      <c r="H336" s="28"/>
      <c r="I336" s="29"/>
      <c r="J336" s="20" t="str">
        <f aca="false">IF(D336="","",E336*H336)</f>
        <v/>
      </c>
      <c r="K336" s="20" t="str">
        <f aca="false">IF(D336="","",J336*I336)</f>
        <v/>
      </c>
      <c r="L336" s="20" t="str">
        <f aca="false">IF(D336="","",J336+K336)</f>
        <v/>
      </c>
    </row>
    <row r="337" customFormat="false" ht="15" hidden="false" customHeight="false" outlineLevel="0" collapsed="false">
      <c r="A337" s="27"/>
      <c r="B337" s="1"/>
      <c r="C337" s="1"/>
      <c r="D337" s="1"/>
      <c r="E337" s="1"/>
      <c r="F337" s="1"/>
      <c r="G337" s="31"/>
      <c r="H337" s="28"/>
      <c r="I337" s="29"/>
      <c r="J337" s="20" t="str">
        <f aca="false">IF(D337="","",E337*H337)</f>
        <v/>
      </c>
      <c r="K337" s="20" t="str">
        <f aca="false">IF(D337="","",J337*I337)</f>
        <v/>
      </c>
      <c r="L337" s="20" t="str">
        <f aca="false">IF(D337="","",J337+K337)</f>
        <v/>
      </c>
    </row>
    <row r="338" customFormat="false" ht="15" hidden="false" customHeight="false" outlineLevel="0" collapsed="false">
      <c r="A338" s="27"/>
      <c r="B338" s="1"/>
      <c r="C338" s="1"/>
      <c r="D338" s="1"/>
      <c r="E338" s="1"/>
      <c r="F338" s="1"/>
      <c r="G338" s="31"/>
      <c r="H338" s="28"/>
      <c r="I338" s="29"/>
      <c r="J338" s="20" t="str">
        <f aca="false">IF(D338="","",E338*H338)</f>
        <v/>
      </c>
      <c r="K338" s="20" t="str">
        <f aca="false">IF(D338="","",J338*I338)</f>
        <v/>
      </c>
      <c r="L338" s="20" t="str">
        <f aca="false">IF(D338="","",J338+K338)</f>
        <v/>
      </c>
    </row>
    <row r="339" customFormat="false" ht="15" hidden="false" customHeight="false" outlineLevel="0" collapsed="false">
      <c r="A339" s="27"/>
      <c r="B339" s="1"/>
      <c r="C339" s="1"/>
      <c r="D339" s="1"/>
      <c r="E339" s="1"/>
      <c r="F339" s="1"/>
      <c r="G339" s="31"/>
      <c r="H339" s="28"/>
      <c r="I339" s="29"/>
      <c r="J339" s="20" t="str">
        <f aca="false">IF(D339="","",E339*H339)</f>
        <v/>
      </c>
      <c r="K339" s="20" t="str">
        <f aca="false">IF(D339="","",J339*I339)</f>
        <v/>
      </c>
      <c r="L339" s="20" t="str">
        <f aca="false">IF(D339="","",J339+K339)</f>
        <v/>
      </c>
    </row>
    <row r="340" customFormat="false" ht="15" hidden="false" customHeight="false" outlineLevel="0" collapsed="false">
      <c r="A340" s="27"/>
      <c r="B340" s="1"/>
      <c r="C340" s="1"/>
      <c r="D340" s="1"/>
      <c r="E340" s="1"/>
      <c r="F340" s="1"/>
      <c r="G340" s="31"/>
      <c r="H340" s="28"/>
      <c r="I340" s="29"/>
      <c r="J340" s="20" t="str">
        <f aca="false">IF(D340="","",E340*H340)</f>
        <v/>
      </c>
      <c r="K340" s="20" t="str">
        <f aca="false">IF(D340="","",J340*I340)</f>
        <v/>
      </c>
      <c r="L340" s="20" t="str">
        <f aca="false">IF(D340="","",J340+K340)</f>
        <v/>
      </c>
    </row>
    <row r="341" customFormat="false" ht="15" hidden="false" customHeight="false" outlineLevel="0" collapsed="false">
      <c r="A341" s="27"/>
      <c r="B341" s="1"/>
      <c r="C341" s="1"/>
      <c r="D341" s="1"/>
      <c r="E341" s="1"/>
      <c r="F341" s="1"/>
      <c r="G341" s="31"/>
      <c r="H341" s="28"/>
      <c r="I341" s="29"/>
      <c r="J341" s="20" t="str">
        <f aca="false">IF(D341="","",E341*H341)</f>
        <v/>
      </c>
      <c r="K341" s="20" t="str">
        <f aca="false">IF(D341="","",J341*I341)</f>
        <v/>
      </c>
      <c r="L341" s="20" t="str">
        <f aca="false">IF(D341="","",J341+K341)</f>
        <v/>
      </c>
    </row>
    <row r="342" customFormat="false" ht="15" hidden="false" customHeight="false" outlineLevel="0" collapsed="false">
      <c r="A342" s="27"/>
      <c r="B342" s="1"/>
      <c r="C342" s="1"/>
      <c r="D342" s="1"/>
      <c r="E342" s="1"/>
      <c r="F342" s="1"/>
      <c r="G342" s="31"/>
      <c r="H342" s="28"/>
      <c r="I342" s="29"/>
      <c r="J342" s="20" t="str">
        <f aca="false">IF(D342="","",E342*H342)</f>
        <v/>
      </c>
      <c r="K342" s="20" t="str">
        <f aca="false">IF(D342="","",J342*I342)</f>
        <v/>
      </c>
      <c r="L342" s="20" t="str">
        <f aca="false">IF(D342="","",J342+K342)</f>
        <v/>
      </c>
    </row>
    <row r="343" customFormat="false" ht="15" hidden="false" customHeight="false" outlineLevel="0" collapsed="false">
      <c r="A343" s="27"/>
      <c r="B343" s="1"/>
      <c r="C343" s="1"/>
      <c r="D343" s="1"/>
      <c r="E343" s="1"/>
      <c r="F343" s="1"/>
      <c r="G343" s="31"/>
      <c r="H343" s="28"/>
      <c r="I343" s="29"/>
      <c r="J343" s="20" t="str">
        <f aca="false">IF(D343="","",E343*H343)</f>
        <v/>
      </c>
      <c r="K343" s="20" t="str">
        <f aca="false">IF(D343="","",J343*I343)</f>
        <v/>
      </c>
      <c r="L343" s="20" t="str">
        <f aca="false">IF(D343="","",J343+K343)</f>
        <v/>
      </c>
    </row>
    <row r="344" customFormat="false" ht="15" hidden="false" customHeight="false" outlineLevel="0" collapsed="false">
      <c r="A344" s="27"/>
      <c r="B344" s="1"/>
      <c r="C344" s="1"/>
      <c r="D344" s="1"/>
      <c r="E344" s="1"/>
      <c r="F344" s="1"/>
      <c r="G344" s="31"/>
      <c r="H344" s="28"/>
      <c r="I344" s="29"/>
      <c r="J344" s="20" t="str">
        <f aca="false">IF(D344="","",E344*H344)</f>
        <v/>
      </c>
      <c r="K344" s="20" t="str">
        <f aca="false">IF(D344="","",J344*I344)</f>
        <v/>
      </c>
      <c r="L344" s="20" t="str">
        <f aca="false">IF(D344="","",J344+K344)</f>
        <v/>
      </c>
    </row>
    <row r="345" customFormat="false" ht="15" hidden="false" customHeight="false" outlineLevel="0" collapsed="false">
      <c r="A345" s="27"/>
      <c r="B345" s="1"/>
      <c r="C345" s="1"/>
      <c r="D345" s="1"/>
      <c r="E345" s="1"/>
      <c r="F345" s="1"/>
      <c r="G345" s="31"/>
      <c r="H345" s="28"/>
      <c r="I345" s="29"/>
      <c r="J345" s="20" t="str">
        <f aca="false">IF(D345="","",E345*H345)</f>
        <v/>
      </c>
      <c r="K345" s="20" t="str">
        <f aca="false">IF(D345="","",J345*I345)</f>
        <v/>
      </c>
      <c r="L345" s="20" t="str">
        <f aca="false">IF(D345="","",J345+K345)</f>
        <v/>
      </c>
    </row>
    <row r="346" customFormat="false" ht="15" hidden="false" customHeight="false" outlineLevel="0" collapsed="false">
      <c r="A346" s="27"/>
      <c r="B346" s="1"/>
      <c r="C346" s="1"/>
      <c r="D346" s="1"/>
      <c r="E346" s="1"/>
      <c r="F346" s="1"/>
      <c r="G346" s="31"/>
      <c r="H346" s="28"/>
      <c r="I346" s="29"/>
      <c r="J346" s="20" t="str">
        <f aca="false">IF(D346="","",E346*H346)</f>
        <v/>
      </c>
      <c r="K346" s="20" t="str">
        <f aca="false">IF(D346="","",J346*I346)</f>
        <v/>
      </c>
      <c r="L346" s="20" t="str">
        <f aca="false">IF(D346="","",J346+K346)</f>
        <v/>
      </c>
    </row>
    <row r="347" customFormat="false" ht="15" hidden="false" customHeight="false" outlineLevel="0" collapsed="false">
      <c r="A347" s="27"/>
      <c r="B347" s="1"/>
      <c r="C347" s="1"/>
      <c r="D347" s="1"/>
      <c r="E347" s="1"/>
      <c r="F347" s="1"/>
      <c r="G347" s="31"/>
      <c r="H347" s="28"/>
      <c r="I347" s="29"/>
      <c r="J347" s="20" t="str">
        <f aca="false">IF(D347="","",E347*H347)</f>
        <v/>
      </c>
      <c r="K347" s="20" t="str">
        <f aca="false">IF(D347="","",J347*I347)</f>
        <v/>
      </c>
      <c r="L347" s="20" t="str">
        <f aca="false">IF(D347="","",J347+K347)</f>
        <v/>
      </c>
    </row>
    <row r="348" customFormat="false" ht="15" hidden="false" customHeight="false" outlineLevel="0" collapsed="false">
      <c r="A348" s="27"/>
      <c r="B348" s="1"/>
      <c r="C348" s="1"/>
      <c r="D348" s="1"/>
      <c r="E348" s="1"/>
      <c r="F348" s="1"/>
      <c r="G348" s="31"/>
      <c r="H348" s="28"/>
      <c r="I348" s="29"/>
      <c r="J348" s="20" t="str">
        <f aca="false">IF(D348="","",E348*H348)</f>
        <v/>
      </c>
      <c r="K348" s="20" t="str">
        <f aca="false">IF(D348="","",J348*I348)</f>
        <v/>
      </c>
      <c r="L348" s="20" t="str">
        <f aca="false">IF(D348="","",J348+K348)</f>
        <v/>
      </c>
    </row>
    <row r="349" customFormat="false" ht="15" hidden="false" customHeight="false" outlineLevel="0" collapsed="false">
      <c r="A349" s="27"/>
      <c r="B349" s="1"/>
      <c r="C349" s="1"/>
      <c r="D349" s="1"/>
      <c r="E349" s="1"/>
      <c r="F349" s="1"/>
      <c r="G349" s="31"/>
      <c r="H349" s="28"/>
      <c r="I349" s="29"/>
      <c r="J349" s="20" t="str">
        <f aca="false">IF(D349="","",E349*H349)</f>
        <v/>
      </c>
      <c r="K349" s="20" t="str">
        <f aca="false">IF(D349="","",J349*I349)</f>
        <v/>
      </c>
      <c r="L349" s="20" t="str">
        <f aca="false">IF(D349="","",J349+K349)</f>
        <v/>
      </c>
    </row>
    <row r="350" customFormat="false" ht="15" hidden="false" customHeight="false" outlineLevel="0" collapsed="false">
      <c r="A350" s="27"/>
      <c r="B350" s="1"/>
      <c r="C350" s="1"/>
      <c r="D350" s="1"/>
      <c r="E350" s="1"/>
      <c r="F350" s="1"/>
      <c r="G350" s="31"/>
      <c r="H350" s="28"/>
      <c r="I350" s="29"/>
      <c r="J350" s="20" t="str">
        <f aca="false">IF(D350="","",E350*H350)</f>
        <v/>
      </c>
      <c r="K350" s="20" t="str">
        <f aca="false">IF(D350="","",J350*I350)</f>
        <v/>
      </c>
      <c r="L350" s="20" t="str">
        <f aca="false">IF(D350="","",J350+K350)</f>
        <v/>
      </c>
    </row>
    <row r="351" customFormat="false" ht="15" hidden="false" customHeight="false" outlineLevel="0" collapsed="false">
      <c r="A351" s="27"/>
      <c r="B351" s="1"/>
      <c r="C351" s="1"/>
      <c r="D351" s="1"/>
      <c r="E351" s="1"/>
      <c r="F351" s="1"/>
      <c r="G351" s="31"/>
      <c r="H351" s="28"/>
      <c r="I351" s="29"/>
      <c r="J351" s="20" t="str">
        <f aca="false">IF(D351="","",E351*H351)</f>
        <v/>
      </c>
      <c r="K351" s="20" t="str">
        <f aca="false">IF(D351="","",J351*I351)</f>
        <v/>
      </c>
      <c r="L351" s="20" t="str">
        <f aca="false">IF(D351="","",J351+K351)</f>
        <v/>
      </c>
    </row>
    <row r="352" customFormat="false" ht="15" hidden="false" customHeight="false" outlineLevel="0" collapsed="false">
      <c r="A352" s="27"/>
      <c r="B352" s="1"/>
      <c r="C352" s="1"/>
      <c r="D352" s="1"/>
      <c r="E352" s="1"/>
      <c r="F352" s="1"/>
      <c r="G352" s="31"/>
      <c r="H352" s="28"/>
      <c r="I352" s="29"/>
      <c r="J352" s="20" t="str">
        <f aca="false">IF(D352="","",E352*H352)</f>
        <v/>
      </c>
      <c r="K352" s="20" t="str">
        <f aca="false">IF(D352="","",J352*I352)</f>
        <v/>
      </c>
      <c r="L352" s="20" t="str">
        <f aca="false">IF(D352="","",J352+K352)</f>
        <v/>
      </c>
    </row>
    <row r="353" customFormat="false" ht="15" hidden="false" customHeight="false" outlineLevel="0" collapsed="false">
      <c r="A353" s="27"/>
      <c r="B353" s="1"/>
      <c r="C353" s="1"/>
      <c r="D353" s="1"/>
      <c r="E353" s="1"/>
      <c r="F353" s="1"/>
      <c r="G353" s="31"/>
      <c r="H353" s="28"/>
      <c r="I353" s="29"/>
      <c r="J353" s="20" t="str">
        <f aca="false">IF(D353="","",E353*H353)</f>
        <v/>
      </c>
      <c r="K353" s="20" t="str">
        <f aca="false">IF(D353="","",J353*I353)</f>
        <v/>
      </c>
      <c r="L353" s="20" t="str">
        <f aca="false">IF(D353="","",J353+K353)</f>
        <v/>
      </c>
    </row>
    <row r="354" customFormat="false" ht="15" hidden="false" customHeight="false" outlineLevel="0" collapsed="false">
      <c r="A354" s="27"/>
      <c r="B354" s="1"/>
      <c r="C354" s="1"/>
      <c r="D354" s="1"/>
      <c r="E354" s="1"/>
      <c r="F354" s="1"/>
      <c r="G354" s="31"/>
      <c r="H354" s="28"/>
      <c r="I354" s="29"/>
      <c r="J354" s="20" t="str">
        <f aca="false">IF(D354="","",E354*H354)</f>
        <v/>
      </c>
      <c r="K354" s="20" t="str">
        <f aca="false">IF(D354="","",J354*I354)</f>
        <v/>
      </c>
      <c r="L354" s="20" t="str">
        <f aca="false">IF(D354="","",J354+K354)</f>
        <v/>
      </c>
    </row>
    <row r="355" customFormat="false" ht="15" hidden="false" customHeight="false" outlineLevel="0" collapsed="false">
      <c r="A355" s="27"/>
      <c r="B355" s="1"/>
      <c r="C355" s="1"/>
      <c r="D355" s="1"/>
      <c r="E355" s="1"/>
      <c r="F355" s="1"/>
      <c r="G355" s="31"/>
      <c r="H355" s="28"/>
      <c r="I355" s="29"/>
      <c r="J355" s="20" t="str">
        <f aca="false">IF(D355="","",E355*H355)</f>
        <v/>
      </c>
      <c r="K355" s="20" t="str">
        <f aca="false">IF(D355="","",J355*I355)</f>
        <v/>
      </c>
      <c r="L355" s="20" t="str">
        <f aca="false">IF(D355="","",J355+K355)</f>
        <v/>
      </c>
    </row>
    <row r="356" customFormat="false" ht="15" hidden="false" customHeight="false" outlineLevel="0" collapsed="false">
      <c r="A356" s="27"/>
      <c r="B356" s="1"/>
      <c r="C356" s="1"/>
      <c r="D356" s="1"/>
      <c r="E356" s="1"/>
      <c r="F356" s="1"/>
      <c r="G356" s="31"/>
      <c r="H356" s="28"/>
      <c r="I356" s="29"/>
      <c r="J356" s="20" t="str">
        <f aca="false">IF(D356="","",E356*H356)</f>
        <v/>
      </c>
      <c r="K356" s="20" t="str">
        <f aca="false">IF(D356="","",J356*I356)</f>
        <v/>
      </c>
      <c r="L356" s="20" t="str">
        <f aca="false">IF(D356="","",J356+K356)</f>
        <v/>
      </c>
    </row>
    <row r="357" customFormat="false" ht="15" hidden="false" customHeight="false" outlineLevel="0" collapsed="false">
      <c r="A357" s="27"/>
      <c r="B357" s="1"/>
      <c r="C357" s="1"/>
      <c r="D357" s="1"/>
      <c r="E357" s="1"/>
      <c r="F357" s="1"/>
      <c r="G357" s="31"/>
      <c r="H357" s="28"/>
      <c r="I357" s="29"/>
      <c r="J357" s="20" t="str">
        <f aca="false">IF(D357="","",E357*H357)</f>
        <v/>
      </c>
      <c r="K357" s="20" t="str">
        <f aca="false">IF(D357="","",J357*I357)</f>
        <v/>
      </c>
      <c r="L357" s="20" t="str">
        <f aca="false">IF(D357="","",J357+K357)</f>
        <v/>
      </c>
    </row>
    <row r="358" customFormat="false" ht="15" hidden="false" customHeight="false" outlineLevel="0" collapsed="false">
      <c r="A358" s="27"/>
      <c r="B358" s="1"/>
      <c r="C358" s="1"/>
      <c r="D358" s="1"/>
      <c r="E358" s="1"/>
      <c r="F358" s="1"/>
      <c r="G358" s="31"/>
      <c r="H358" s="28"/>
      <c r="I358" s="29"/>
      <c r="J358" s="20" t="str">
        <f aca="false">IF(D358="","",E358*H358)</f>
        <v/>
      </c>
      <c r="K358" s="20" t="str">
        <f aca="false">IF(D358="","",J358*I358)</f>
        <v/>
      </c>
      <c r="L358" s="20" t="str">
        <f aca="false">IF(D358="","",J358+K358)</f>
        <v/>
      </c>
    </row>
    <row r="359" customFormat="false" ht="15" hidden="false" customHeight="false" outlineLevel="0" collapsed="false">
      <c r="A359" s="27"/>
      <c r="B359" s="1"/>
      <c r="C359" s="1"/>
      <c r="D359" s="1"/>
      <c r="E359" s="1"/>
      <c r="F359" s="1"/>
      <c r="G359" s="31"/>
      <c r="H359" s="28"/>
      <c r="I359" s="29"/>
      <c r="J359" s="20" t="str">
        <f aca="false">IF(D359="","",E359*H359)</f>
        <v/>
      </c>
      <c r="K359" s="20" t="str">
        <f aca="false">IF(D359="","",J359*I359)</f>
        <v/>
      </c>
      <c r="L359" s="20" t="str">
        <f aca="false">IF(D359="","",J359+K359)</f>
        <v/>
      </c>
    </row>
    <row r="360" customFormat="false" ht="15" hidden="false" customHeight="false" outlineLevel="0" collapsed="false">
      <c r="A360" s="27"/>
      <c r="B360" s="1"/>
      <c r="C360" s="1"/>
      <c r="D360" s="1"/>
      <c r="E360" s="1"/>
      <c r="F360" s="1"/>
      <c r="G360" s="31"/>
      <c r="H360" s="28"/>
      <c r="I360" s="29"/>
      <c r="J360" s="20" t="str">
        <f aca="false">IF(D360="","",E360*H360)</f>
        <v/>
      </c>
      <c r="K360" s="20" t="str">
        <f aca="false">IF(D360="","",J360*I360)</f>
        <v/>
      </c>
      <c r="L360" s="20" t="str">
        <f aca="false">IF(D360="","",J360+K360)</f>
        <v/>
      </c>
    </row>
    <row r="361" customFormat="false" ht="15" hidden="false" customHeight="false" outlineLevel="0" collapsed="false">
      <c r="A361" s="27"/>
      <c r="B361" s="1"/>
      <c r="C361" s="1"/>
      <c r="D361" s="1"/>
      <c r="E361" s="1"/>
      <c r="F361" s="1"/>
      <c r="G361" s="31"/>
      <c r="H361" s="28"/>
      <c r="I361" s="29"/>
      <c r="J361" s="20" t="str">
        <f aca="false">IF(D361="","",E361*H361)</f>
        <v/>
      </c>
      <c r="K361" s="20" t="str">
        <f aca="false">IF(D361="","",J361*I361)</f>
        <v/>
      </c>
      <c r="L361" s="20" t="str">
        <f aca="false">IF(D361="","",J361+K361)</f>
        <v/>
      </c>
    </row>
    <row r="362" customFormat="false" ht="15" hidden="false" customHeight="false" outlineLevel="0" collapsed="false">
      <c r="A362" s="27"/>
      <c r="B362" s="1"/>
      <c r="C362" s="1"/>
      <c r="D362" s="1"/>
      <c r="E362" s="1"/>
      <c r="F362" s="1"/>
      <c r="G362" s="31"/>
      <c r="H362" s="28"/>
      <c r="I362" s="29"/>
      <c r="J362" s="20" t="str">
        <f aca="false">IF(D362="","",E362*H362)</f>
        <v/>
      </c>
      <c r="K362" s="20" t="str">
        <f aca="false">IF(D362="","",J362*I362)</f>
        <v/>
      </c>
      <c r="L362" s="20" t="str">
        <f aca="false">IF(D362="","",J362+K362)</f>
        <v/>
      </c>
    </row>
    <row r="363" customFormat="false" ht="15" hidden="false" customHeight="false" outlineLevel="0" collapsed="false">
      <c r="A363" s="27"/>
      <c r="B363" s="1"/>
      <c r="C363" s="1"/>
      <c r="D363" s="1"/>
      <c r="E363" s="1"/>
      <c r="F363" s="1"/>
      <c r="G363" s="31"/>
      <c r="H363" s="28"/>
      <c r="I363" s="29"/>
      <c r="J363" s="20" t="str">
        <f aca="false">IF(D363="","",E363*H363)</f>
        <v/>
      </c>
      <c r="K363" s="20" t="str">
        <f aca="false">IF(D363="","",J363*I363)</f>
        <v/>
      </c>
      <c r="L363" s="20" t="str">
        <f aca="false">IF(D363="","",J363+K363)</f>
        <v/>
      </c>
    </row>
    <row r="364" customFormat="false" ht="15" hidden="false" customHeight="false" outlineLevel="0" collapsed="false">
      <c r="A364" s="27"/>
      <c r="B364" s="1"/>
      <c r="C364" s="1"/>
      <c r="D364" s="1"/>
      <c r="E364" s="1"/>
      <c r="F364" s="1"/>
      <c r="G364" s="31"/>
      <c r="H364" s="28"/>
      <c r="I364" s="29"/>
      <c r="J364" s="20" t="str">
        <f aca="false">IF(D364="","",E364*H364)</f>
        <v/>
      </c>
      <c r="K364" s="20" t="str">
        <f aca="false">IF(D364="","",J364*I364)</f>
        <v/>
      </c>
      <c r="L364" s="20" t="str">
        <f aca="false">IF(D364="","",J364+K364)</f>
        <v/>
      </c>
    </row>
    <row r="365" customFormat="false" ht="15" hidden="false" customHeight="false" outlineLevel="0" collapsed="false">
      <c r="A365" s="27"/>
      <c r="B365" s="1"/>
      <c r="C365" s="1"/>
      <c r="D365" s="1"/>
      <c r="E365" s="1"/>
      <c r="F365" s="1"/>
      <c r="G365" s="31"/>
      <c r="H365" s="28"/>
      <c r="I365" s="29"/>
      <c r="J365" s="20" t="str">
        <f aca="false">IF(D365="","",E365*H365)</f>
        <v/>
      </c>
      <c r="K365" s="20" t="str">
        <f aca="false">IF(D365="","",J365*I365)</f>
        <v/>
      </c>
      <c r="L365" s="20" t="str">
        <f aca="false">IF(D365="","",J365+K365)</f>
        <v/>
      </c>
    </row>
    <row r="366" customFormat="false" ht="15" hidden="false" customHeight="false" outlineLevel="0" collapsed="false">
      <c r="A366" s="27"/>
      <c r="B366" s="1"/>
      <c r="C366" s="1"/>
      <c r="D366" s="1"/>
      <c r="E366" s="1"/>
      <c r="F366" s="1"/>
      <c r="G366" s="31"/>
      <c r="H366" s="28"/>
      <c r="I366" s="29"/>
      <c r="J366" s="20" t="str">
        <f aca="false">IF(D366="","",E366*H366)</f>
        <v/>
      </c>
      <c r="K366" s="20" t="str">
        <f aca="false">IF(D366="","",J366*I366)</f>
        <v/>
      </c>
      <c r="L366" s="20" t="str">
        <f aca="false">IF(D366="","",J366+K366)</f>
        <v/>
      </c>
    </row>
    <row r="367" customFormat="false" ht="15" hidden="false" customHeight="false" outlineLevel="0" collapsed="false">
      <c r="A367" s="27"/>
      <c r="B367" s="1"/>
      <c r="C367" s="1"/>
      <c r="D367" s="1"/>
      <c r="E367" s="1"/>
      <c r="F367" s="1"/>
      <c r="G367" s="31"/>
      <c r="H367" s="28"/>
      <c r="I367" s="29"/>
      <c r="J367" s="20" t="str">
        <f aca="false">IF(D367="","",E367*H367)</f>
        <v/>
      </c>
      <c r="K367" s="20" t="str">
        <f aca="false">IF(D367="","",J367*I367)</f>
        <v/>
      </c>
      <c r="L367" s="20" t="str">
        <f aca="false">IF(D367="","",J367+K367)</f>
        <v/>
      </c>
    </row>
    <row r="368" customFormat="false" ht="15" hidden="false" customHeight="false" outlineLevel="0" collapsed="false">
      <c r="A368" s="27"/>
      <c r="B368" s="1"/>
      <c r="C368" s="1"/>
      <c r="D368" s="1"/>
      <c r="E368" s="1"/>
      <c r="F368" s="1"/>
      <c r="G368" s="31"/>
      <c r="H368" s="28"/>
      <c r="I368" s="29"/>
      <c r="J368" s="20" t="str">
        <f aca="false">IF(D368="","",E368*H368)</f>
        <v/>
      </c>
      <c r="K368" s="20" t="str">
        <f aca="false">IF(D368="","",J368*I368)</f>
        <v/>
      </c>
      <c r="L368" s="20" t="str">
        <f aca="false">IF(D368="","",J368+K368)</f>
        <v/>
      </c>
    </row>
    <row r="369" customFormat="false" ht="15" hidden="false" customHeight="false" outlineLevel="0" collapsed="false">
      <c r="A369" s="27"/>
      <c r="B369" s="1"/>
      <c r="C369" s="1"/>
      <c r="D369" s="1"/>
      <c r="E369" s="1"/>
      <c r="F369" s="1"/>
      <c r="G369" s="31"/>
      <c r="H369" s="28"/>
      <c r="I369" s="29"/>
      <c r="J369" s="20" t="str">
        <f aca="false">IF(D369="","",E369*H369)</f>
        <v/>
      </c>
      <c r="K369" s="20" t="str">
        <f aca="false">IF(D369="","",J369*I369)</f>
        <v/>
      </c>
      <c r="L369" s="20" t="str">
        <f aca="false">IF(D369="","",J369+K369)</f>
        <v/>
      </c>
    </row>
    <row r="370" customFormat="false" ht="15" hidden="false" customHeight="false" outlineLevel="0" collapsed="false">
      <c r="A370" s="27"/>
      <c r="B370" s="1"/>
      <c r="C370" s="1"/>
      <c r="D370" s="1"/>
      <c r="E370" s="1"/>
      <c r="F370" s="1"/>
      <c r="G370" s="31"/>
      <c r="H370" s="28"/>
      <c r="I370" s="29"/>
      <c r="J370" s="20" t="str">
        <f aca="false">IF(D370="","",E370*H370)</f>
        <v/>
      </c>
      <c r="K370" s="20" t="str">
        <f aca="false">IF(D370="","",J370*I370)</f>
        <v/>
      </c>
      <c r="L370" s="20" t="str">
        <f aca="false">IF(D370="","",J370+K370)</f>
        <v/>
      </c>
    </row>
    <row r="371" customFormat="false" ht="15" hidden="false" customHeight="false" outlineLevel="0" collapsed="false">
      <c r="A371" s="27"/>
      <c r="B371" s="1"/>
      <c r="C371" s="1"/>
      <c r="D371" s="1"/>
      <c r="E371" s="1"/>
      <c r="F371" s="1"/>
      <c r="G371" s="31"/>
      <c r="H371" s="28"/>
      <c r="I371" s="29"/>
      <c r="J371" s="20" t="str">
        <f aca="false">IF(D371="","",E371*H371)</f>
        <v/>
      </c>
      <c r="K371" s="20" t="str">
        <f aca="false">IF(D371="","",J371*I371)</f>
        <v/>
      </c>
      <c r="L371" s="20" t="str">
        <f aca="false">IF(D371="","",J371+K371)</f>
        <v/>
      </c>
    </row>
    <row r="372" customFormat="false" ht="15" hidden="false" customHeight="false" outlineLevel="0" collapsed="false">
      <c r="A372" s="27"/>
      <c r="B372" s="1"/>
      <c r="C372" s="1"/>
      <c r="D372" s="1"/>
      <c r="E372" s="1"/>
      <c r="F372" s="1"/>
      <c r="G372" s="31"/>
      <c r="H372" s="28"/>
      <c r="I372" s="29"/>
      <c r="J372" s="20" t="str">
        <f aca="false">IF(D372="","",E372*H372)</f>
        <v/>
      </c>
      <c r="K372" s="20" t="str">
        <f aca="false">IF(D372="","",J372*I372)</f>
        <v/>
      </c>
      <c r="L372" s="20" t="str">
        <f aca="false">IF(D372="","",J372+K372)</f>
        <v/>
      </c>
    </row>
    <row r="373" customFormat="false" ht="15" hidden="false" customHeight="false" outlineLevel="0" collapsed="false">
      <c r="A373" s="27"/>
      <c r="B373" s="1"/>
      <c r="C373" s="1"/>
      <c r="D373" s="1"/>
      <c r="E373" s="1"/>
      <c r="F373" s="1"/>
      <c r="G373" s="31"/>
      <c r="H373" s="28"/>
      <c r="I373" s="29"/>
      <c r="J373" s="20" t="str">
        <f aca="false">IF(D373="","",E373*H373)</f>
        <v/>
      </c>
      <c r="K373" s="20" t="str">
        <f aca="false">IF(D373="","",J373*I373)</f>
        <v/>
      </c>
      <c r="L373" s="20" t="str">
        <f aca="false">IF(D373="","",J373+K373)</f>
        <v/>
      </c>
    </row>
    <row r="374" customFormat="false" ht="15" hidden="false" customHeight="false" outlineLevel="0" collapsed="false">
      <c r="A374" s="27"/>
      <c r="B374" s="1"/>
      <c r="C374" s="1"/>
      <c r="D374" s="1"/>
      <c r="E374" s="1"/>
      <c r="F374" s="1"/>
      <c r="G374" s="31"/>
      <c r="H374" s="28"/>
      <c r="I374" s="29"/>
      <c r="J374" s="20" t="str">
        <f aca="false">IF(D374="","",E374*H374)</f>
        <v/>
      </c>
      <c r="K374" s="20" t="str">
        <f aca="false">IF(D374="","",J374*I374)</f>
        <v/>
      </c>
      <c r="L374" s="20" t="str">
        <f aca="false">IF(D374="","",J374+K374)</f>
        <v/>
      </c>
    </row>
    <row r="375" customFormat="false" ht="15" hidden="false" customHeight="false" outlineLevel="0" collapsed="false">
      <c r="A375" s="27"/>
      <c r="B375" s="1"/>
      <c r="C375" s="1"/>
      <c r="D375" s="1"/>
      <c r="E375" s="1"/>
      <c r="F375" s="1"/>
      <c r="G375" s="31"/>
      <c r="H375" s="28"/>
      <c r="I375" s="29"/>
      <c r="J375" s="20" t="str">
        <f aca="false">IF(D375="","",E375*H375)</f>
        <v/>
      </c>
      <c r="K375" s="20" t="str">
        <f aca="false">IF(D375="","",J375*I375)</f>
        <v/>
      </c>
      <c r="L375" s="20" t="str">
        <f aca="false">IF(D375="","",J375+K375)</f>
        <v/>
      </c>
    </row>
    <row r="376" customFormat="false" ht="15" hidden="false" customHeight="false" outlineLevel="0" collapsed="false">
      <c r="A376" s="27"/>
      <c r="B376" s="1"/>
      <c r="C376" s="1"/>
      <c r="D376" s="1"/>
      <c r="E376" s="1"/>
      <c r="F376" s="1"/>
      <c r="G376" s="31"/>
      <c r="H376" s="28"/>
      <c r="I376" s="29"/>
      <c r="J376" s="20" t="str">
        <f aca="false">IF(D376="","",E376*H376)</f>
        <v/>
      </c>
      <c r="K376" s="20" t="str">
        <f aca="false">IF(D376="","",J376*I376)</f>
        <v/>
      </c>
      <c r="L376" s="20" t="str">
        <f aca="false">IF(D376="","",J376+K376)</f>
        <v/>
      </c>
    </row>
    <row r="377" customFormat="false" ht="15" hidden="false" customHeight="false" outlineLevel="0" collapsed="false">
      <c r="A377" s="27"/>
      <c r="B377" s="1"/>
      <c r="C377" s="1"/>
      <c r="D377" s="1"/>
      <c r="E377" s="1"/>
      <c r="F377" s="1"/>
      <c r="G377" s="31"/>
      <c r="H377" s="28"/>
      <c r="I377" s="29"/>
      <c r="J377" s="20" t="str">
        <f aca="false">IF(D377="","",E377*H377)</f>
        <v/>
      </c>
      <c r="K377" s="20" t="str">
        <f aca="false">IF(D377="","",J377*I377)</f>
        <v/>
      </c>
      <c r="L377" s="20" t="str">
        <f aca="false">IF(D377="","",J377+K377)</f>
        <v/>
      </c>
    </row>
    <row r="378" customFormat="false" ht="15" hidden="false" customHeight="false" outlineLevel="0" collapsed="false">
      <c r="A378" s="27"/>
      <c r="B378" s="1"/>
      <c r="C378" s="1"/>
      <c r="D378" s="1"/>
      <c r="E378" s="1"/>
      <c r="F378" s="1"/>
      <c r="G378" s="31"/>
      <c r="H378" s="28"/>
      <c r="I378" s="29"/>
      <c r="J378" s="20" t="str">
        <f aca="false">IF(D378="","",E378*H378)</f>
        <v/>
      </c>
      <c r="K378" s="20" t="str">
        <f aca="false">IF(D378="","",J378*I378)</f>
        <v/>
      </c>
      <c r="L378" s="20" t="str">
        <f aca="false">IF(D378="","",J378+K378)</f>
        <v/>
      </c>
    </row>
    <row r="379" customFormat="false" ht="15" hidden="false" customHeight="false" outlineLevel="0" collapsed="false">
      <c r="A379" s="27"/>
      <c r="B379" s="1"/>
      <c r="C379" s="1"/>
      <c r="D379" s="1"/>
      <c r="E379" s="1"/>
      <c r="F379" s="1"/>
      <c r="G379" s="31"/>
      <c r="H379" s="28"/>
      <c r="I379" s="29"/>
      <c r="J379" s="20" t="str">
        <f aca="false">IF(D379="","",E379*H379)</f>
        <v/>
      </c>
      <c r="K379" s="20" t="str">
        <f aca="false">IF(D379="","",J379*I379)</f>
        <v/>
      </c>
      <c r="L379" s="20" t="str">
        <f aca="false">IF(D379="","",J379+K379)</f>
        <v/>
      </c>
    </row>
    <row r="380" customFormat="false" ht="15" hidden="false" customHeight="false" outlineLevel="0" collapsed="false">
      <c r="A380" s="27"/>
      <c r="B380" s="1"/>
      <c r="C380" s="1"/>
      <c r="D380" s="1"/>
      <c r="E380" s="1"/>
      <c r="F380" s="1"/>
      <c r="G380" s="31"/>
      <c r="H380" s="28"/>
      <c r="I380" s="29"/>
      <c r="J380" s="20" t="str">
        <f aca="false">IF(D380="","",E380*H380)</f>
        <v/>
      </c>
      <c r="K380" s="20" t="str">
        <f aca="false">IF(D380="","",J380*I380)</f>
        <v/>
      </c>
      <c r="L380" s="20" t="str">
        <f aca="false">IF(D380="","",J380+K380)</f>
        <v/>
      </c>
    </row>
    <row r="381" customFormat="false" ht="15" hidden="false" customHeight="false" outlineLevel="0" collapsed="false">
      <c r="A381" s="27"/>
      <c r="B381" s="1"/>
      <c r="C381" s="1"/>
      <c r="D381" s="1"/>
      <c r="E381" s="1"/>
      <c r="F381" s="1"/>
      <c r="G381" s="31"/>
      <c r="H381" s="28"/>
      <c r="I381" s="29"/>
      <c r="J381" s="20" t="str">
        <f aca="false">IF(D381="","",E381*H381)</f>
        <v/>
      </c>
      <c r="K381" s="20" t="str">
        <f aca="false">IF(D381="","",J381*I381)</f>
        <v/>
      </c>
      <c r="L381" s="20" t="str">
        <f aca="false">IF(D381="","",J381+K381)</f>
        <v/>
      </c>
    </row>
    <row r="382" customFormat="false" ht="15" hidden="false" customHeight="false" outlineLevel="0" collapsed="false">
      <c r="A382" s="27"/>
      <c r="B382" s="1"/>
      <c r="C382" s="1"/>
      <c r="D382" s="1"/>
      <c r="E382" s="1"/>
      <c r="F382" s="1"/>
      <c r="G382" s="31"/>
      <c r="H382" s="28"/>
      <c r="I382" s="29"/>
      <c r="J382" s="20" t="str">
        <f aca="false">IF(D382="","",E382*H382)</f>
        <v/>
      </c>
      <c r="K382" s="20" t="str">
        <f aca="false">IF(D382="","",J382*I382)</f>
        <v/>
      </c>
      <c r="L382" s="20" t="str">
        <f aca="false">IF(D382="","",J382+K382)</f>
        <v/>
      </c>
    </row>
    <row r="383" customFormat="false" ht="15" hidden="false" customHeight="false" outlineLevel="0" collapsed="false">
      <c r="A383" s="27"/>
      <c r="B383" s="1"/>
      <c r="C383" s="1"/>
      <c r="D383" s="1"/>
      <c r="E383" s="1"/>
      <c r="F383" s="1"/>
      <c r="G383" s="31"/>
      <c r="H383" s="28"/>
      <c r="I383" s="29"/>
      <c r="J383" s="20" t="str">
        <f aca="false">IF(D383="","",E383*H383)</f>
        <v/>
      </c>
      <c r="K383" s="20" t="str">
        <f aca="false">IF(D383="","",J383*I383)</f>
        <v/>
      </c>
      <c r="L383" s="20" t="str">
        <f aca="false">IF(D383="","",J383+K383)</f>
        <v/>
      </c>
    </row>
    <row r="384" customFormat="false" ht="15" hidden="false" customHeight="false" outlineLevel="0" collapsed="false">
      <c r="A384" s="27"/>
      <c r="B384" s="1"/>
      <c r="C384" s="1"/>
      <c r="D384" s="1"/>
      <c r="E384" s="1"/>
      <c r="F384" s="1"/>
      <c r="G384" s="31"/>
      <c r="H384" s="28"/>
      <c r="I384" s="29"/>
      <c r="J384" s="20" t="str">
        <f aca="false">IF(D384="","",E384*H384)</f>
        <v/>
      </c>
      <c r="K384" s="20" t="str">
        <f aca="false">IF(D384="","",J384*I384)</f>
        <v/>
      </c>
      <c r="L384" s="20" t="str">
        <f aca="false">IF(D384="","",J384+K384)</f>
        <v/>
      </c>
    </row>
    <row r="385" customFormat="false" ht="15" hidden="false" customHeight="false" outlineLevel="0" collapsed="false">
      <c r="A385" s="27"/>
      <c r="B385" s="1"/>
      <c r="C385" s="1"/>
      <c r="D385" s="1"/>
      <c r="E385" s="1"/>
      <c r="F385" s="1"/>
      <c r="G385" s="31"/>
      <c r="H385" s="28"/>
      <c r="I385" s="29"/>
      <c r="J385" s="20" t="str">
        <f aca="false">IF(D385="","",E385*H385)</f>
        <v/>
      </c>
      <c r="K385" s="20" t="str">
        <f aca="false">IF(D385="","",J385*I385)</f>
        <v/>
      </c>
      <c r="L385" s="20" t="str">
        <f aca="false">IF(D385="","",J385+K385)</f>
        <v/>
      </c>
    </row>
    <row r="386" customFormat="false" ht="15" hidden="false" customHeight="false" outlineLevel="0" collapsed="false">
      <c r="A386" s="27"/>
      <c r="B386" s="1"/>
      <c r="C386" s="1"/>
      <c r="D386" s="1"/>
      <c r="E386" s="1"/>
      <c r="F386" s="1"/>
      <c r="G386" s="31"/>
      <c r="H386" s="28"/>
      <c r="I386" s="29"/>
      <c r="J386" s="20" t="str">
        <f aca="false">IF(D386="","",E386*H386)</f>
        <v/>
      </c>
      <c r="K386" s="20" t="str">
        <f aca="false">IF(D386="","",J386*I386)</f>
        <v/>
      </c>
      <c r="L386" s="20" t="str">
        <f aca="false">IF(D386="","",J386+K386)</f>
        <v/>
      </c>
    </row>
    <row r="387" customFormat="false" ht="15" hidden="false" customHeight="false" outlineLevel="0" collapsed="false">
      <c r="A387" s="27"/>
      <c r="B387" s="1"/>
      <c r="C387" s="1"/>
      <c r="D387" s="1"/>
      <c r="E387" s="1"/>
      <c r="F387" s="1"/>
      <c r="G387" s="31"/>
      <c r="H387" s="28"/>
      <c r="I387" s="29"/>
      <c r="J387" s="20" t="str">
        <f aca="false">IF(D387="","",E387*H387)</f>
        <v/>
      </c>
      <c r="K387" s="20" t="str">
        <f aca="false">IF(D387="","",J387*I387)</f>
        <v/>
      </c>
      <c r="L387" s="20" t="str">
        <f aca="false">IF(D387="","",J387+K387)</f>
        <v/>
      </c>
    </row>
    <row r="388" customFormat="false" ht="15" hidden="false" customHeight="false" outlineLevel="0" collapsed="false">
      <c r="A388" s="27"/>
      <c r="B388" s="1"/>
      <c r="C388" s="1"/>
      <c r="D388" s="1"/>
      <c r="E388" s="1"/>
      <c r="F388" s="1"/>
      <c r="G388" s="31"/>
      <c r="H388" s="28"/>
      <c r="I388" s="29"/>
      <c r="J388" s="20" t="str">
        <f aca="false">IF(D388="","",E388*H388)</f>
        <v/>
      </c>
      <c r="K388" s="20" t="str">
        <f aca="false">IF(D388="","",J388*I388)</f>
        <v/>
      </c>
      <c r="L388" s="20" t="str">
        <f aca="false">IF(D388="","",J388+K388)</f>
        <v/>
      </c>
    </row>
    <row r="389" customFormat="false" ht="15" hidden="false" customHeight="false" outlineLevel="0" collapsed="false">
      <c r="A389" s="27"/>
      <c r="B389" s="1"/>
      <c r="C389" s="1"/>
      <c r="D389" s="1"/>
      <c r="E389" s="1"/>
      <c r="F389" s="1"/>
      <c r="G389" s="31"/>
      <c r="H389" s="28"/>
      <c r="I389" s="29"/>
      <c r="J389" s="20" t="str">
        <f aca="false">IF(D389="","",E389*H389)</f>
        <v/>
      </c>
      <c r="K389" s="20" t="str">
        <f aca="false">IF(D389="","",J389*I389)</f>
        <v/>
      </c>
      <c r="L389" s="20" t="str">
        <f aca="false">IF(D389="","",J389+K389)</f>
        <v/>
      </c>
    </row>
    <row r="390" customFormat="false" ht="15" hidden="false" customHeight="false" outlineLevel="0" collapsed="false">
      <c r="A390" s="27"/>
      <c r="B390" s="1"/>
      <c r="C390" s="1"/>
      <c r="D390" s="1"/>
      <c r="E390" s="1"/>
      <c r="F390" s="1"/>
      <c r="G390" s="31"/>
      <c r="H390" s="28"/>
      <c r="I390" s="29"/>
      <c r="J390" s="20" t="str">
        <f aca="false">IF(D390="","",E390*H390)</f>
        <v/>
      </c>
      <c r="K390" s="20" t="str">
        <f aca="false">IF(D390="","",J390*I390)</f>
        <v/>
      </c>
      <c r="L390" s="20" t="str">
        <f aca="false">IF(D390="","",J390+K390)</f>
        <v/>
      </c>
    </row>
    <row r="391" customFormat="false" ht="15" hidden="false" customHeight="false" outlineLevel="0" collapsed="false">
      <c r="A391" s="27"/>
      <c r="B391" s="1"/>
      <c r="C391" s="1"/>
      <c r="D391" s="1"/>
      <c r="E391" s="1"/>
      <c r="F391" s="1"/>
      <c r="G391" s="31"/>
      <c r="H391" s="28"/>
      <c r="I391" s="29"/>
      <c r="J391" s="20" t="str">
        <f aca="false">IF(D391="","",E391*H391)</f>
        <v/>
      </c>
      <c r="K391" s="20" t="str">
        <f aca="false">IF(D391="","",J391*I391)</f>
        <v/>
      </c>
      <c r="L391" s="20" t="str">
        <f aca="false">IF(D391="","",J391+K391)</f>
        <v/>
      </c>
    </row>
    <row r="392" customFormat="false" ht="15" hidden="false" customHeight="false" outlineLevel="0" collapsed="false">
      <c r="A392" s="27"/>
      <c r="B392" s="1"/>
      <c r="C392" s="1"/>
      <c r="D392" s="1"/>
      <c r="E392" s="1"/>
      <c r="F392" s="1"/>
      <c r="G392" s="31"/>
      <c r="H392" s="28"/>
      <c r="I392" s="29"/>
      <c r="J392" s="20" t="str">
        <f aca="false">IF(D392="","",E392*H392)</f>
        <v/>
      </c>
      <c r="K392" s="20" t="str">
        <f aca="false">IF(D392="","",J392*I392)</f>
        <v/>
      </c>
      <c r="L392" s="20" t="str">
        <f aca="false">IF(D392="","",J392+K392)</f>
        <v/>
      </c>
    </row>
    <row r="393" customFormat="false" ht="15" hidden="false" customHeight="false" outlineLevel="0" collapsed="false">
      <c r="A393" s="27"/>
      <c r="B393" s="1"/>
      <c r="C393" s="1"/>
      <c r="D393" s="1"/>
      <c r="E393" s="1"/>
      <c r="F393" s="1"/>
      <c r="G393" s="31"/>
      <c r="H393" s="28"/>
      <c r="I393" s="29"/>
      <c r="J393" s="20" t="str">
        <f aca="false">IF(D393="","",E393*H393)</f>
        <v/>
      </c>
      <c r="K393" s="20" t="str">
        <f aca="false">IF(D393="","",J393*I393)</f>
        <v/>
      </c>
      <c r="L393" s="20" t="str">
        <f aca="false">IF(D393="","",J393+K393)</f>
        <v/>
      </c>
    </row>
    <row r="394" customFormat="false" ht="15" hidden="false" customHeight="false" outlineLevel="0" collapsed="false">
      <c r="A394" s="27"/>
      <c r="B394" s="1"/>
      <c r="C394" s="1"/>
      <c r="D394" s="1"/>
      <c r="E394" s="1"/>
      <c r="F394" s="1"/>
      <c r="G394" s="31"/>
      <c r="H394" s="28"/>
      <c r="I394" s="29"/>
      <c r="J394" s="20" t="str">
        <f aca="false">IF(D394="","",E394*H394)</f>
        <v/>
      </c>
      <c r="K394" s="20" t="str">
        <f aca="false">IF(D394="","",J394*I394)</f>
        <v/>
      </c>
      <c r="L394" s="20" t="str">
        <f aca="false">IF(D394="","",J394+K394)</f>
        <v/>
      </c>
    </row>
    <row r="395" customFormat="false" ht="15" hidden="false" customHeight="false" outlineLevel="0" collapsed="false">
      <c r="A395" s="27"/>
      <c r="B395" s="1"/>
      <c r="C395" s="1"/>
      <c r="D395" s="1"/>
      <c r="E395" s="1"/>
      <c r="F395" s="1"/>
      <c r="G395" s="31"/>
      <c r="H395" s="28"/>
      <c r="I395" s="29"/>
      <c r="J395" s="20" t="str">
        <f aca="false">IF(D395="","",E395*H395)</f>
        <v/>
      </c>
      <c r="K395" s="20" t="str">
        <f aca="false">IF(D395="","",J395*I395)</f>
        <v/>
      </c>
      <c r="L395" s="20" t="str">
        <f aca="false">IF(D395="","",J395+K395)</f>
        <v/>
      </c>
    </row>
    <row r="396" customFormat="false" ht="15" hidden="false" customHeight="false" outlineLevel="0" collapsed="false">
      <c r="A396" s="27"/>
      <c r="B396" s="1"/>
      <c r="C396" s="1"/>
      <c r="D396" s="1"/>
      <c r="E396" s="1"/>
      <c r="F396" s="1"/>
      <c r="G396" s="31"/>
      <c r="H396" s="28"/>
      <c r="I396" s="29"/>
      <c r="J396" s="20" t="str">
        <f aca="false">IF(D396="","",E396*H396)</f>
        <v/>
      </c>
      <c r="K396" s="20" t="str">
        <f aca="false">IF(D396="","",J396*I396)</f>
        <v/>
      </c>
      <c r="L396" s="20" t="str">
        <f aca="false">IF(D396="","",J396+K396)</f>
        <v/>
      </c>
    </row>
    <row r="397" customFormat="false" ht="15" hidden="false" customHeight="false" outlineLevel="0" collapsed="false">
      <c r="A397" s="27"/>
      <c r="B397" s="1"/>
      <c r="C397" s="1"/>
      <c r="D397" s="1"/>
      <c r="E397" s="1"/>
      <c r="F397" s="1"/>
      <c r="G397" s="31"/>
      <c r="H397" s="28"/>
      <c r="I397" s="29"/>
      <c r="J397" s="20" t="str">
        <f aca="false">IF(D397="","",E397*H397)</f>
        <v/>
      </c>
      <c r="K397" s="20" t="str">
        <f aca="false">IF(D397="","",J397*I397)</f>
        <v/>
      </c>
      <c r="L397" s="20" t="str">
        <f aca="false">IF(D397="","",J397+K397)</f>
        <v/>
      </c>
    </row>
    <row r="398" customFormat="false" ht="15" hidden="false" customHeight="false" outlineLevel="0" collapsed="false">
      <c r="A398" s="27"/>
      <c r="B398" s="1"/>
      <c r="C398" s="1"/>
      <c r="D398" s="1"/>
      <c r="E398" s="1"/>
      <c r="F398" s="1"/>
      <c r="G398" s="31"/>
      <c r="H398" s="28"/>
      <c r="I398" s="29"/>
      <c r="J398" s="20" t="str">
        <f aca="false">IF(D398="","",E398*H398)</f>
        <v/>
      </c>
      <c r="K398" s="20" t="str">
        <f aca="false">IF(D398="","",J398*I398)</f>
        <v/>
      </c>
      <c r="L398" s="20" t="str">
        <f aca="false">IF(D398="","",J398+K398)</f>
        <v/>
      </c>
    </row>
    <row r="399" customFormat="false" ht="15" hidden="false" customHeight="false" outlineLevel="0" collapsed="false">
      <c r="A399" s="27"/>
      <c r="B399" s="1"/>
      <c r="C399" s="1"/>
      <c r="D399" s="1"/>
      <c r="E399" s="1"/>
      <c r="F399" s="1"/>
      <c r="G399" s="31"/>
      <c r="H399" s="28"/>
      <c r="I399" s="29"/>
      <c r="J399" s="20" t="str">
        <f aca="false">IF(D399="","",E399*H399)</f>
        <v/>
      </c>
      <c r="K399" s="20" t="str">
        <f aca="false">IF(D399="","",J399*I399)</f>
        <v/>
      </c>
      <c r="L399" s="20" t="str">
        <f aca="false">IF(D399="","",J399+K399)</f>
        <v/>
      </c>
    </row>
    <row r="400" customFormat="false" ht="15" hidden="false" customHeight="false" outlineLevel="0" collapsed="false">
      <c r="A400" s="27"/>
      <c r="B400" s="1"/>
      <c r="C400" s="1"/>
      <c r="D400" s="1"/>
      <c r="E400" s="1"/>
      <c r="F400" s="1"/>
      <c r="G400" s="31"/>
      <c r="H400" s="28"/>
      <c r="I400" s="29"/>
      <c r="J400" s="20" t="str">
        <f aca="false">IF(D400="","",E400*H400)</f>
        <v/>
      </c>
      <c r="K400" s="20" t="str">
        <f aca="false">IF(D400="","",J400*I400)</f>
        <v/>
      </c>
      <c r="L400" s="20" t="str">
        <f aca="false">IF(D400="","",J400+K400)</f>
        <v/>
      </c>
    </row>
    <row r="401" customFormat="false" ht="15" hidden="false" customHeight="false" outlineLevel="0" collapsed="false">
      <c r="A401" s="27"/>
      <c r="B401" s="1"/>
      <c r="C401" s="1"/>
      <c r="D401" s="1"/>
      <c r="E401" s="1"/>
      <c r="F401" s="1"/>
      <c r="G401" s="31"/>
      <c r="H401" s="28"/>
      <c r="I401" s="29"/>
      <c r="J401" s="20" t="str">
        <f aca="false">IF(D401="","",E401*H401)</f>
        <v/>
      </c>
      <c r="K401" s="20" t="str">
        <f aca="false">IF(D401="","",J401*I401)</f>
        <v/>
      </c>
      <c r="L401" s="20" t="str">
        <f aca="false">IF(D401="","",J401+K401)</f>
        <v/>
      </c>
    </row>
    <row r="402" customFormat="false" ht="15" hidden="false" customHeight="false" outlineLevel="0" collapsed="false">
      <c r="A402" s="27"/>
      <c r="B402" s="1"/>
      <c r="C402" s="1"/>
      <c r="D402" s="1"/>
      <c r="E402" s="1"/>
      <c r="F402" s="1"/>
      <c r="G402" s="31"/>
      <c r="H402" s="28"/>
      <c r="I402" s="29"/>
      <c r="J402" s="20" t="str">
        <f aca="false">IF(D402="","",E402*H402)</f>
        <v/>
      </c>
      <c r="K402" s="20" t="str">
        <f aca="false">IF(D402="","",J402*I402)</f>
        <v/>
      </c>
      <c r="L402" s="20" t="str">
        <f aca="false">IF(D402="","",J402+K402)</f>
        <v/>
      </c>
    </row>
    <row r="403" customFormat="false" ht="15" hidden="false" customHeight="false" outlineLevel="0" collapsed="false">
      <c r="A403" s="27"/>
      <c r="B403" s="1"/>
      <c r="C403" s="1"/>
      <c r="D403" s="1"/>
      <c r="E403" s="1"/>
      <c r="F403" s="1"/>
      <c r="G403" s="31"/>
      <c r="H403" s="28"/>
      <c r="I403" s="29"/>
      <c r="J403" s="20" t="str">
        <f aca="false">IF(D403="","",E403*H403)</f>
        <v/>
      </c>
      <c r="K403" s="20" t="str">
        <f aca="false">IF(D403="","",J403*I403)</f>
        <v/>
      </c>
      <c r="L403" s="20" t="str">
        <f aca="false">IF(D403="","",J403+K403)</f>
        <v/>
      </c>
    </row>
    <row r="404" customFormat="false" ht="15" hidden="false" customHeight="false" outlineLevel="0" collapsed="false">
      <c r="A404" s="27"/>
      <c r="B404" s="1"/>
      <c r="C404" s="1"/>
      <c r="D404" s="1"/>
      <c r="E404" s="1"/>
      <c r="F404" s="1"/>
      <c r="G404" s="31"/>
      <c r="H404" s="28"/>
      <c r="I404" s="29"/>
      <c r="J404" s="20" t="str">
        <f aca="false">IF(D404="","",E404*H404)</f>
        <v/>
      </c>
      <c r="K404" s="20" t="str">
        <f aca="false">IF(D404="","",J404*I404)</f>
        <v/>
      </c>
      <c r="L404" s="20" t="str">
        <f aca="false">IF(D404="","",J404+K404)</f>
        <v/>
      </c>
    </row>
    <row r="405" customFormat="false" ht="15" hidden="false" customHeight="false" outlineLevel="0" collapsed="false">
      <c r="A405" s="27"/>
      <c r="B405" s="1"/>
      <c r="C405" s="1"/>
      <c r="D405" s="1"/>
      <c r="E405" s="1"/>
      <c r="F405" s="1"/>
      <c r="G405" s="31"/>
      <c r="H405" s="28"/>
      <c r="I405" s="29"/>
      <c r="J405" s="20" t="str">
        <f aca="false">IF(D405="","",E405*H405)</f>
        <v/>
      </c>
      <c r="K405" s="20" t="str">
        <f aca="false">IF(D405="","",J405*I405)</f>
        <v/>
      </c>
      <c r="L405" s="20" t="str">
        <f aca="false">IF(D405="","",J405+K405)</f>
        <v/>
      </c>
    </row>
    <row r="406" customFormat="false" ht="15" hidden="false" customHeight="false" outlineLevel="0" collapsed="false">
      <c r="A406" s="27"/>
      <c r="B406" s="1"/>
      <c r="C406" s="1"/>
      <c r="D406" s="1"/>
      <c r="E406" s="1"/>
      <c r="F406" s="1"/>
      <c r="G406" s="31"/>
      <c r="H406" s="28"/>
      <c r="I406" s="29"/>
      <c r="J406" s="20" t="str">
        <f aca="false">IF(D406="","",E406*H406)</f>
        <v/>
      </c>
      <c r="K406" s="20" t="str">
        <f aca="false">IF(D406="","",J406*I406)</f>
        <v/>
      </c>
      <c r="L406" s="20" t="str">
        <f aca="false">IF(D406="","",J406+K406)</f>
        <v/>
      </c>
    </row>
    <row r="407" customFormat="false" ht="15" hidden="false" customHeight="false" outlineLevel="0" collapsed="false">
      <c r="A407" s="27"/>
      <c r="B407" s="1"/>
      <c r="C407" s="1"/>
      <c r="D407" s="1"/>
      <c r="E407" s="1"/>
      <c r="F407" s="1"/>
      <c r="G407" s="31"/>
      <c r="H407" s="28"/>
      <c r="I407" s="29"/>
      <c r="J407" s="20" t="str">
        <f aca="false">IF(D407="","",E407*H407)</f>
        <v/>
      </c>
      <c r="K407" s="20" t="str">
        <f aca="false">IF(D407="","",J407*I407)</f>
        <v/>
      </c>
      <c r="L407" s="20" t="str">
        <f aca="false">IF(D407="","",J407+K407)</f>
        <v/>
      </c>
    </row>
    <row r="408" customFormat="false" ht="15" hidden="false" customHeight="false" outlineLevel="0" collapsed="false">
      <c r="A408" s="27"/>
      <c r="B408" s="1"/>
      <c r="C408" s="1"/>
      <c r="D408" s="1"/>
      <c r="E408" s="1"/>
      <c r="F408" s="1"/>
      <c r="G408" s="31"/>
      <c r="H408" s="28"/>
      <c r="I408" s="29"/>
      <c r="J408" s="20" t="str">
        <f aca="false">IF(D408="","",E408*H408)</f>
        <v/>
      </c>
      <c r="K408" s="20" t="str">
        <f aca="false">IF(D408="","",J408*I408)</f>
        <v/>
      </c>
      <c r="L408" s="20" t="str">
        <f aca="false">IF(D408="","",J408+K408)</f>
        <v/>
      </c>
    </row>
    <row r="409" customFormat="false" ht="15" hidden="false" customHeight="false" outlineLevel="0" collapsed="false">
      <c r="A409" s="27"/>
      <c r="B409" s="1"/>
      <c r="C409" s="1"/>
      <c r="D409" s="1"/>
      <c r="E409" s="1"/>
      <c r="F409" s="1"/>
      <c r="G409" s="31"/>
      <c r="H409" s="28"/>
      <c r="I409" s="29"/>
      <c r="J409" s="20" t="str">
        <f aca="false">IF(D409="","",E409*H409)</f>
        <v/>
      </c>
      <c r="K409" s="20" t="str">
        <f aca="false">IF(D409="","",J409*I409)</f>
        <v/>
      </c>
      <c r="L409" s="20" t="str">
        <f aca="false">IF(D409="","",J409+K409)</f>
        <v/>
      </c>
    </row>
    <row r="410" customFormat="false" ht="15" hidden="false" customHeight="false" outlineLevel="0" collapsed="false">
      <c r="A410" s="27"/>
      <c r="B410" s="1"/>
      <c r="C410" s="1"/>
      <c r="D410" s="1"/>
      <c r="E410" s="1"/>
      <c r="F410" s="1"/>
      <c r="G410" s="31"/>
      <c r="H410" s="28"/>
      <c r="I410" s="29"/>
      <c r="J410" s="20" t="str">
        <f aca="false">IF(D410="","",E410*H410)</f>
        <v/>
      </c>
      <c r="K410" s="20" t="str">
        <f aca="false">IF(D410="","",J410*I410)</f>
        <v/>
      </c>
      <c r="L410" s="20" t="str">
        <f aca="false">IF(D410="","",J410+K410)</f>
        <v/>
      </c>
    </row>
    <row r="411" customFormat="false" ht="15" hidden="false" customHeight="false" outlineLevel="0" collapsed="false">
      <c r="A411" s="27"/>
      <c r="B411" s="1"/>
      <c r="C411" s="1"/>
      <c r="D411" s="1"/>
      <c r="E411" s="1"/>
      <c r="F411" s="1"/>
      <c r="G411" s="31"/>
      <c r="H411" s="28"/>
      <c r="I411" s="29"/>
      <c r="J411" s="20" t="str">
        <f aca="false">IF(D411="","",E411*H411)</f>
        <v/>
      </c>
      <c r="K411" s="20" t="str">
        <f aca="false">IF(D411="","",J411*I411)</f>
        <v/>
      </c>
      <c r="L411" s="20" t="str">
        <f aca="false">IF(D411="","",J411+K411)</f>
        <v/>
      </c>
    </row>
    <row r="412" customFormat="false" ht="15" hidden="false" customHeight="false" outlineLevel="0" collapsed="false">
      <c r="A412" s="27"/>
      <c r="B412" s="1"/>
      <c r="C412" s="1"/>
      <c r="D412" s="1"/>
      <c r="E412" s="1"/>
      <c r="F412" s="1"/>
      <c r="G412" s="31"/>
      <c r="H412" s="28"/>
      <c r="I412" s="29"/>
      <c r="J412" s="20" t="str">
        <f aca="false">IF(D412="","",E412*H412)</f>
        <v/>
      </c>
      <c r="K412" s="20" t="str">
        <f aca="false">IF(D412="","",J412*I412)</f>
        <v/>
      </c>
      <c r="L412" s="20" t="str">
        <f aca="false">IF(D412="","",J412+K412)</f>
        <v/>
      </c>
    </row>
    <row r="413" customFormat="false" ht="15" hidden="false" customHeight="false" outlineLevel="0" collapsed="false">
      <c r="A413" s="27"/>
      <c r="B413" s="1"/>
      <c r="C413" s="1"/>
      <c r="D413" s="1"/>
      <c r="E413" s="1"/>
      <c r="F413" s="1"/>
      <c r="G413" s="31"/>
      <c r="H413" s="28"/>
      <c r="I413" s="29"/>
      <c r="J413" s="20" t="str">
        <f aca="false">IF(D413="","",E413*H413)</f>
        <v/>
      </c>
      <c r="K413" s="20" t="str">
        <f aca="false">IF(D413="","",J413*I413)</f>
        <v/>
      </c>
      <c r="L413" s="20" t="str">
        <f aca="false">IF(D413="","",J413+K413)</f>
        <v/>
      </c>
    </row>
    <row r="414" customFormat="false" ht="15" hidden="false" customHeight="false" outlineLevel="0" collapsed="false">
      <c r="A414" s="27"/>
      <c r="B414" s="1"/>
      <c r="C414" s="1"/>
      <c r="D414" s="1"/>
      <c r="E414" s="1"/>
      <c r="F414" s="1"/>
      <c r="G414" s="31"/>
      <c r="H414" s="28"/>
      <c r="I414" s="29"/>
      <c r="J414" s="20" t="str">
        <f aca="false">IF(D414="","",E414*H414)</f>
        <v/>
      </c>
      <c r="K414" s="20" t="str">
        <f aca="false">IF(D414="","",J414*I414)</f>
        <v/>
      </c>
      <c r="L414" s="20" t="str">
        <f aca="false">IF(D414="","",J414+K414)</f>
        <v/>
      </c>
    </row>
    <row r="415" customFormat="false" ht="15" hidden="false" customHeight="false" outlineLevel="0" collapsed="false">
      <c r="A415" s="27"/>
      <c r="B415" s="1"/>
      <c r="C415" s="1"/>
      <c r="D415" s="1"/>
      <c r="E415" s="1"/>
      <c r="F415" s="1"/>
      <c r="G415" s="31"/>
      <c r="H415" s="28"/>
      <c r="I415" s="29"/>
      <c r="J415" s="20" t="str">
        <f aca="false">IF(D415="","",E415*H415)</f>
        <v/>
      </c>
      <c r="K415" s="20" t="str">
        <f aca="false">IF(D415="","",J415*I415)</f>
        <v/>
      </c>
      <c r="L415" s="20" t="str">
        <f aca="false">IF(D415="","",J415+K415)</f>
        <v/>
      </c>
    </row>
    <row r="416" customFormat="false" ht="15" hidden="false" customHeight="false" outlineLevel="0" collapsed="false">
      <c r="A416" s="27"/>
      <c r="B416" s="1"/>
      <c r="C416" s="1"/>
      <c r="D416" s="1"/>
      <c r="E416" s="1"/>
      <c r="F416" s="1"/>
      <c r="G416" s="31"/>
      <c r="H416" s="28"/>
      <c r="I416" s="29"/>
      <c r="J416" s="20" t="str">
        <f aca="false">IF(D416="","",E416*H416)</f>
        <v/>
      </c>
      <c r="K416" s="20" t="str">
        <f aca="false">IF(D416="","",J416*I416)</f>
        <v/>
      </c>
      <c r="L416" s="20" t="str">
        <f aca="false">IF(D416="","",J416+K416)</f>
        <v/>
      </c>
    </row>
    <row r="417" customFormat="false" ht="15" hidden="false" customHeight="false" outlineLevel="0" collapsed="false">
      <c r="A417" s="27"/>
      <c r="B417" s="1"/>
      <c r="C417" s="1"/>
      <c r="D417" s="1"/>
      <c r="E417" s="1"/>
      <c r="F417" s="1"/>
      <c r="G417" s="31"/>
      <c r="H417" s="28"/>
      <c r="I417" s="29"/>
      <c r="J417" s="20" t="str">
        <f aca="false">IF(D417="","",E417*H417)</f>
        <v/>
      </c>
      <c r="K417" s="20" t="str">
        <f aca="false">IF(D417="","",J417*I417)</f>
        <v/>
      </c>
      <c r="L417" s="20" t="str">
        <f aca="false">IF(D417="","",J417+K417)</f>
        <v/>
      </c>
    </row>
    <row r="418" customFormat="false" ht="15" hidden="false" customHeight="false" outlineLevel="0" collapsed="false">
      <c r="A418" s="27"/>
      <c r="B418" s="1"/>
      <c r="C418" s="1"/>
      <c r="D418" s="1"/>
      <c r="E418" s="1"/>
      <c r="F418" s="1"/>
      <c r="G418" s="31"/>
      <c r="H418" s="28"/>
      <c r="I418" s="29"/>
      <c r="J418" s="20" t="str">
        <f aca="false">IF(D418="","",E418*H418)</f>
        <v/>
      </c>
      <c r="K418" s="20" t="str">
        <f aca="false">IF(D418="","",J418*I418)</f>
        <v/>
      </c>
      <c r="L418" s="20" t="str">
        <f aca="false">IF(D418="","",J418+K418)</f>
        <v/>
      </c>
    </row>
    <row r="419" customFormat="false" ht="15" hidden="false" customHeight="false" outlineLevel="0" collapsed="false">
      <c r="A419" s="27"/>
      <c r="B419" s="1"/>
      <c r="C419" s="1"/>
      <c r="D419" s="1"/>
      <c r="E419" s="1"/>
      <c r="F419" s="1"/>
      <c r="G419" s="31"/>
      <c r="H419" s="28"/>
      <c r="I419" s="29"/>
      <c r="J419" s="20" t="str">
        <f aca="false">IF(D419="","",E419*H419)</f>
        <v/>
      </c>
      <c r="K419" s="20" t="str">
        <f aca="false">IF(D419="","",J419*I419)</f>
        <v/>
      </c>
      <c r="L419" s="20" t="str">
        <f aca="false">IF(D419="","",J419+K419)</f>
        <v/>
      </c>
    </row>
    <row r="420" customFormat="false" ht="15" hidden="false" customHeight="false" outlineLevel="0" collapsed="false">
      <c r="A420" s="27"/>
      <c r="B420" s="1"/>
      <c r="C420" s="1"/>
      <c r="D420" s="1"/>
      <c r="E420" s="1"/>
      <c r="F420" s="1"/>
      <c r="G420" s="31"/>
      <c r="H420" s="28"/>
      <c r="I420" s="29"/>
      <c r="J420" s="20" t="str">
        <f aca="false">IF(D420="","",E420*H420)</f>
        <v/>
      </c>
      <c r="K420" s="20" t="str">
        <f aca="false">IF(D420="","",J420*I420)</f>
        <v/>
      </c>
      <c r="L420" s="20" t="str">
        <f aca="false">IF(D420="","",J420+K420)</f>
        <v/>
      </c>
    </row>
    <row r="421" customFormat="false" ht="15" hidden="false" customHeight="false" outlineLevel="0" collapsed="false">
      <c r="A421" s="27"/>
      <c r="B421" s="1"/>
      <c r="C421" s="1"/>
      <c r="D421" s="1"/>
      <c r="E421" s="1"/>
      <c r="F421" s="1"/>
      <c r="G421" s="31"/>
      <c r="H421" s="28"/>
      <c r="I421" s="29"/>
      <c r="J421" s="20" t="str">
        <f aca="false">IF(D421="","",E421*H421)</f>
        <v/>
      </c>
      <c r="K421" s="20" t="str">
        <f aca="false">IF(D421="","",J421*I421)</f>
        <v/>
      </c>
      <c r="L421" s="20" t="str">
        <f aca="false">IF(D421="","",J421+K421)</f>
        <v/>
      </c>
    </row>
    <row r="422" customFormat="false" ht="15" hidden="false" customHeight="false" outlineLevel="0" collapsed="false">
      <c r="A422" s="27"/>
      <c r="B422" s="1"/>
      <c r="C422" s="1"/>
      <c r="D422" s="1"/>
      <c r="E422" s="1"/>
      <c r="F422" s="1"/>
      <c r="G422" s="31"/>
      <c r="H422" s="28"/>
      <c r="I422" s="29"/>
      <c r="J422" s="20" t="str">
        <f aca="false">IF(D422="","",E422*H422)</f>
        <v/>
      </c>
      <c r="K422" s="20" t="str">
        <f aca="false">IF(D422="","",J422*I422)</f>
        <v/>
      </c>
      <c r="L422" s="20" t="str">
        <f aca="false">IF(D422="","",J422+K422)</f>
        <v/>
      </c>
    </row>
    <row r="423" customFormat="false" ht="15" hidden="false" customHeight="false" outlineLevel="0" collapsed="false">
      <c r="A423" s="27"/>
      <c r="B423" s="1"/>
      <c r="C423" s="1"/>
      <c r="D423" s="1"/>
      <c r="E423" s="1"/>
      <c r="F423" s="1"/>
      <c r="G423" s="31"/>
      <c r="H423" s="28"/>
      <c r="I423" s="29"/>
      <c r="J423" s="20" t="str">
        <f aca="false">IF(D423="","",E423*H423)</f>
        <v/>
      </c>
      <c r="K423" s="20" t="str">
        <f aca="false">IF(D423="","",J423*I423)</f>
        <v/>
      </c>
      <c r="L423" s="20" t="str">
        <f aca="false">IF(D423="","",J423+K423)</f>
        <v/>
      </c>
    </row>
    <row r="424" customFormat="false" ht="15" hidden="false" customHeight="false" outlineLevel="0" collapsed="false">
      <c r="A424" s="27"/>
      <c r="B424" s="1"/>
      <c r="C424" s="1"/>
      <c r="D424" s="1"/>
      <c r="E424" s="1"/>
      <c r="F424" s="1"/>
      <c r="G424" s="31"/>
      <c r="H424" s="28"/>
      <c r="I424" s="29"/>
      <c r="J424" s="20" t="str">
        <f aca="false">IF(D424="","",E424*H424)</f>
        <v/>
      </c>
      <c r="K424" s="20" t="str">
        <f aca="false">IF(D424="","",J424*I424)</f>
        <v/>
      </c>
      <c r="L424" s="20" t="str">
        <f aca="false">IF(D424="","",J424+K424)</f>
        <v/>
      </c>
    </row>
    <row r="425" customFormat="false" ht="15" hidden="false" customHeight="false" outlineLevel="0" collapsed="false">
      <c r="A425" s="27"/>
      <c r="B425" s="1"/>
      <c r="C425" s="1"/>
      <c r="D425" s="1"/>
      <c r="E425" s="1"/>
      <c r="F425" s="1"/>
      <c r="G425" s="31"/>
      <c r="H425" s="28"/>
      <c r="I425" s="29"/>
      <c r="J425" s="20" t="str">
        <f aca="false">IF(D425="","",E425*H425)</f>
        <v/>
      </c>
      <c r="K425" s="20" t="str">
        <f aca="false">IF(D425="","",J425*I425)</f>
        <v/>
      </c>
      <c r="L425" s="20" t="str">
        <f aca="false">IF(D425="","",J425+K425)</f>
        <v/>
      </c>
    </row>
    <row r="426" customFormat="false" ht="15" hidden="false" customHeight="false" outlineLevel="0" collapsed="false">
      <c r="A426" s="27"/>
      <c r="B426" s="1"/>
      <c r="C426" s="1"/>
      <c r="D426" s="1"/>
      <c r="E426" s="1"/>
      <c r="F426" s="1"/>
      <c r="G426" s="31"/>
      <c r="H426" s="28"/>
      <c r="I426" s="29"/>
      <c r="J426" s="20" t="str">
        <f aca="false">IF(D426="","",E426*H426)</f>
        <v/>
      </c>
      <c r="K426" s="20" t="str">
        <f aca="false">IF(D426="","",J426*I426)</f>
        <v/>
      </c>
      <c r="L426" s="20" t="str">
        <f aca="false">IF(D426="","",J426+K426)</f>
        <v/>
      </c>
    </row>
    <row r="427" customFormat="false" ht="15" hidden="false" customHeight="false" outlineLevel="0" collapsed="false">
      <c r="A427" s="27"/>
      <c r="B427" s="1"/>
      <c r="C427" s="1"/>
      <c r="D427" s="1"/>
      <c r="E427" s="1"/>
      <c r="F427" s="1"/>
      <c r="G427" s="31"/>
      <c r="H427" s="28"/>
      <c r="I427" s="29"/>
      <c r="J427" s="20" t="str">
        <f aca="false">IF(D427="","",E427*H427)</f>
        <v/>
      </c>
      <c r="K427" s="20" t="str">
        <f aca="false">IF(D427="","",J427*I427)</f>
        <v/>
      </c>
      <c r="L427" s="20" t="str">
        <f aca="false">IF(D427="","",J427+K427)</f>
        <v/>
      </c>
    </row>
    <row r="428" customFormat="false" ht="15" hidden="false" customHeight="false" outlineLevel="0" collapsed="false">
      <c r="A428" s="27"/>
      <c r="B428" s="1"/>
      <c r="C428" s="1"/>
      <c r="D428" s="1"/>
      <c r="E428" s="1"/>
      <c r="F428" s="1"/>
      <c r="G428" s="31"/>
      <c r="H428" s="28"/>
      <c r="I428" s="29"/>
      <c r="J428" s="20" t="str">
        <f aca="false">IF(D428="","",E428*H428)</f>
        <v/>
      </c>
      <c r="K428" s="20" t="str">
        <f aca="false">IF(D428="","",J428*I428)</f>
        <v/>
      </c>
      <c r="L428" s="20" t="str">
        <f aca="false">IF(D428="","",J428+K428)</f>
        <v/>
      </c>
    </row>
    <row r="429" customFormat="false" ht="15" hidden="false" customHeight="false" outlineLevel="0" collapsed="false">
      <c r="A429" s="27"/>
      <c r="B429" s="1"/>
      <c r="C429" s="1"/>
      <c r="D429" s="1"/>
      <c r="E429" s="1"/>
      <c r="F429" s="1"/>
      <c r="G429" s="31"/>
      <c r="H429" s="28"/>
      <c r="I429" s="29"/>
      <c r="J429" s="20" t="str">
        <f aca="false">IF(D429="","",E429*H429)</f>
        <v/>
      </c>
      <c r="K429" s="20" t="str">
        <f aca="false">IF(D429="","",J429*I429)</f>
        <v/>
      </c>
      <c r="L429" s="20" t="str">
        <f aca="false">IF(D429="","",J429+K429)</f>
        <v/>
      </c>
    </row>
    <row r="430" customFormat="false" ht="15" hidden="false" customHeight="false" outlineLevel="0" collapsed="false">
      <c r="A430" s="27"/>
      <c r="B430" s="1"/>
      <c r="C430" s="1"/>
      <c r="D430" s="1"/>
      <c r="E430" s="1"/>
      <c r="F430" s="1"/>
      <c r="G430" s="31"/>
      <c r="H430" s="28"/>
      <c r="I430" s="29"/>
      <c r="J430" s="20" t="str">
        <f aca="false">IF(D430="","",E430*H430)</f>
        <v/>
      </c>
      <c r="K430" s="20" t="str">
        <f aca="false">IF(D430="","",J430*I430)</f>
        <v/>
      </c>
      <c r="L430" s="20" t="str">
        <f aca="false">IF(D430="","",J430+K430)</f>
        <v/>
      </c>
    </row>
    <row r="431" customFormat="false" ht="15" hidden="false" customHeight="false" outlineLevel="0" collapsed="false">
      <c r="A431" s="27"/>
      <c r="B431" s="1"/>
      <c r="C431" s="1"/>
      <c r="D431" s="1"/>
      <c r="E431" s="1"/>
      <c r="F431" s="1"/>
      <c r="G431" s="31"/>
      <c r="H431" s="28"/>
      <c r="I431" s="29"/>
      <c r="J431" s="20" t="str">
        <f aca="false">IF(D431="","",E431*H431)</f>
        <v/>
      </c>
      <c r="K431" s="20" t="str">
        <f aca="false">IF(D431="","",J431*I431)</f>
        <v/>
      </c>
      <c r="L431" s="20" t="str">
        <f aca="false">IF(D431="","",J431+K431)</f>
        <v/>
      </c>
    </row>
    <row r="432" customFormat="false" ht="15" hidden="false" customHeight="false" outlineLevel="0" collapsed="false">
      <c r="A432" s="27"/>
      <c r="B432" s="1"/>
      <c r="C432" s="1"/>
      <c r="D432" s="1"/>
      <c r="E432" s="1"/>
      <c r="F432" s="1"/>
      <c r="G432" s="31"/>
      <c r="H432" s="28"/>
      <c r="I432" s="29"/>
      <c r="J432" s="20" t="str">
        <f aca="false">IF(D432="","",E432*H432)</f>
        <v/>
      </c>
      <c r="K432" s="20" t="str">
        <f aca="false">IF(D432="","",J432*I432)</f>
        <v/>
      </c>
      <c r="L432" s="20" t="str">
        <f aca="false">IF(D432="","",J432+K432)</f>
        <v/>
      </c>
    </row>
    <row r="433" customFormat="false" ht="15" hidden="false" customHeight="false" outlineLevel="0" collapsed="false">
      <c r="A433" s="27"/>
      <c r="B433" s="1"/>
      <c r="C433" s="1"/>
      <c r="D433" s="1"/>
      <c r="E433" s="1"/>
      <c r="F433" s="1"/>
      <c r="G433" s="31"/>
      <c r="H433" s="28"/>
      <c r="I433" s="29"/>
      <c r="J433" s="20" t="str">
        <f aca="false">IF(D433="","",E433*H433)</f>
        <v/>
      </c>
      <c r="K433" s="20" t="str">
        <f aca="false">IF(D433="","",J433*I433)</f>
        <v/>
      </c>
      <c r="L433" s="20" t="str">
        <f aca="false">IF(D433="","",J433+K433)</f>
        <v/>
      </c>
    </row>
    <row r="434" customFormat="false" ht="15" hidden="false" customHeight="false" outlineLevel="0" collapsed="false">
      <c r="A434" s="27"/>
      <c r="B434" s="1"/>
      <c r="C434" s="1"/>
      <c r="D434" s="1"/>
      <c r="E434" s="1"/>
      <c r="F434" s="1"/>
      <c r="G434" s="31"/>
      <c r="H434" s="28"/>
      <c r="I434" s="29"/>
      <c r="J434" s="20" t="str">
        <f aca="false">IF(D434="","",E434*H434)</f>
        <v/>
      </c>
      <c r="K434" s="20" t="str">
        <f aca="false">IF(D434="","",J434*I434)</f>
        <v/>
      </c>
      <c r="L434" s="20" t="str">
        <f aca="false">IF(D434="","",J434+K434)</f>
        <v/>
      </c>
    </row>
    <row r="435" customFormat="false" ht="15" hidden="false" customHeight="false" outlineLevel="0" collapsed="false">
      <c r="A435" s="27"/>
      <c r="B435" s="1"/>
      <c r="C435" s="1"/>
      <c r="D435" s="1"/>
      <c r="E435" s="1"/>
      <c r="F435" s="1"/>
      <c r="G435" s="31"/>
      <c r="H435" s="28"/>
      <c r="I435" s="29"/>
      <c r="J435" s="20" t="str">
        <f aca="false">IF(D435="","",E435*H435)</f>
        <v/>
      </c>
      <c r="K435" s="20" t="str">
        <f aca="false">IF(D435="","",J435*I435)</f>
        <v/>
      </c>
      <c r="L435" s="20" t="str">
        <f aca="false">IF(D435="","",J435+K435)</f>
        <v/>
      </c>
    </row>
    <row r="436" customFormat="false" ht="15" hidden="false" customHeight="false" outlineLevel="0" collapsed="false">
      <c r="A436" s="27"/>
      <c r="B436" s="1"/>
      <c r="C436" s="1"/>
      <c r="D436" s="1"/>
      <c r="E436" s="1"/>
      <c r="F436" s="1"/>
      <c r="G436" s="31"/>
      <c r="H436" s="28"/>
      <c r="I436" s="29"/>
      <c r="J436" s="20" t="str">
        <f aca="false">IF(D436="","",E436*H436)</f>
        <v/>
      </c>
      <c r="K436" s="20" t="str">
        <f aca="false">IF(D436="","",J436*I436)</f>
        <v/>
      </c>
      <c r="L436" s="20" t="str">
        <f aca="false">IF(D436="","",J436+K436)</f>
        <v/>
      </c>
    </row>
    <row r="437" customFormat="false" ht="15" hidden="false" customHeight="false" outlineLevel="0" collapsed="false">
      <c r="A437" s="27"/>
      <c r="B437" s="1"/>
      <c r="C437" s="1"/>
      <c r="D437" s="1"/>
      <c r="E437" s="1"/>
      <c r="F437" s="1"/>
      <c r="G437" s="31"/>
      <c r="H437" s="28"/>
      <c r="I437" s="29"/>
      <c r="J437" s="20" t="str">
        <f aca="false">IF(D437="","",E437*H437)</f>
        <v/>
      </c>
      <c r="K437" s="20" t="str">
        <f aca="false">IF(D437="","",J437*I437)</f>
        <v/>
      </c>
      <c r="L437" s="20" t="str">
        <f aca="false">IF(D437="","",J437+K437)</f>
        <v/>
      </c>
    </row>
    <row r="438" customFormat="false" ht="15" hidden="false" customHeight="false" outlineLevel="0" collapsed="false">
      <c r="A438" s="27"/>
      <c r="B438" s="1"/>
      <c r="C438" s="1"/>
      <c r="D438" s="1"/>
      <c r="E438" s="1"/>
      <c r="F438" s="1"/>
      <c r="G438" s="31"/>
      <c r="H438" s="28"/>
      <c r="I438" s="29"/>
      <c r="J438" s="20" t="str">
        <f aca="false">IF(D438="","",E438*H438)</f>
        <v/>
      </c>
      <c r="K438" s="20" t="str">
        <f aca="false">IF(D438="","",J438*I438)</f>
        <v/>
      </c>
      <c r="L438" s="20" t="str">
        <f aca="false">IF(D438="","",J438+K438)</f>
        <v/>
      </c>
    </row>
    <row r="439" customFormat="false" ht="15" hidden="false" customHeight="false" outlineLevel="0" collapsed="false">
      <c r="A439" s="27"/>
      <c r="B439" s="1"/>
      <c r="C439" s="1"/>
      <c r="D439" s="1"/>
      <c r="E439" s="1"/>
      <c r="F439" s="1"/>
      <c r="G439" s="31"/>
      <c r="H439" s="28"/>
      <c r="I439" s="29"/>
      <c r="J439" s="20" t="str">
        <f aca="false">IF(D439="","",E439*H439)</f>
        <v/>
      </c>
      <c r="K439" s="20" t="str">
        <f aca="false">IF(D439="","",J439*I439)</f>
        <v/>
      </c>
      <c r="L439" s="20" t="str">
        <f aca="false">IF(D439="","",J439+K439)</f>
        <v/>
      </c>
    </row>
    <row r="440" customFormat="false" ht="15" hidden="false" customHeight="false" outlineLevel="0" collapsed="false">
      <c r="A440" s="27"/>
      <c r="B440" s="1"/>
      <c r="C440" s="1"/>
      <c r="D440" s="1"/>
      <c r="E440" s="1"/>
      <c r="F440" s="1"/>
      <c r="G440" s="31"/>
      <c r="H440" s="28"/>
      <c r="I440" s="29"/>
      <c r="J440" s="20" t="str">
        <f aca="false">IF(D440="","",E440*H440)</f>
        <v/>
      </c>
      <c r="K440" s="20" t="str">
        <f aca="false">IF(D440="","",J440*I440)</f>
        <v/>
      </c>
      <c r="L440" s="20" t="str">
        <f aca="false">IF(D440="","",J440+K440)</f>
        <v/>
      </c>
    </row>
    <row r="441" customFormat="false" ht="15" hidden="false" customHeight="false" outlineLevel="0" collapsed="false">
      <c r="A441" s="27"/>
      <c r="B441" s="1"/>
      <c r="C441" s="1"/>
      <c r="D441" s="1"/>
      <c r="E441" s="1"/>
      <c r="F441" s="1"/>
      <c r="G441" s="31"/>
      <c r="H441" s="28"/>
      <c r="I441" s="29"/>
      <c r="J441" s="20" t="str">
        <f aca="false">IF(D441="","",E441*H441)</f>
        <v/>
      </c>
      <c r="K441" s="20" t="str">
        <f aca="false">IF(D441="","",J441*I441)</f>
        <v/>
      </c>
      <c r="L441" s="20" t="str">
        <f aca="false">IF(D441="","",J441+K441)</f>
        <v/>
      </c>
    </row>
    <row r="442" customFormat="false" ht="15" hidden="false" customHeight="false" outlineLevel="0" collapsed="false">
      <c r="A442" s="27"/>
      <c r="B442" s="1"/>
      <c r="C442" s="1"/>
      <c r="D442" s="1"/>
      <c r="E442" s="1"/>
      <c r="F442" s="1"/>
      <c r="G442" s="31"/>
      <c r="H442" s="28"/>
      <c r="I442" s="29"/>
      <c r="J442" s="20" t="str">
        <f aca="false">IF(D442="","",E442*H442)</f>
        <v/>
      </c>
      <c r="K442" s="20" t="str">
        <f aca="false">IF(D442="","",J442*I442)</f>
        <v/>
      </c>
      <c r="L442" s="20" t="str">
        <f aca="false">IF(D442="","",J442+K442)</f>
        <v/>
      </c>
    </row>
    <row r="443" customFormat="false" ht="15" hidden="false" customHeight="false" outlineLevel="0" collapsed="false">
      <c r="A443" s="27"/>
      <c r="B443" s="1"/>
      <c r="C443" s="1"/>
      <c r="D443" s="1"/>
      <c r="E443" s="1"/>
      <c r="F443" s="1"/>
      <c r="G443" s="31"/>
      <c r="H443" s="28"/>
      <c r="I443" s="29"/>
      <c r="J443" s="20" t="str">
        <f aca="false">IF(D443="","",E443*H443)</f>
        <v/>
      </c>
      <c r="K443" s="20" t="str">
        <f aca="false">IF(D443="","",J443*I443)</f>
        <v/>
      </c>
      <c r="L443" s="20" t="str">
        <f aca="false">IF(D443="","",J443+K443)</f>
        <v/>
      </c>
    </row>
    <row r="444" customFormat="false" ht="15" hidden="false" customHeight="false" outlineLevel="0" collapsed="false">
      <c r="A444" s="27"/>
      <c r="B444" s="1"/>
      <c r="C444" s="1"/>
      <c r="D444" s="1"/>
      <c r="E444" s="1"/>
      <c r="F444" s="1"/>
      <c r="G444" s="31"/>
      <c r="H444" s="28"/>
      <c r="I444" s="29"/>
      <c r="J444" s="20" t="str">
        <f aca="false">IF(D444="","",E444*H444)</f>
        <v/>
      </c>
      <c r="K444" s="20" t="str">
        <f aca="false">IF(D444="","",J444*I444)</f>
        <v/>
      </c>
      <c r="L444" s="20" t="str">
        <f aca="false">IF(D444="","",J444+K444)</f>
        <v/>
      </c>
    </row>
    <row r="445" customFormat="false" ht="15" hidden="false" customHeight="false" outlineLevel="0" collapsed="false">
      <c r="A445" s="27"/>
      <c r="B445" s="1"/>
      <c r="C445" s="1"/>
      <c r="D445" s="1"/>
      <c r="E445" s="1"/>
      <c r="F445" s="1"/>
      <c r="G445" s="31"/>
      <c r="H445" s="28"/>
      <c r="I445" s="29"/>
      <c r="J445" s="20" t="str">
        <f aca="false">IF(D445="","",E445*H445)</f>
        <v/>
      </c>
      <c r="K445" s="20" t="str">
        <f aca="false">IF(D445="","",J445*I445)</f>
        <v/>
      </c>
      <c r="L445" s="20" t="str">
        <f aca="false">IF(D445="","",J445+K445)</f>
        <v/>
      </c>
    </row>
    <row r="446" customFormat="false" ht="15" hidden="false" customHeight="false" outlineLevel="0" collapsed="false">
      <c r="A446" s="27"/>
      <c r="B446" s="1"/>
      <c r="C446" s="1"/>
      <c r="D446" s="1"/>
      <c r="E446" s="1"/>
      <c r="F446" s="1"/>
      <c r="G446" s="31"/>
      <c r="H446" s="28"/>
      <c r="I446" s="29"/>
      <c r="J446" s="20" t="str">
        <f aca="false">IF(D446="","",E446*H446)</f>
        <v/>
      </c>
      <c r="K446" s="20" t="str">
        <f aca="false">IF(D446="","",J446*I446)</f>
        <v/>
      </c>
      <c r="L446" s="20" t="str">
        <f aca="false">IF(D446="","",J446+K446)</f>
        <v/>
      </c>
    </row>
    <row r="447" customFormat="false" ht="15" hidden="false" customHeight="false" outlineLevel="0" collapsed="false">
      <c r="A447" s="27"/>
      <c r="B447" s="1"/>
      <c r="C447" s="1"/>
      <c r="D447" s="1"/>
      <c r="E447" s="1"/>
      <c r="F447" s="1"/>
      <c r="G447" s="31"/>
      <c r="H447" s="28"/>
      <c r="I447" s="29"/>
      <c r="J447" s="20" t="str">
        <f aca="false">IF(D447="","",E447*H447)</f>
        <v/>
      </c>
      <c r="K447" s="20" t="str">
        <f aca="false">IF(D447="","",J447*I447)</f>
        <v/>
      </c>
      <c r="L447" s="20" t="str">
        <f aca="false">IF(D447="","",J447+K447)</f>
        <v/>
      </c>
    </row>
    <row r="448" customFormat="false" ht="15" hidden="false" customHeight="false" outlineLevel="0" collapsed="false">
      <c r="A448" s="27"/>
      <c r="B448" s="1"/>
      <c r="C448" s="1"/>
      <c r="D448" s="1"/>
      <c r="E448" s="1"/>
      <c r="F448" s="1"/>
      <c r="G448" s="31"/>
      <c r="H448" s="28"/>
      <c r="I448" s="29"/>
      <c r="J448" s="20" t="str">
        <f aca="false">IF(D448="","",E448*H448)</f>
        <v/>
      </c>
      <c r="K448" s="20" t="str">
        <f aca="false">IF(D448="","",J448*I448)</f>
        <v/>
      </c>
      <c r="L448" s="20" t="str">
        <f aca="false">IF(D448="","",J448+K448)</f>
        <v/>
      </c>
    </row>
    <row r="449" customFormat="false" ht="15" hidden="false" customHeight="false" outlineLevel="0" collapsed="false">
      <c r="A449" s="27"/>
      <c r="B449" s="1"/>
      <c r="C449" s="1"/>
      <c r="D449" s="1"/>
      <c r="E449" s="1"/>
      <c r="F449" s="1"/>
      <c r="G449" s="31"/>
      <c r="H449" s="28"/>
      <c r="I449" s="29"/>
      <c r="J449" s="20" t="str">
        <f aca="false">IF(D449="","",E449*H449)</f>
        <v/>
      </c>
      <c r="K449" s="20" t="str">
        <f aca="false">IF(D449="","",J449*I449)</f>
        <v/>
      </c>
      <c r="L449" s="20" t="str">
        <f aca="false">IF(D449="","",J449+K449)</f>
        <v/>
      </c>
    </row>
    <row r="450" customFormat="false" ht="15" hidden="false" customHeight="false" outlineLevel="0" collapsed="false">
      <c r="A450" s="27"/>
      <c r="B450" s="1"/>
      <c r="C450" s="1"/>
      <c r="D450" s="1"/>
      <c r="E450" s="1"/>
      <c r="F450" s="1"/>
      <c r="G450" s="31"/>
      <c r="H450" s="28"/>
      <c r="I450" s="29"/>
      <c r="J450" s="20" t="str">
        <f aca="false">IF(D450="","",E450*H450)</f>
        <v/>
      </c>
      <c r="K450" s="20" t="str">
        <f aca="false">IF(D450="","",J450*I450)</f>
        <v/>
      </c>
      <c r="L450" s="20" t="str">
        <f aca="false">IF(D450="","",J450+K450)</f>
        <v/>
      </c>
    </row>
    <row r="451" customFormat="false" ht="15" hidden="false" customHeight="false" outlineLevel="0" collapsed="false">
      <c r="A451" s="27"/>
      <c r="B451" s="1"/>
      <c r="C451" s="1"/>
      <c r="D451" s="1"/>
      <c r="E451" s="1"/>
      <c r="F451" s="1"/>
      <c r="G451" s="31"/>
      <c r="H451" s="28"/>
      <c r="I451" s="29"/>
      <c r="J451" s="20" t="str">
        <f aca="false">IF(D451="","",E451*H451)</f>
        <v/>
      </c>
      <c r="K451" s="20" t="str">
        <f aca="false">IF(D451="","",J451*I451)</f>
        <v/>
      </c>
      <c r="L451" s="20" t="str">
        <f aca="false">IF(D451="","",J451+K451)</f>
        <v/>
      </c>
    </row>
    <row r="452" customFormat="false" ht="15" hidden="false" customHeight="false" outlineLevel="0" collapsed="false">
      <c r="A452" s="27"/>
      <c r="B452" s="1"/>
      <c r="C452" s="1"/>
      <c r="D452" s="1"/>
      <c r="E452" s="1"/>
      <c r="F452" s="1"/>
      <c r="G452" s="31"/>
      <c r="H452" s="28"/>
      <c r="I452" s="29"/>
      <c r="J452" s="20" t="str">
        <f aca="false">IF(D452="","",E452*H452)</f>
        <v/>
      </c>
      <c r="K452" s="20" t="str">
        <f aca="false">IF(D452="","",J452*I452)</f>
        <v/>
      </c>
      <c r="L452" s="20" t="str">
        <f aca="false">IF(D452="","",J452+K452)</f>
        <v/>
      </c>
    </row>
    <row r="453" customFormat="false" ht="15" hidden="false" customHeight="false" outlineLevel="0" collapsed="false">
      <c r="A453" s="27"/>
      <c r="B453" s="1"/>
      <c r="C453" s="1"/>
      <c r="D453" s="1"/>
      <c r="E453" s="1"/>
      <c r="F453" s="1"/>
      <c r="G453" s="31"/>
      <c r="H453" s="28"/>
      <c r="I453" s="29"/>
      <c r="J453" s="20" t="str">
        <f aca="false">IF(D453="","",E453*H453)</f>
        <v/>
      </c>
      <c r="K453" s="20" t="str">
        <f aca="false">IF(D453="","",J453*I453)</f>
        <v/>
      </c>
      <c r="L453" s="20" t="str">
        <f aca="false">IF(D453="","",J453+K453)</f>
        <v/>
      </c>
    </row>
    <row r="454" customFormat="false" ht="15" hidden="false" customHeight="false" outlineLevel="0" collapsed="false">
      <c r="A454" s="27"/>
      <c r="B454" s="1"/>
      <c r="C454" s="1"/>
      <c r="D454" s="1"/>
      <c r="E454" s="1"/>
      <c r="F454" s="1"/>
      <c r="G454" s="31"/>
      <c r="H454" s="28"/>
      <c r="I454" s="29"/>
      <c r="J454" s="20" t="str">
        <f aca="false">IF(D454="","",E454*H454)</f>
        <v/>
      </c>
      <c r="K454" s="20" t="str">
        <f aca="false">IF(D454="","",J454*I454)</f>
        <v/>
      </c>
      <c r="L454" s="20" t="str">
        <f aca="false">IF(D454="","",J454+K454)</f>
        <v/>
      </c>
    </row>
    <row r="455" customFormat="false" ht="15" hidden="false" customHeight="false" outlineLevel="0" collapsed="false">
      <c r="A455" s="27"/>
      <c r="B455" s="1"/>
      <c r="C455" s="1"/>
      <c r="D455" s="1"/>
      <c r="E455" s="1"/>
      <c r="F455" s="1"/>
      <c r="G455" s="31"/>
      <c r="H455" s="28"/>
      <c r="I455" s="29"/>
      <c r="J455" s="20" t="str">
        <f aca="false">IF(D455="","",E455*H455)</f>
        <v/>
      </c>
      <c r="K455" s="20" t="str">
        <f aca="false">IF(D455="","",J455*I455)</f>
        <v/>
      </c>
      <c r="L455" s="20" t="str">
        <f aca="false">IF(D455="","",J455+K455)</f>
        <v/>
      </c>
    </row>
    <row r="456" customFormat="false" ht="15" hidden="false" customHeight="false" outlineLevel="0" collapsed="false">
      <c r="A456" s="27"/>
      <c r="B456" s="1"/>
      <c r="C456" s="1"/>
      <c r="D456" s="1"/>
      <c r="E456" s="1"/>
      <c r="F456" s="1"/>
      <c r="G456" s="31"/>
      <c r="H456" s="28"/>
      <c r="I456" s="29"/>
      <c r="J456" s="20" t="str">
        <f aca="false">IF(D456="","",E456*H456)</f>
        <v/>
      </c>
      <c r="K456" s="20" t="str">
        <f aca="false">IF(D456="","",J456*I456)</f>
        <v/>
      </c>
      <c r="L456" s="20" t="str">
        <f aca="false">IF(D456="","",J456+K456)</f>
        <v/>
      </c>
    </row>
    <row r="457" customFormat="false" ht="15" hidden="false" customHeight="false" outlineLevel="0" collapsed="false">
      <c r="A457" s="27"/>
      <c r="B457" s="1"/>
      <c r="C457" s="1"/>
      <c r="D457" s="1"/>
      <c r="E457" s="1"/>
      <c r="F457" s="1"/>
      <c r="G457" s="31"/>
      <c r="H457" s="28"/>
      <c r="I457" s="29"/>
      <c r="J457" s="20" t="str">
        <f aca="false">IF(D457="","",E457*H457)</f>
        <v/>
      </c>
      <c r="K457" s="20" t="str">
        <f aca="false">IF(D457="","",J457*I457)</f>
        <v/>
      </c>
      <c r="L457" s="20" t="str">
        <f aca="false">IF(D457="","",J457+K457)</f>
        <v/>
      </c>
    </row>
    <row r="458" customFormat="false" ht="15" hidden="false" customHeight="false" outlineLevel="0" collapsed="false">
      <c r="A458" s="27"/>
      <c r="B458" s="1"/>
      <c r="C458" s="1"/>
      <c r="D458" s="1"/>
      <c r="E458" s="1"/>
      <c r="F458" s="1"/>
      <c r="G458" s="31"/>
      <c r="H458" s="28"/>
      <c r="I458" s="29"/>
      <c r="J458" s="20" t="str">
        <f aca="false">IF(D458="","",E458*H458)</f>
        <v/>
      </c>
      <c r="K458" s="20" t="str">
        <f aca="false">IF(D458="","",J458*I458)</f>
        <v/>
      </c>
      <c r="L458" s="20" t="str">
        <f aca="false">IF(D458="","",J458+K458)</f>
        <v/>
      </c>
    </row>
    <row r="459" customFormat="false" ht="15" hidden="false" customHeight="false" outlineLevel="0" collapsed="false">
      <c r="A459" s="27"/>
      <c r="B459" s="1"/>
      <c r="C459" s="1"/>
      <c r="D459" s="1"/>
      <c r="E459" s="1"/>
      <c r="F459" s="1"/>
      <c r="G459" s="31"/>
      <c r="H459" s="28"/>
      <c r="I459" s="29"/>
      <c r="J459" s="20" t="str">
        <f aca="false">IF(D459="","",E459*H459)</f>
        <v/>
      </c>
      <c r="K459" s="20" t="str">
        <f aca="false">IF(D459="","",J459*I459)</f>
        <v/>
      </c>
      <c r="L459" s="20" t="str">
        <f aca="false">IF(D459="","",J459+K459)</f>
        <v/>
      </c>
    </row>
    <row r="460" customFormat="false" ht="15" hidden="false" customHeight="false" outlineLevel="0" collapsed="false">
      <c r="A460" s="27"/>
      <c r="B460" s="1"/>
      <c r="C460" s="1"/>
      <c r="D460" s="1"/>
      <c r="E460" s="1"/>
      <c r="F460" s="1"/>
      <c r="G460" s="31"/>
      <c r="H460" s="28"/>
      <c r="I460" s="29"/>
      <c r="J460" s="20" t="str">
        <f aca="false">IF(D460="","",E460*H460)</f>
        <v/>
      </c>
      <c r="K460" s="20" t="str">
        <f aca="false">IF(D460="","",J460*I460)</f>
        <v/>
      </c>
      <c r="L460" s="20" t="str">
        <f aca="false">IF(D460="","",J460+K460)</f>
        <v/>
      </c>
    </row>
    <row r="461" customFormat="false" ht="15" hidden="false" customHeight="false" outlineLevel="0" collapsed="false">
      <c r="A461" s="27"/>
      <c r="B461" s="1"/>
      <c r="C461" s="1"/>
      <c r="D461" s="1"/>
      <c r="E461" s="1"/>
      <c r="F461" s="1"/>
      <c r="G461" s="31"/>
      <c r="H461" s="28"/>
      <c r="I461" s="29"/>
      <c r="J461" s="20" t="str">
        <f aca="false">IF(D461="","",E461*H461)</f>
        <v/>
      </c>
      <c r="K461" s="20" t="str">
        <f aca="false">IF(D461="","",J461*I461)</f>
        <v/>
      </c>
      <c r="L461" s="20" t="str">
        <f aca="false">IF(D461="","",J461+K461)</f>
        <v/>
      </c>
    </row>
    <row r="462" customFormat="false" ht="15" hidden="false" customHeight="false" outlineLevel="0" collapsed="false">
      <c r="A462" s="27"/>
      <c r="B462" s="1"/>
      <c r="C462" s="1"/>
      <c r="D462" s="1"/>
      <c r="E462" s="1"/>
      <c r="F462" s="1"/>
      <c r="G462" s="31"/>
      <c r="H462" s="28"/>
      <c r="I462" s="29"/>
      <c r="J462" s="20" t="str">
        <f aca="false">IF(D462="","",E462*H462)</f>
        <v/>
      </c>
      <c r="K462" s="20" t="str">
        <f aca="false">IF(D462="","",J462*I462)</f>
        <v/>
      </c>
      <c r="L462" s="20" t="str">
        <f aca="false">IF(D462="","",J462+K462)</f>
        <v/>
      </c>
    </row>
    <row r="463" customFormat="false" ht="15" hidden="false" customHeight="false" outlineLevel="0" collapsed="false">
      <c r="A463" s="27"/>
      <c r="B463" s="1"/>
      <c r="C463" s="1"/>
      <c r="D463" s="1"/>
      <c r="E463" s="1"/>
      <c r="F463" s="1"/>
      <c r="G463" s="31"/>
      <c r="H463" s="28"/>
      <c r="I463" s="29"/>
      <c r="J463" s="20" t="str">
        <f aca="false">IF(D463="","",E463*H463)</f>
        <v/>
      </c>
      <c r="K463" s="20" t="str">
        <f aca="false">IF(D463="","",J463*I463)</f>
        <v/>
      </c>
      <c r="L463" s="20" t="str">
        <f aca="false">IF(D463="","",J463+K463)</f>
        <v/>
      </c>
    </row>
    <row r="464" customFormat="false" ht="15" hidden="false" customHeight="false" outlineLevel="0" collapsed="false">
      <c r="A464" s="27"/>
      <c r="B464" s="1"/>
      <c r="C464" s="1"/>
      <c r="D464" s="1"/>
      <c r="E464" s="1"/>
      <c r="F464" s="1"/>
      <c r="G464" s="31"/>
      <c r="H464" s="28"/>
      <c r="I464" s="29"/>
      <c r="J464" s="20" t="str">
        <f aca="false">IF(D464="","",E464*H464)</f>
        <v/>
      </c>
      <c r="K464" s="20" t="str">
        <f aca="false">IF(D464="","",J464*I464)</f>
        <v/>
      </c>
      <c r="L464" s="20" t="str">
        <f aca="false">IF(D464="","",J464+K464)</f>
        <v/>
      </c>
    </row>
    <row r="465" customFormat="false" ht="15" hidden="false" customHeight="false" outlineLevel="0" collapsed="false">
      <c r="A465" s="27"/>
      <c r="B465" s="1"/>
      <c r="C465" s="1"/>
      <c r="D465" s="1"/>
      <c r="E465" s="1"/>
      <c r="F465" s="1"/>
      <c r="G465" s="31"/>
      <c r="H465" s="28"/>
      <c r="I465" s="29"/>
      <c r="J465" s="20" t="str">
        <f aca="false">IF(D465="","",E465*H465)</f>
        <v/>
      </c>
      <c r="K465" s="20" t="str">
        <f aca="false">IF(D465="","",J465*I465)</f>
        <v/>
      </c>
      <c r="L465" s="20" t="str">
        <f aca="false">IF(D465="","",J465+K465)</f>
        <v/>
      </c>
    </row>
    <row r="466" customFormat="false" ht="15" hidden="false" customHeight="false" outlineLevel="0" collapsed="false">
      <c r="A466" s="27"/>
      <c r="B466" s="1"/>
      <c r="C466" s="1"/>
      <c r="D466" s="1"/>
      <c r="E466" s="1"/>
      <c r="F466" s="1"/>
      <c r="G466" s="31"/>
      <c r="H466" s="28"/>
      <c r="I466" s="29"/>
      <c r="J466" s="20" t="str">
        <f aca="false">IF(D466="","",E466*H466)</f>
        <v/>
      </c>
      <c r="K466" s="20" t="str">
        <f aca="false">IF(D466="","",J466*I466)</f>
        <v/>
      </c>
      <c r="L466" s="20" t="str">
        <f aca="false">IF(D466="","",J466+K466)</f>
        <v/>
      </c>
    </row>
    <row r="467" customFormat="false" ht="15" hidden="false" customHeight="false" outlineLevel="0" collapsed="false">
      <c r="A467" s="27"/>
      <c r="B467" s="1"/>
      <c r="C467" s="1"/>
      <c r="D467" s="1"/>
      <c r="E467" s="1"/>
      <c r="F467" s="1"/>
      <c r="G467" s="31"/>
      <c r="H467" s="28"/>
      <c r="I467" s="29"/>
      <c r="J467" s="20" t="str">
        <f aca="false">IF(D467="","",E467*H467)</f>
        <v/>
      </c>
      <c r="K467" s="20" t="str">
        <f aca="false">IF(D467="","",J467*I467)</f>
        <v/>
      </c>
      <c r="L467" s="20" t="str">
        <f aca="false">IF(D467="","",J467+K467)</f>
        <v/>
      </c>
    </row>
    <row r="468" customFormat="false" ht="15" hidden="false" customHeight="false" outlineLevel="0" collapsed="false">
      <c r="A468" s="27"/>
      <c r="B468" s="1"/>
      <c r="C468" s="1"/>
      <c r="D468" s="1"/>
      <c r="E468" s="1"/>
      <c r="F468" s="1"/>
      <c r="G468" s="31"/>
      <c r="H468" s="28"/>
      <c r="I468" s="29"/>
      <c r="J468" s="20" t="str">
        <f aca="false">IF(D468="","",E468*H468)</f>
        <v/>
      </c>
      <c r="K468" s="20" t="str">
        <f aca="false">IF(D468="","",J468*I468)</f>
        <v/>
      </c>
      <c r="L468" s="20" t="str">
        <f aca="false">IF(D468="","",J468+K468)</f>
        <v/>
      </c>
    </row>
    <row r="469" customFormat="false" ht="15" hidden="false" customHeight="false" outlineLevel="0" collapsed="false">
      <c r="A469" s="27"/>
      <c r="B469" s="1"/>
      <c r="C469" s="1"/>
      <c r="D469" s="1"/>
      <c r="E469" s="1"/>
      <c r="F469" s="1"/>
      <c r="G469" s="31"/>
      <c r="H469" s="28"/>
      <c r="I469" s="29"/>
      <c r="J469" s="20" t="str">
        <f aca="false">IF(D469="","",E469*H469)</f>
        <v/>
      </c>
      <c r="K469" s="20" t="str">
        <f aca="false">IF(D469="","",J469*I469)</f>
        <v/>
      </c>
      <c r="L469" s="20" t="str">
        <f aca="false">IF(D469="","",J469+K469)</f>
        <v/>
      </c>
    </row>
    <row r="470" customFormat="false" ht="15" hidden="false" customHeight="false" outlineLevel="0" collapsed="false">
      <c r="A470" s="27"/>
      <c r="B470" s="1"/>
      <c r="C470" s="1"/>
      <c r="D470" s="1"/>
      <c r="E470" s="1"/>
      <c r="F470" s="1"/>
      <c r="G470" s="31"/>
      <c r="H470" s="28"/>
      <c r="I470" s="29"/>
      <c r="J470" s="20" t="str">
        <f aca="false">IF(D470="","",E470*H470)</f>
        <v/>
      </c>
      <c r="K470" s="20" t="str">
        <f aca="false">IF(D470="","",J470*I470)</f>
        <v/>
      </c>
      <c r="L470" s="20" t="str">
        <f aca="false">IF(D470="","",J470+K470)</f>
        <v/>
      </c>
    </row>
    <row r="471" customFormat="false" ht="15" hidden="false" customHeight="false" outlineLevel="0" collapsed="false">
      <c r="A471" s="27"/>
      <c r="B471" s="1"/>
      <c r="C471" s="1"/>
      <c r="D471" s="1"/>
      <c r="E471" s="1"/>
      <c r="F471" s="1"/>
      <c r="G471" s="31"/>
      <c r="H471" s="28"/>
      <c r="I471" s="29"/>
      <c r="J471" s="20" t="str">
        <f aca="false">IF(D471="","",E471*H471)</f>
        <v/>
      </c>
      <c r="K471" s="20" t="str">
        <f aca="false">IF(D471="","",J471*I471)</f>
        <v/>
      </c>
      <c r="L471" s="20" t="str">
        <f aca="false">IF(D471="","",J471+K471)</f>
        <v/>
      </c>
    </row>
    <row r="472" customFormat="false" ht="15" hidden="false" customHeight="false" outlineLevel="0" collapsed="false">
      <c r="A472" s="27"/>
      <c r="B472" s="1"/>
      <c r="C472" s="1"/>
      <c r="D472" s="1"/>
      <c r="E472" s="1"/>
      <c r="F472" s="1"/>
      <c r="G472" s="31"/>
      <c r="H472" s="28"/>
      <c r="I472" s="29"/>
      <c r="J472" s="20" t="str">
        <f aca="false">IF(D472="","",E472*H472)</f>
        <v/>
      </c>
      <c r="K472" s="20" t="str">
        <f aca="false">IF(D472="","",J472*I472)</f>
        <v/>
      </c>
      <c r="L472" s="20" t="str">
        <f aca="false">IF(D472="","",J472+K472)</f>
        <v/>
      </c>
    </row>
    <row r="473" customFormat="false" ht="15" hidden="false" customHeight="false" outlineLevel="0" collapsed="false">
      <c r="A473" s="27"/>
      <c r="B473" s="1"/>
      <c r="C473" s="1"/>
      <c r="D473" s="1"/>
      <c r="E473" s="1"/>
      <c r="F473" s="1"/>
      <c r="G473" s="31"/>
      <c r="H473" s="28"/>
      <c r="I473" s="29"/>
      <c r="J473" s="20" t="str">
        <f aca="false">IF(D473="","",E473*H473)</f>
        <v/>
      </c>
      <c r="K473" s="20" t="str">
        <f aca="false">IF(D473="","",J473*I473)</f>
        <v/>
      </c>
      <c r="L473" s="20" t="str">
        <f aca="false">IF(D473="","",J473+K473)</f>
        <v/>
      </c>
    </row>
    <row r="474" customFormat="false" ht="15" hidden="false" customHeight="false" outlineLevel="0" collapsed="false">
      <c r="A474" s="27"/>
      <c r="B474" s="1"/>
      <c r="C474" s="1"/>
      <c r="D474" s="1"/>
      <c r="E474" s="1"/>
      <c r="F474" s="1"/>
      <c r="G474" s="31"/>
      <c r="H474" s="28"/>
      <c r="I474" s="29"/>
      <c r="J474" s="20" t="str">
        <f aca="false">IF(D474="","",E474*H474)</f>
        <v/>
      </c>
      <c r="K474" s="20" t="str">
        <f aca="false">IF(D474="","",J474*I474)</f>
        <v/>
      </c>
      <c r="L474" s="20" t="str">
        <f aca="false">IF(D474="","",J474+K474)</f>
        <v/>
      </c>
    </row>
    <row r="475" customFormat="false" ht="15" hidden="false" customHeight="false" outlineLevel="0" collapsed="false">
      <c r="A475" s="27"/>
      <c r="B475" s="1"/>
      <c r="C475" s="1"/>
      <c r="D475" s="1"/>
      <c r="E475" s="1"/>
      <c r="F475" s="1"/>
      <c r="G475" s="31"/>
      <c r="H475" s="28"/>
      <c r="I475" s="29"/>
      <c r="J475" s="20" t="str">
        <f aca="false">IF(D475="","",E475*H475)</f>
        <v/>
      </c>
      <c r="K475" s="20" t="str">
        <f aca="false">IF(D475="","",J475*I475)</f>
        <v/>
      </c>
      <c r="L475" s="20" t="str">
        <f aca="false">IF(D475="","",J475+K475)</f>
        <v/>
      </c>
    </row>
    <row r="476" customFormat="false" ht="15" hidden="false" customHeight="false" outlineLevel="0" collapsed="false">
      <c r="A476" s="27"/>
      <c r="B476" s="1"/>
      <c r="C476" s="1"/>
      <c r="D476" s="1"/>
      <c r="E476" s="1"/>
      <c r="F476" s="1"/>
      <c r="G476" s="31"/>
      <c r="H476" s="28"/>
      <c r="I476" s="29"/>
      <c r="J476" s="20" t="str">
        <f aca="false">IF(D476="","",E476*H476)</f>
        <v/>
      </c>
      <c r="K476" s="20" t="str">
        <f aca="false">IF(D476="","",J476*I476)</f>
        <v/>
      </c>
      <c r="L476" s="20" t="str">
        <f aca="false">IF(D476="","",J476+K476)</f>
        <v/>
      </c>
    </row>
    <row r="477" customFormat="false" ht="15" hidden="false" customHeight="false" outlineLevel="0" collapsed="false">
      <c r="A477" s="27"/>
      <c r="B477" s="1"/>
      <c r="C477" s="1"/>
      <c r="D477" s="1"/>
      <c r="E477" s="1"/>
      <c r="F477" s="1"/>
      <c r="G477" s="31"/>
      <c r="H477" s="28"/>
      <c r="I477" s="29"/>
      <c r="J477" s="20" t="str">
        <f aca="false">IF(D477="","",E477*H477)</f>
        <v/>
      </c>
      <c r="K477" s="20" t="str">
        <f aca="false">IF(D477="","",J477*I477)</f>
        <v/>
      </c>
      <c r="L477" s="20" t="str">
        <f aca="false">IF(D477="","",J477+K477)</f>
        <v/>
      </c>
    </row>
    <row r="478" customFormat="false" ht="15" hidden="false" customHeight="false" outlineLevel="0" collapsed="false">
      <c r="A478" s="27"/>
      <c r="B478" s="1"/>
      <c r="C478" s="1"/>
      <c r="D478" s="1"/>
      <c r="E478" s="1"/>
      <c r="F478" s="1"/>
      <c r="G478" s="31"/>
      <c r="H478" s="28"/>
      <c r="I478" s="29"/>
      <c r="J478" s="20" t="str">
        <f aca="false">IF(D478="","",E478*H478)</f>
        <v/>
      </c>
      <c r="K478" s="20" t="str">
        <f aca="false">IF(D478="","",J478*I478)</f>
        <v/>
      </c>
      <c r="L478" s="20" t="str">
        <f aca="false">IF(D478="","",J478+K478)</f>
        <v/>
      </c>
    </row>
    <row r="479" customFormat="false" ht="15" hidden="false" customHeight="false" outlineLevel="0" collapsed="false">
      <c r="A479" s="27"/>
      <c r="B479" s="1"/>
      <c r="C479" s="1"/>
      <c r="D479" s="1"/>
      <c r="E479" s="1"/>
      <c r="F479" s="1"/>
      <c r="G479" s="31"/>
      <c r="H479" s="28"/>
      <c r="I479" s="29"/>
      <c r="J479" s="20" t="str">
        <f aca="false">IF(D479="","",E479*H479)</f>
        <v/>
      </c>
      <c r="K479" s="20" t="str">
        <f aca="false">IF(D479="","",J479*I479)</f>
        <v/>
      </c>
      <c r="L479" s="20" t="str">
        <f aca="false">IF(D479="","",J479+K479)</f>
        <v/>
      </c>
    </row>
    <row r="480" customFormat="false" ht="15" hidden="false" customHeight="false" outlineLevel="0" collapsed="false">
      <c r="A480" s="27"/>
      <c r="B480" s="1"/>
      <c r="C480" s="1"/>
      <c r="D480" s="1"/>
      <c r="E480" s="1"/>
      <c r="F480" s="1"/>
      <c r="G480" s="31"/>
      <c r="H480" s="28"/>
      <c r="I480" s="29"/>
      <c r="J480" s="20" t="str">
        <f aca="false">IF(D480="","",E480*H480)</f>
        <v/>
      </c>
      <c r="K480" s="20" t="str">
        <f aca="false">IF(D480="","",J480*I480)</f>
        <v/>
      </c>
      <c r="L480" s="20" t="str">
        <f aca="false">IF(D480="","",J480+K480)</f>
        <v/>
      </c>
    </row>
    <row r="481" customFormat="false" ht="15" hidden="false" customHeight="false" outlineLevel="0" collapsed="false">
      <c r="A481" s="27"/>
      <c r="B481" s="1"/>
      <c r="C481" s="1"/>
      <c r="D481" s="1"/>
      <c r="E481" s="1"/>
      <c r="F481" s="1"/>
      <c r="G481" s="31"/>
      <c r="H481" s="28"/>
      <c r="I481" s="29"/>
      <c r="J481" s="20" t="str">
        <f aca="false">IF(D481="","",E481*H481)</f>
        <v/>
      </c>
      <c r="K481" s="20" t="str">
        <f aca="false">IF(D481="","",J481*I481)</f>
        <v/>
      </c>
      <c r="L481" s="20" t="str">
        <f aca="false">IF(D481="","",J481+K481)</f>
        <v/>
      </c>
    </row>
    <row r="482" customFormat="false" ht="15" hidden="false" customHeight="false" outlineLevel="0" collapsed="false">
      <c r="A482" s="27"/>
      <c r="B482" s="1"/>
      <c r="C482" s="1"/>
      <c r="D482" s="1"/>
      <c r="E482" s="1"/>
      <c r="F482" s="1"/>
      <c r="G482" s="31"/>
      <c r="H482" s="28"/>
      <c r="I482" s="29"/>
      <c r="J482" s="20" t="str">
        <f aca="false">IF(D482="","",E482*H482)</f>
        <v/>
      </c>
      <c r="K482" s="20" t="str">
        <f aca="false">IF(D482="","",J482*I482)</f>
        <v/>
      </c>
      <c r="L482" s="20" t="str">
        <f aca="false">IF(D482="","",J482+K482)</f>
        <v/>
      </c>
    </row>
    <row r="483" customFormat="false" ht="15" hidden="false" customHeight="false" outlineLevel="0" collapsed="false">
      <c r="A483" s="27"/>
      <c r="B483" s="1"/>
      <c r="C483" s="1"/>
      <c r="D483" s="1"/>
      <c r="E483" s="1"/>
      <c r="F483" s="1"/>
      <c r="G483" s="31"/>
      <c r="H483" s="28"/>
      <c r="I483" s="29"/>
      <c r="J483" s="20" t="str">
        <f aca="false">IF(D483="","",E483*H483)</f>
        <v/>
      </c>
      <c r="K483" s="20" t="str">
        <f aca="false">IF(D483="","",J483*I483)</f>
        <v/>
      </c>
      <c r="L483" s="20" t="str">
        <f aca="false">IF(D483="","",J483+K483)</f>
        <v/>
      </c>
    </row>
    <row r="484" customFormat="false" ht="15" hidden="false" customHeight="false" outlineLevel="0" collapsed="false">
      <c r="A484" s="27"/>
      <c r="B484" s="1"/>
      <c r="C484" s="1"/>
      <c r="D484" s="1"/>
      <c r="E484" s="1"/>
      <c r="F484" s="1"/>
      <c r="G484" s="31"/>
      <c r="H484" s="28"/>
      <c r="I484" s="29"/>
      <c r="J484" s="20" t="str">
        <f aca="false">IF(D484="","",E484*H484)</f>
        <v/>
      </c>
      <c r="K484" s="20" t="str">
        <f aca="false">IF(D484="","",J484*I484)</f>
        <v/>
      </c>
      <c r="L484" s="20" t="str">
        <f aca="false">IF(D484="","",J484+K484)</f>
        <v/>
      </c>
    </row>
    <row r="485" customFormat="false" ht="15" hidden="false" customHeight="false" outlineLevel="0" collapsed="false">
      <c r="A485" s="27"/>
      <c r="B485" s="1"/>
      <c r="C485" s="1"/>
      <c r="D485" s="1"/>
      <c r="E485" s="1"/>
      <c r="F485" s="1"/>
      <c r="G485" s="31"/>
      <c r="H485" s="28"/>
      <c r="I485" s="29"/>
      <c r="J485" s="20" t="str">
        <f aca="false">IF(D485="","",E485*H485)</f>
        <v/>
      </c>
      <c r="K485" s="20" t="str">
        <f aca="false">IF(D485="","",J485*I485)</f>
        <v/>
      </c>
      <c r="L485" s="20" t="str">
        <f aca="false">IF(D485="","",J485+K485)</f>
        <v/>
      </c>
    </row>
    <row r="486" customFormat="false" ht="15" hidden="false" customHeight="false" outlineLevel="0" collapsed="false">
      <c r="A486" s="27"/>
      <c r="B486" s="1"/>
      <c r="C486" s="1"/>
      <c r="D486" s="1"/>
      <c r="E486" s="1"/>
      <c r="F486" s="1"/>
      <c r="G486" s="31"/>
      <c r="H486" s="28"/>
      <c r="I486" s="29"/>
      <c r="J486" s="20" t="str">
        <f aca="false">IF(D486="","",E486*H486)</f>
        <v/>
      </c>
      <c r="K486" s="20" t="str">
        <f aca="false">IF(D486="","",J486*I486)</f>
        <v/>
      </c>
      <c r="L486" s="20" t="str">
        <f aca="false">IF(D486="","",J486+K486)</f>
        <v/>
      </c>
    </row>
    <row r="487" customFormat="false" ht="15" hidden="false" customHeight="false" outlineLevel="0" collapsed="false">
      <c r="A487" s="27"/>
      <c r="B487" s="1"/>
      <c r="C487" s="1"/>
      <c r="D487" s="1"/>
      <c r="E487" s="1"/>
      <c r="F487" s="1"/>
      <c r="G487" s="31"/>
      <c r="H487" s="28"/>
      <c r="I487" s="29"/>
      <c r="J487" s="20" t="str">
        <f aca="false">IF(D487="","",E487*H487)</f>
        <v/>
      </c>
      <c r="K487" s="20" t="str">
        <f aca="false">IF(D487="","",J487*I487)</f>
        <v/>
      </c>
      <c r="L487" s="20" t="str">
        <f aca="false">IF(D487="","",J487+K487)</f>
        <v/>
      </c>
    </row>
    <row r="488" customFormat="false" ht="15" hidden="false" customHeight="false" outlineLevel="0" collapsed="false">
      <c r="A488" s="27"/>
      <c r="B488" s="1"/>
      <c r="C488" s="1"/>
      <c r="D488" s="1"/>
      <c r="E488" s="1"/>
      <c r="F488" s="1"/>
      <c r="G488" s="31"/>
      <c r="H488" s="28"/>
      <c r="I488" s="29"/>
      <c r="J488" s="20" t="str">
        <f aca="false">IF(D488="","",E488*H488)</f>
        <v/>
      </c>
      <c r="K488" s="20" t="str">
        <f aca="false">IF(D488="","",J488*I488)</f>
        <v/>
      </c>
      <c r="L488" s="20" t="str">
        <f aca="false">IF(D488="","",J488+K488)</f>
        <v/>
      </c>
    </row>
    <row r="489" customFormat="false" ht="15" hidden="false" customHeight="false" outlineLevel="0" collapsed="false">
      <c r="A489" s="27"/>
      <c r="B489" s="1"/>
      <c r="C489" s="1"/>
      <c r="D489" s="1"/>
      <c r="E489" s="1"/>
      <c r="F489" s="1"/>
      <c r="G489" s="31"/>
      <c r="H489" s="28"/>
      <c r="I489" s="29"/>
      <c r="J489" s="20" t="str">
        <f aca="false">IF(D489="","",E489*H489)</f>
        <v/>
      </c>
      <c r="K489" s="20" t="str">
        <f aca="false">IF(D489="","",J489*I489)</f>
        <v/>
      </c>
      <c r="L489" s="20" t="str">
        <f aca="false">IF(D489="","",J489+K489)</f>
        <v/>
      </c>
    </row>
    <row r="490" customFormat="false" ht="15" hidden="false" customHeight="false" outlineLevel="0" collapsed="false">
      <c r="A490" s="27"/>
      <c r="B490" s="1"/>
      <c r="C490" s="1"/>
      <c r="D490" s="1"/>
      <c r="E490" s="1"/>
      <c r="F490" s="1"/>
      <c r="G490" s="31"/>
      <c r="H490" s="28"/>
      <c r="I490" s="29"/>
      <c r="J490" s="20" t="str">
        <f aca="false">IF(D490="","",E490*H490)</f>
        <v/>
      </c>
      <c r="K490" s="20" t="str">
        <f aca="false">IF(D490="","",J490*I490)</f>
        <v/>
      </c>
      <c r="L490" s="20" t="str">
        <f aca="false">IF(D490="","",J490+K490)</f>
        <v/>
      </c>
    </row>
    <row r="491" customFormat="false" ht="15" hidden="false" customHeight="false" outlineLevel="0" collapsed="false">
      <c r="A491" s="27"/>
      <c r="B491" s="1"/>
      <c r="C491" s="1"/>
      <c r="D491" s="1"/>
      <c r="E491" s="1"/>
      <c r="F491" s="1"/>
      <c r="G491" s="31"/>
      <c r="H491" s="28"/>
      <c r="I491" s="29"/>
      <c r="J491" s="20" t="str">
        <f aca="false">IF(D491="","",E491*H491)</f>
        <v/>
      </c>
      <c r="K491" s="20" t="str">
        <f aca="false">IF(D491="","",J491*I491)</f>
        <v/>
      </c>
      <c r="L491" s="20" t="str">
        <f aca="false">IF(D491="","",J491+K491)</f>
        <v/>
      </c>
    </row>
    <row r="492" customFormat="false" ht="15" hidden="false" customHeight="false" outlineLevel="0" collapsed="false">
      <c r="A492" s="27"/>
      <c r="B492" s="1"/>
      <c r="C492" s="1"/>
      <c r="D492" s="1"/>
      <c r="E492" s="1"/>
      <c r="F492" s="1"/>
      <c r="G492" s="31"/>
      <c r="H492" s="28"/>
      <c r="I492" s="29"/>
      <c r="J492" s="20" t="str">
        <f aca="false">IF(D492="","",E492*H492)</f>
        <v/>
      </c>
      <c r="K492" s="20" t="str">
        <f aca="false">IF(D492="","",J492*I492)</f>
        <v/>
      </c>
      <c r="L492" s="20" t="str">
        <f aca="false">IF(D492="","",J492+K492)</f>
        <v/>
      </c>
    </row>
    <row r="493" customFormat="false" ht="15" hidden="false" customHeight="false" outlineLevel="0" collapsed="false">
      <c r="A493" s="27"/>
      <c r="B493" s="1"/>
      <c r="C493" s="1"/>
      <c r="D493" s="1"/>
      <c r="E493" s="1"/>
      <c r="F493" s="1"/>
      <c r="G493" s="31"/>
      <c r="H493" s="28"/>
      <c r="I493" s="29"/>
      <c r="J493" s="20" t="str">
        <f aca="false">IF(D493="","",E493*H493)</f>
        <v/>
      </c>
      <c r="K493" s="20" t="str">
        <f aca="false">IF(D493="","",J493*I493)</f>
        <v/>
      </c>
      <c r="L493" s="20" t="str">
        <f aca="false">IF(D493="","",J493+K493)</f>
        <v/>
      </c>
    </row>
    <row r="494" customFormat="false" ht="15" hidden="false" customHeight="false" outlineLevel="0" collapsed="false">
      <c r="A494" s="27"/>
      <c r="B494" s="1"/>
      <c r="C494" s="1"/>
      <c r="D494" s="1"/>
      <c r="E494" s="1"/>
      <c r="F494" s="1"/>
      <c r="G494" s="31"/>
      <c r="H494" s="28"/>
      <c r="I494" s="29"/>
      <c r="J494" s="20" t="str">
        <f aca="false">IF(D494="","",E494*H494)</f>
        <v/>
      </c>
      <c r="K494" s="20" t="str">
        <f aca="false">IF(D494="","",J494*I494)</f>
        <v/>
      </c>
      <c r="L494" s="20" t="str">
        <f aca="false">IF(D494="","",J494+K494)</f>
        <v/>
      </c>
    </row>
    <row r="495" customFormat="false" ht="15" hidden="false" customHeight="false" outlineLevel="0" collapsed="false">
      <c r="A495" s="27"/>
      <c r="B495" s="1"/>
      <c r="C495" s="1"/>
      <c r="D495" s="1"/>
      <c r="E495" s="1"/>
      <c r="F495" s="1"/>
      <c r="G495" s="31"/>
      <c r="H495" s="28"/>
      <c r="I495" s="29"/>
      <c r="J495" s="20" t="str">
        <f aca="false">IF(D495="","",E495*H495)</f>
        <v/>
      </c>
      <c r="K495" s="20" t="str">
        <f aca="false">IF(D495="","",J495*I495)</f>
        <v/>
      </c>
      <c r="L495" s="20" t="str">
        <f aca="false">IF(D495="","",J495+K495)</f>
        <v/>
      </c>
    </row>
    <row r="496" customFormat="false" ht="15" hidden="false" customHeight="false" outlineLevel="0" collapsed="false">
      <c r="A496" s="27"/>
      <c r="B496" s="1"/>
      <c r="C496" s="1"/>
      <c r="D496" s="1"/>
      <c r="E496" s="1"/>
      <c r="F496" s="1"/>
      <c r="G496" s="31"/>
      <c r="H496" s="28"/>
      <c r="I496" s="29"/>
      <c r="J496" s="20" t="str">
        <f aca="false">IF(D496="","",E496*H496)</f>
        <v/>
      </c>
      <c r="K496" s="20" t="str">
        <f aca="false">IF(D496="","",J496*I496)</f>
        <v/>
      </c>
      <c r="L496" s="20" t="str">
        <f aca="false">IF(D496="","",J496+K496)</f>
        <v/>
      </c>
    </row>
    <row r="497" customFormat="false" ht="15" hidden="false" customHeight="false" outlineLevel="0" collapsed="false">
      <c r="A497" s="27"/>
      <c r="B497" s="1"/>
      <c r="C497" s="1"/>
      <c r="D497" s="1"/>
      <c r="E497" s="1"/>
      <c r="F497" s="1"/>
      <c r="G497" s="31"/>
      <c r="H497" s="28"/>
      <c r="I497" s="29"/>
      <c r="J497" s="20" t="str">
        <f aca="false">IF(D497="","",E497*H497)</f>
        <v/>
      </c>
      <c r="K497" s="20" t="str">
        <f aca="false">IF(D497="","",J497*I497)</f>
        <v/>
      </c>
      <c r="L497" s="20" t="str">
        <f aca="false">IF(D497="","",J497+K497)</f>
        <v/>
      </c>
    </row>
    <row r="498" customFormat="false" ht="15" hidden="false" customHeight="false" outlineLevel="0" collapsed="false">
      <c r="A498" s="27"/>
      <c r="B498" s="1"/>
      <c r="C498" s="1"/>
      <c r="D498" s="1"/>
      <c r="E498" s="1"/>
      <c r="F498" s="1"/>
      <c r="G498" s="31"/>
      <c r="H498" s="28"/>
      <c r="I498" s="29"/>
      <c r="J498" s="20" t="str">
        <f aca="false">IF(D498="","",E498*H498)</f>
        <v/>
      </c>
      <c r="K498" s="20" t="str">
        <f aca="false">IF(D498="","",J498*I498)</f>
        <v/>
      </c>
      <c r="L498" s="20" t="str">
        <f aca="false">IF(D498="","",J498+K498)</f>
        <v/>
      </c>
    </row>
    <row r="499" customFormat="false" ht="15" hidden="false" customHeight="false" outlineLevel="0" collapsed="false">
      <c r="A499" s="27"/>
      <c r="B499" s="1"/>
      <c r="C499" s="1"/>
      <c r="D499" s="1"/>
      <c r="E499" s="1"/>
      <c r="F499" s="1"/>
      <c r="G499" s="31"/>
      <c r="H499" s="28"/>
      <c r="I499" s="29"/>
      <c r="J499" s="20" t="str">
        <f aca="false">IF(D499="","",E499*H499)</f>
        <v/>
      </c>
      <c r="K499" s="20" t="str">
        <f aca="false">IF(D499="","",J499*I499)</f>
        <v/>
      </c>
      <c r="L499" s="20" t="str">
        <f aca="false">IF(D499="","",J499+K499)</f>
        <v/>
      </c>
    </row>
    <row r="500" customFormat="false" ht="15" hidden="false" customHeight="false" outlineLevel="0" collapsed="false">
      <c r="A500" s="27"/>
      <c r="B500" s="1"/>
      <c r="C500" s="1"/>
      <c r="D500" s="1"/>
      <c r="E500" s="1"/>
      <c r="F500" s="1"/>
      <c r="G500" s="31"/>
      <c r="H500" s="28"/>
      <c r="I500" s="29"/>
      <c r="J500" s="20" t="str">
        <f aca="false">IF(D500="","",E500*H500)</f>
        <v/>
      </c>
      <c r="K500" s="20" t="str">
        <f aca="false">IF(D500="","",J500*I500)</f>
        <v/>
      </c>
      <c r="L500" s="20" t="str">
        <f aca="false">IF(D500="","",J500+K500)</f>
        <v/>
      </c>
    </row>
    <row r="501" customFormat="false" ht="15" hidden="false" customHeight="false" outlineLevel="0" collapsed="false">
      <c r="A501" s="27"/>
      <c r="B501" s="1"/>
      <c r="C501" s="1"/>
      <c r="D501" s="1"/>
      <c r="E501" s="1"/>
      <c r="F501" s="1"/>
      <c r="G501" s="31"/>
      <c r="H501" s="28"/>
      <c r="I501" s="29"/>
      <c r="J501" s="20" t="str">
        <f aca="false">IF(D501="","",E501*H501)</f>
        <v/>
      </c>
      <c r="K501" s="20" t="str">
        <f aca="false">IF(D501="","",J501*I501)</f>
        <v/>
      </c>
      <c r="L501" s="20" t="str">
        <f aca="false">IF(D501="","",J501+K501)</f>
        <v/>
      </c>
    </row>
  </sheetData>
  <dataValidations count="1">
    <dataValidation allowBlank="true" error="Choose a value from the list" errorStyle="stop" errorTitle="Invalid entry" operator="between" prompt="Product must exist in Inventory" showDropDown="false" showErrorMessage="false" showInputMessage="true" sqref="D2:D501" type="list">
      <formula1>Inventory!$B$2:$B$101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5" t="s">
        <v>85</v>
      </c>
      <c r="B1" s="15" t="s">
        <v>86</v>
      </c>
      <c r="C1" s="15" t="s">
        <v>87</v>
      </c>
      <c r="D1" s="15" t="s">
        <v>88</v>
      </c>
      <c r="E1" s="15" t="s">
        <v>89</v>
      </c>
      <c r="F1" s="15" t="s">
        <v>90</v>
      </c>
      <c r="G1" s="15" t="s">
        <v>91</v>
      </c>
      <c r="H1" s="15" t="s">
        <v>92</v>
      </c>
      <c r="I1" s="15" t="s">
        <v>93</v>
      </c>
      <c r="J1" s="15" t="s">
        <v>45</v>
      </c>
    </row>
    <row r="2" customFormat="false" ht="15" hidden="false" customHeight="false" outlineLevel="0" collapsed="false">
      <c r="A2" s="16" t="s">
        <v>21</v>
      </c>
      <c r="B2" s="16" t="s">
        <v>94</v>
      </c>
      <c r="C2" s="16" t="s">
        <v>95</v>
      </c>
      <c r="D2" s="16" t="n">
        <v>0</v>
      </c>
      <c r="E2" s="32" t="n">
        <f aca="false">IF(B2="","",SUMIFS(Purchases!$E$2:$E$501,Purchases!$D$2:$D$501,B2))</f>
        <v>0</v>
      </c>
      <c r="F2" s="32" t="n">
        <f aca="false">IF(B2="","",SUMIFS('Injection Sales'!$F$2:$F$501,'Injection Sales'!$E$2:$E$501,B2)+SUMIFS('Protein Sales'!$E$2:$E$501,'Protein Sales'!$D$2:$D$501,B2))</f>
        <v>0</v>
      </c>
      <c r="G2" s="1"/>
      <c r="H2" s="32" t="n">
        <f aca="false">IF(B2="","",N(D2)+E2-F2+N(G2))</f>
        <v>0</v>
      </c>
      <c r="I2" s="16" t="n">
        <v>2</v>
      </c>
      <c r="J2" s="21" t="str">
        <f aca="false">IF(B2="","",IF(H2&lt;=I2,"LOW","OK"))</f>
        <v>LOW</v>
      </c>
    </row>
    <row r="3" customFormat="false" ht="15" hidden="false" customHeight="false" outlineLevel="0" collapsed="false">
      <c r="A3" s="16" t="s">
        <v>21</v>
      </c>
      <c r="B3" s="16" t="s">
        <v>61</v>
      </c>
      <c r="C3" s="16" t="s">
        <v>95</v>
      </c>
      <c r="D3" s="16" t="n">
        <v>0</v>
      </c>
      <c r="E3" s="32" t="n">
        <f aca="false">IF(B3="","",SUMIFS(Purchases!$E$2:$E$501,Purchases!$D$2:$D$501,B3))</f>
        <v>2</v>
      </c>
      <c r="F3" s="32" t="n">
        <f aca="false">IF(B3="","",SUMIFS('Injection Sales'!$F$2:$F$501,'Injection Sales'!$E$2:$E$501,B3)+SUMIFS('Protein Sales'!$E$2:$E$501,'Protein Sales'!$D$2:$D$501,B3))</f>
        <v>1</v>
      </c>
      <c r="G3" s="1"/>
      <c r="H3" s="32" t="n">
        <f aca="false">IF(B3="","",N(D3)+E3-F3+N(G3))</f>
        <v>1</v>
      </c>
      <c r="I3" s="16" t="n">
        <v>2</v>
      </c>
      <c r="J3" s="21" t="str">
        <f aca="false">IF(B3="","",IF(H3&lt;=I3,"LOW","OK"))</f>
        <v>LOW</v>
      </c>
    </row>
    <row r="4" customFormat="false" ht="15" hidden="false" customHeight="false" outlineLevel="0" collapsed="false">
      <c r="A4" s="16" t="s">
        <v>21</v>
      </c>
      <c r="B4" s="16" t="s">
        <v>96</v>
      </c>
      <c r="C4" s="16" t="s">
        <v>95</v>
      </c>
      <c r="D4" s="16" t="n">
        <v>0</v>
      </c>
      <c r="E4" s="32" t="n">
        <f aca="false">IF(B4="","",SUMIFS(Purchases!$E$2:$E$501,Purchases!$D$2:$D$501,B4))</f>
        <v>0</v>
      </c>
      <c r="F4" s="32" t="n">
        <f aca="false">IF(B4="","",SUMIFS('Injection Sales'!$F$2:$F$501,'Injection Sales'!$E$2:$E$501,B4)+SUMIFS('Protein Sales'!$E$2:$E$501,'Protein Sales'!$D$2:$D$501,B4))</f>
        <v>0</v>
      </c>
      <c r="G4" s="1"/>
      <c r="H4" s="32" t="n">
        <f aca="false">IF(B4="","",N(D4)+E4-F4+N(G4))</f>
        <v>0</v>
      </c>
      <c r="I4" s="16" t="n">
        <v>2</v>
      </c>
      <c r="J4" s="21" t="str">
        <f aca="false">IF(B4="","",IF(H4&lt;=I4,"LOW","OK"))</f>
        <v>LOW</v>
      </c>
    </row>
    <row r="5" customFormat="false" ht="15" hidden="false" customHeight="false" outlineLevel="0" collapsed="false">
      <c r="A5" s="16" t="s">
        <v>21</v>
      </c>
      <c r="B5" s="16" t="s">
        <v>97</v>
      </c>
      <c r="C5" s="16" t="s">
        <v>95</v>
      </c>
      <c r="D5" s="16" t="n">
        <v>0</v>
      </c>
      <c r="E5" s="32" t="n">
        <f aca="false">IF(B5="","",SUMIFS(Purchases!$E$2:$E$501,Purchases!$D$2:$D$501,B5))</f>
        <v>0</v>
      </c>
      <c r="F5" s="32" t="n">
        <f aca="false">IF(B5="","",SUMIFS('Injection Sales'!$F$2:$F$501,'Injection Sales'!$E$2:$E$501,B5)+SUMIFS('Protein Sales'!$E$2:$E$501,'Protein Sales'!$D$2:$D$501,B5))</f>
        <v>0</v>
      </c>
      <c r="G5" s="1"/>
      <c r="H5" s="32" t="n">
        <f aca="false">IF(B5="","",N(D5)+E5-F5+N(G5))</f>
        <v>0</v>
      </c>
      <c r="I5" s="16" t="n">
        <v>2</v>
      </c>
      <c r="J5" s="21" t="str">
        <f aca="false">IF(B5="","",IF(H5&lt;=I5,"LOW","OK"))</f>
        <v>LOW</v>
      </c>
    </row>
    <row r="6" customFormat="false" ht="15" hidden="false" customHeight="false" outlineLevel="0" collapsed="false">
      <c r="A6" s="16" t="s">
        <v>21</v>
      </c>
      <c r="B6" s="16" t="s">
        <v>98</v>
      </c>
      <c r="C6" s="16" t="s">
        <v>95</v>
      </c>
      <c r="D6" s="16" t="n">
        <v>0</v>
      </c>
      <c r="E6" s="32" t="n">
        <f aca="false">IF(B6="","",SUMIFS(Purchases!$E$2:$E$501,Purchases!$D$2:$D$501,B6))</f>
        <v>0</v>
      </c>
      <c r="F6" s="32" t="n">
        <f aca="false">IF(B6="","",SUMIFS('Injection Sales'!$F$2:$F$501,'Injection Sales'!$E$2:$E$501,B6)+SUMIFS('Protein Sales'!$E$2:$E$501,'Protein Sales'!$D$2:$D$501,B6))</f>
        <v>0</v>
      </c>
      <c r="G6" s="1"/>
      <c r="H6" s="32" t="n">
        <f aca="false">IF(B6="","",N(D6)+E6-F6+N(G6))</f>
        <v>0</v>
      </c>
      <c r="I6" s="16" t="n">
        <v>2</v>
      </c>
      <c r="J6" s="21" t="str">
        <f aca="false">IF(B6="","",IF(H6&lt;=I6,"LOW","OK"))</f>
        <v>LOW</v>
      </c>
    </row>
    <row r="7" customFormat="false" ht="15" hidden="false" customHeight="false" outlineLevel="0" collapsed="false">
      <c r="A7" s="16" t="s">
        <v>21</v>
      </c>
      <c r="B7" s="16" t="s">
        <v>99</v>
      </c>
      <c r="C7" s="16" t="s">
        <v>95</v>
      </c>
      <c r="D7" s="16" t="n">
        <v>0</v>
      </c>
      <c r="E7" s="32" t="n">
        <f aca="false">IF(B7="","",SUMIFS(Purchases!$E$2:$E$501,Purchases!$D$2:$D$501,B7))</f>
        <v>0</v>
      </c>
      <c r="F7" s="32" t="n">
        <f aca="false">IF(B7="","",SUMIFS('Injection Sales'!$F$2:$F$501,'Injection Sales'!$E$2:$E$501,B7)+SUMIFS('Protein Sales'!$E$2:$E$501,'Protein Sales'!$D$2:$D$501,B7))</f>
        <v>0</v>
      </c>
      <c r="G7" s="1"/>
      <c r="H7" s="32" t="n">
        <f aca="false">IF(B7="","",N(D7)+E7-F7+N(G7))</f>
        <v>0</v>
      </c>
      <c r="I7" s="16" t="n">
        <v>2</v>
      </c>
      <c r="J7" s="21" t="str">
        <f aca="false">IF(B7="","",IF(H7&lt;=I7,"LOW","OK"))</f>
        <v>LOW</v>
      </c>
    </row>
    <row r="8" customFormat="false" ht="15" hidden="false" customHeight="false" outlineLevel="0" collapsed="false">
      <c r="A8" s="16" t="s">
        <v>21</v>
      </c>
      <c r="B8" s="16" t="s">
        <v>100</v>
      </c>
      <c r="C8" s="16" t="s">
        <v>95</v>
      </c>
      <c r="D8" s="16" t="n">
        <v>0</v>
      </c>
      <c r="E8" s="32" t="n">
        <f aca="false">IF(B8="","",SUMIFS(Purchases!$E$2:$E$501,Purchases!$D$2:$D$501,B8))</f>
        <v>0</v>
      </c>
      <c r="F8" s="32" t="n">
        <f aca="false">IF(B8="","",SUMIFS('Injection Sales'!$F$2:$F$501,'Injection Sales'!$E$2:$E$501,B8)+SUMIFS('Protein Sales'!$E$2:$E$501,'Protein Sales'!$D$2:$D$501,B8))</f>
        <v>0</v>
      </c>
      <c r="G8" s="1"/>
      <c r="H8" s="32" t="n">
        <f aca="false">IF(B8="","",N(D8)+E8-F8+N(G8))</f>
        <v>0</v>
      </c>
      <c r="I8" s="16" t="n">
        <v>2</v>
      </c>
      <c r="J8" s="21" t="str">
        <f aca="false">IF(B8="","",IF(H8&lt;=I8,"LOW","OK"))</f>
        <v>LOW</v>
      </c>
    </row>
    <row r="9" customFormat="false" ht="15" hidden="false" customHeight="false" outlineLevel="0" collapsed="false">
      <c r="A9" s="16" t="s">
        <v>21</v>
      </c>
      <c r="B9" s="16" t="s">
        <v>101</v>
      </c>
      <c r="C9" s="16" t="s">
        <v>95</v>
      </c>
      <c r="D9" s="16" t="n">
        <v>0</v>
      </c>
      <c r="E9" s="32" t="n">
        <f aca="false">IF(B9="","",SUMIFS(Purchases!$E$2:$E$501,Purchases!$D$2:$D$501,B9))</f>
        <v>0</v>
      </c>
      <c r="F9" s="32" t="n">
        <f aca="false">IF(B9="","",SUMIFS('Injection Sales'!$F$2:$F$501,'Injection Sales'!$E$2:$E$501,B9)+SUMIFS('Protein Sales'!$E$2:$E$501,'Protein Sales'!$D$2:$D$501,B9))</f>
        <v>0</v>
      </c>
      <c r="G9" s="1"/>
      <c r="H9" s="32" t="n">
        <f aca="false">IF(B9="","",N(D9)+E9-F9+N(G9))</f>
        <v>0</v>
      </c>
      <c r="I9" s="16" t="n">
        <v>2</v>
      </c>
      <c r="J9" s="21" t="str">
        <f aca="false">IF(B9="","",IF(H9&lt;=I9,"LOW","OK"))</f>
        <v>LOW</v>
      </c>
    </row>
    <row r="10" customFormat="false" ht="15" hidden="false" customHeight="false" outlineLevel="0" collapsed="false">
      <c r="A10" s="16" t="s">
        <v>21</v>
      </c>
      <c r="B10" s="16" t="s">
        <v>102</v>
      </c>
      <c r="C10" s="16" t="s">
        <v>95</v>
      </c>
      <c r="D10" s="16" t="n">
        <v>0</v>
      </c>
      <c r="E10" s="32" t="n">
        <f aca="false">IF(B10="","",SUMIFS(Purchases!$E$2:$E$501,Purchases!$D$2:$D$501,B10))</f>
        <v>0</v>
      </c>
      <c r="F10" s="32" t="n">
        <f aca="false">IF(B10="","",SUMIFS('Injection Sales'!$F$2:$F$501,'Injection Sales'!$E$2:$E$501,B10)+SUMIFS('Protein Sales'!$E$2:$E$501,'Protein Sales'!$D$2:$D$501,B10))</f>
        <v>0</v>
      </c>
      <c r="G10" s="1"/>
      <c r="H10" s="32" t="n">
        <f aca="false">IF(B10="","",N(D10)+E10-F10+N(G10))</f>
        <v>0</v>
      </c>
      <c r="I10" s="16" t="n">
        <v>2</v>
      </c>
      <c r="J10" s="21" t="str">
        <f aca="false">IF(B10="","",IF(H10&lt;=I10,"LOW","OK"))</f>
        <v>LOW</v>
      </c>
    </row>
    <row r="11" customFormat="false" ht="15" hidden="false" customHeight="false" outlineLevel="0" collapsed="false">
      <c r="A11" s="16" t="s">
        <v>22</v>
      </c>
      <c r="B11" s="16" t="s">
        <v>68</v>
      </c>
      <c r="C11" s="16" t="s">
        <v>103</v>
      </c>
      <c r="D11" s="16" t="n">
        <v>0</v>
      </c>
      <c r="E11" s="32" t="n">
        <f aca="false">IF(B11="","",SUMIFS(Purchases!$E$2:$E$501,Purchases!$D$2:$D$501,B11))</f>
        <v>100</v>
      </c>
      <c r="F11" s="32" t="n">
        <f aca="false">IF(B11="","",SUMIFS('Injection Sales'!$F$2:$F$501,'Injection Sales'!$E$2:$E$501,B11)+SUMIFS('Protein Sales'!$E$2:$E$501,'Protein Sales'!$D$2:$D$501,B11))</f>
        <v>30</v>
      </c>
      <c r="G11" s="1"/>
      <c r="H11" s="32" t="n">
        <f aca="false">IF(B11="","",N(D11)+E11-F11+N(G11))</f>
        <v>70</v>
      </c>
      <c r="I11" s="16" t="n">
        <v>20</v>
      </c>
      <c r="J11" s="21" t="str">
        <f aca="false">IF(B11="","",IF(H11&lt;=I11,"LOW","OK"))</f>
        <v>OK</v>
      </c>
    </row>
    <row r="12" customFormat="false" ht="15" hidden="false" customHeight="false" outlineLevel="0" collapsed="false">
      <c r="A12" s="16" t="s">
        <v>104</v>
      </c>
      <c r="B12" s="16" t="s">
        <v>104</v>
      </c>
      <c r="C12" s="16" t="s">
        <v>105</v>
      </c>
      <c r="D12" s="16" t="n">
        <v>0</v>
      </c>
      <c r="E12" s="32" t="n">
        <f aca="false">IF(B12="","",SUMIFS(Purchases!$E$2:$E$501,Purchases!$D$2:$D$501,B12))</f>
        <v>0</v>
      </c>
      <c r="F12" s="32" t="n">
        <f aca="false">IF(B12="","",SUMIFS('Injection Sales'!$F$2:$F$501,'Injection Sales'!$E$2:$E$501,B12)+SUMIFS('Protein Sales'!$E$2:$E$501,'Protein Sales'!$D$2:$D$501,B12))</f>
        <v>0</v>
      </c>
      <c r="G12" s="1"/>
      <c r="H12" s="32" t="n">
        <f aca="false">IF(B12="","",N(D12)+E12-F12+N(G12))</f>
        <v>0</v>
      </c>
      <c r="I12" s="16" t="n">
        <v>20</v>
      </c>
      <c r="J12" s="21" t="str">
        <f aca="false">IF(B12="","",IF(H12&lt;=I12,"LOW","OK"))</f>
        <v>LOW</v>
      </c>
    </row>
    <row r="13" customFormat="false" ht="15" hidden="false" customHeight="false" outlineLevel="0" collapsed="false">
      <c r="A13" s="16" t="s">
        <v>106</v>
      </c>
      <c r="B13" s="16" t="s">
        <v>106</v>
      </c>
      <c r="C13" s="16" t="s">
        <v>105</v>
      </c>
      <c r="D13" s="16" t="n">
        <v>0</v>
      </c>
      <c r="E13" s="32" t="n">
        <f aca="false">IF(B13="","",SUMIFS(Purchases!$E$2:$E$501,Purchases!$D$2:$D$501,B13))</f>
        <v>0</v>
      </c>
      <c r="F13" s="32" t="n">
        <f aca="false">IF(B13="","",SUMIFS('Injection Sales'!$F$2:$F$501,'Injection Sales'!$E$2:$E$501,B13)+SUMIFS('Protein Sales'!$E$2:$E$501,'Protein Sales'!$D$2:$D$501,B13))</f>
        <v>0</v>
      </c>
      <c r="G13" s="1"/>
      <c r="H13" s="32" t="n">
        <f aca="false">IF(B13="","",N(D13)+E13-F13+N(G13))</f>
        <v>0</v>
      </c>
      <c r="I13" s="16" t="n">
        <v>20</v>
      </c>
      <c r="J13" s="21" t="str">
        <f aca="false">IF(B13="","",IF(H13&lt;=I13,"LOW","OK"))</f>
        <v>LOW</v>
      </c>
    </row>
    <row r="14" customFormat="false" ht="15" hidden="false" customHeight="false" outlineLevel="0" collapsed="false">
      <c r="A14" s="16" t="s">
        <v>107</v>
      </c>
      <c r="B14" s="16" t="s">
        <v>107</v>
      </c>
      <c r="C14" s="16" t="s">
        <v>105</v>
      </c>
      <c r="D14" s="16" t="n">
        <v>0</v>
      </c>
      <c r="E14" s="32" t="n">
        <f aca="false">IF(B14="","",SUMIFS(Purchases!$E$2:$E$501,Purchases!$D$2:$D$501,B14))</f>
        <v>0</v>
      </c>
      <c r="F14" s="32" t="n">
        <f aca="false">IF(B14="","",SUMIFS('Injection Sales'!$F$2:$F$501,'Injection Sales'!$E$2:$E$501,B14)+SUMIFS('Protein Sales'!$E$2:$E$501,'Protein Sales'!$D$2:$D$501,B14))</f>
        <v>0</v>
      </c>
      <c r="G14" s="1"/>
      <c r="H14" s="32" t="n">
        <f aca="false">IF(B14="","",N(D14)+E14-F14+N(G14))</f>
        <v>0</v>
      </c>
      <c r="I14" s="16" t="n">
        <v>20</v>
      </c>
      <c r="J14" s="21" t="str">
        <f aca="false">IF(B14="","",IF(H14&lt;=I14,"LOW","OK"))</f>
        <v>LOW</v>
      </c>
    </row>
    <row r="15" customFormat="false" ht="15" hidden="false" customHeight="false" outlineLevel="0" collapsed="false">
      <c r="A15" s="16" t="s">
        <v>108</v>
      </c>
      <c r="B15" s="16" t="s">
        <v>108</v>
      </c>
      <c r="C15" s="16" t="s">
        <v>105</v>
      </c>
      <c r="D15" s="16" t="n">
        <v>0</v>
      </c>
      <c r="E15" s="32" t="n">
        <f aca="false">IF(B15="","",SUMIFS(Purchases!$E$2:$E$501,Purchases!$D$2:$D$501,B15))</f>
        <v>0</v>
      </c>
      <c r="F15" s="32" t="n">
        <f aca="false">IF(B15="","",SUMIFS('Injection Sales'!$F$2:$F$501,'Injection Sales'!$E$2:$E$501,B15)+SUMIFS('Protein Sales'!$E$2:$E$501,'Protein Sales'!$D$2:$D$501,B15))</f>
        <v>0</v>
      </c>
      <c r="G15" s="1"/>
      <c r="H15" s="32" t="n">
        <f aca="false">IF(B15="","",N(D15)+E15-F15+N(G15))</f>
        <v>0</v>
      </c>
      <c r="I15" s="16" t="n">
        <v>20</v>
      </c>
      <c r="J15" s="21" t="str">
        <f aca="false">IF(B15="","",IF(H15&lt;=I15,"LOW","OK"))</f>
        <v>LOW</v>
      </c>
    </row>
    <row r="16" customFormat="false" ht="15" hidden="false" customHeight="false" outlineLevel="0" collapsed="false">
      <c r="A16" s="16" t="s">
        <v>109</v>
      </c>
      <c r="B16" s="16" t="s">
        <v>109</v>
      </c>
      <c r="C16" s="16" t="s">
        <v>105</v>
      </c>
      <c r="D16" s="16" t="n">
        <v>0</v>
      </c>
      <c r="E16" s="32" t="n">
        <f aca="false">IF(B16="","",SUMIFS(Purchases!$E$2:$E$501,Purchases!$D$2:$D$501,B16))</f>
        <v>0</v>
      </c>
      <c r="F16" s="32" t="n">
        <f aca="false">IF(B16="","",SUMIFS('Injection Sales'!$F$2:$F$501,'Injection Sales'!$E$2:$E$501,B16)+SUMIFS('Protein Sales'!$E$2:$E$501,'Protein Sales'!$D$2:$D$501,B16))</f>
        <v>0</v>
      </c>
      <c r="G16" s="1"/>
      <c r="H16" s="32" t="n">
        <f aca="false">IF(B16="","",N(D16)+E16-F16+N(G16))</f>
        <v>0</v>
      </c>
      <c r="I16" s="16" t="n">
        <v>20</v>
      </c>
      <c r="J16" s="21" t="str">
        <f aca="false">IF(B16="","",IF(H16&lt;=I16,"LOW","OK"))</f>
        <v>LOW</v>
      </c>
    </row>
    <row r="17" customFormat="false" ht="15" hidden="false" customHeight="false" outlineLevel="0" collapsed="false">
      <c r="A17" s="1"/>
      <c r="B17" s="1"/>
      <c r="C17" s="1"/>
      <c r="D17" s="1"/>
      <c r="E17" s="32" t="str">
        <f aca="false">IF(B17="","",SUMIFS(Purchases!$E$2:$E$501,Purchases!$D$2:$D$501,B17))</f>
        <v/>
      </c>
      <c r="F17" s="32" t="str">
        <f aca="false">IF(B17="","",SUMIFS('Injection Sales'!$F$2:$F$501,'Injection Sales'!$E$2:$E$501,B17)+SUMIFS('Protein Sales'!$E$2:$E$501,'Protein Sales'!$D$2:$D$501,B17))</f>
        <v/>
      </c>
      <c r="G17" s="1"/>
      <c r="H17" s="32" t="str">
        <f aca="false">IF(B17="","",N(D17)+E17-F17+N(G17))</f>
        <v/>
      </c>
      <c r="I17" s="1"/>
      <c r="J17" s="21" t="str">
        <f aca="false">IF(B17="","",IF(H17&lt;=I17,"LOW","OK"))</f>
        <v/>
      </c>
    </row>
    <row r="18" customFormat="false" ht="15" hidden="false" customHeight="false" outlineLevel="0" collapsed="false">
      <c r="A18" s="1"/>
      <c r="B18" s="1"/>
      <c r="C18" s="1"/>
      <c r="D18" s="1"/>
      <c r="E18" s="32" t="str">
        <f aca="false">IF(B18="","",SUMIFS(Purchases!$E$2:$E$501,Purchases!$D$2:$D$501,B18))</f>
        <v/>
      </c>
      <c r="F18" s="32" t="str">
        <f aca="false">IF(B18="","",SUMIFS('Injection Sales'!$F$2:$F$501,'Injection Sales'!$E$2:$E$501,B18)+SUMIFS('Protein Sales'!$E$2:$E$501,'Protein Sales'!$D$2:$D$501,B18))</f>
        <v/>
      </c>
      <c r="G18" s="1"/>
      <c r="H18" s="32" t="str">
        <f aca="false">IF(B18="","",N(D18)+E18-F18+N(G18))</f>
        <v/>
      </c>
      <c r="I18" s="1"/>
      <c r="J18" s="21" t="str">
        <f aca="false">IF(B18="","",IF(H18&lt;=I18,"LOW","OK"))</f>
        <v/>
      </c>
    </row>
    <row r="19" customFormat="false" ht="15" hidden="false" customHeight="false" outlineLevel="0" collapsed="false">
      <c r="A19" s="1"/>
      <c r="B19" s="1"/>
      <c r="C19" s="1"/>
      <c r="D19" s="1"/>
      <c r="E19" s="32" t="str">
        <f aca="false">IF(B19="","",SUMIFS(Purchases!$E$2:$E$501,Purchases!$D$2:$D$501,B19))</f>
        <v/>
      </c>
      <c r="F19" s="32" t="str">
        <f aca="false">IF(B19="","",SUMIFS('Injection Sales'!$F$2:$F$501,'Injection Sales'!$E$2:$E$501,B19)+SUMIFS('Protein Sales'!$E$2:$E$501,'Protein Sales'!$D$2:$D$501,B19))</f>
        <v/>
      </c>
      <c r="G19" s="1"/>
      <c r="H19" s="32" t="str">
        <f aca="false">IF(B19="","",N(D19)+E19-F19+N(G19))</f>
        <v/>
      </c>
      <c r="I19" s="1"/>
      <c r="J19" s="21" t="str">
        <f aca="false">IF(B19="","",IF(H19&lt;=I19,"LOW","OK"))</f>
        <v/>
      </c>
    </row>
    <row r="20" customFormat="false" ht="15" hidden="false" customHeight="false" outlineLevel="0" collapsed="false">
      <c r="A20" s="1"/>
      <c r="B20" s="1"/>
      <c r="C20" s="1"/>
      <c r="D20" s="1"/>
      <c r="E20" s="32" t="str">
        <f aca="false">IF(B20="","",SUMIFS(Purchases!$E$2:$E$501,Purchases!$D$2:$D$501,B20))</f>
        <v/>
      </c>
      <c r="F20" s="32" t="str">
        <f aca="false">IF(B20="","",SUMIFS('Injection Sales'!$F$2:$F$501,'Injection Sales'!$E$2:$E$501,B20)+SUMIFS('Protein Sales'!$E$2:$E$501,'Protein Sales'!$D$2:$D$501,B20))</f>
        <v/>
      </c>
      <c r="G20" s="1"/>
      <c r="H20" s="32" t="str">
        <f aca="false">IF(B20="","",N(D20)+E20-F20+N(G20))</f>
        <v/>
      </c>
      <c r="I20" s="1"/>
      <c r="J20" s="21" t="str">
        <f aca="false">IF(B20="","",IF(H20&lt;=I20,"LOW","OK"))</f>
        <v/>
      </c>
    </row>
    <row r="21" customFormat="false" ht="15" hidden="false" customHeight="false" outlineLevel="0" collapsed="false">
      <c r="A21" s="1"/>
      <c r="B21" s="1"/>
      <c r="C21" s="1"/>
      <c r="D21" s="1"/>
      <c r="E21" s="32" t="str">
        <f aca="false">IF(B21="","",SUMIFS(Purchases!$E$2:$E$501,Purchases!$D$2:$D$501,B21))</f>
        <v/>
      </c>
      <c r="F21" s="32" t="str">
        <f aca="false">IF(B21="","",SUMIFS('Injection Sales'!$F$2:$F$501,'Injection Sales'!$E$2:$E$501,B21)+SUMIFS('Protein Sales'!$E$2:$E$501,'Protein Sales'!$D$2:$D$501,B21))</f>
        <v/>
      </c>
      <c r="G21" s="1"/>
      <c r="H21" s="32" t="str">
        <f aca="false">IF(B21="","",N(D21)+E21-F21+N(G21))</f>
        <v/>
      </c>
      <c r="I21" s="1"/>
      <c r="J21" s="21" t="str">
        <f aca="false">IF(B21="","",IF(H21&lt;=I21,"LOW","OK"))</f>
        <v/>
      </c>
    </row>
    <row r="22" customFormat="false" ht="15" hidden="false" customHeight="false" outlineLevel="0" collapsed="false">
      <c r="A22" s="1"/>
      <c r="B22" s="1"/>
      <c r="C22" s="1"/>
      <c r="D22" s="1"/>
      <c r="E22" s="32" t="str">
        <f aca="false">IF(B22="","",SUMIFS(Purchases!$E$2:$E$501,Purchases!$D$2:$D$501,B22))</f>
        <v/>
      </c>
      <c r="F22" s="32" t="str">
        <f aca="false">IF(B22="","",SUMIFS('Injection Sales'!$F$2:$F$501,'Injection Sales'!$E$2:$E$501,B22)+SUMIFS('Protein Sales'!$E$2:$E$501,'Protein Sales'!$D$2:$D$501,B22))</f>
        <v/>
      </c>
      <c r="G22" s="1"/>
      <c r="H22" s="32" t="str">
        <f aca="false">IF(B22="","",N(D22)+E22-F22+N(G22))</f>
        <v/>
      </c>
      <c r="I22" s="1"/>
      <c r="J22" s="21" t="str">
        <f aca="false">IF(B22="","",IF(H22&lt;=I22,"LOW","OK"))</f>
        <v/>
      </c>
    </row>
    <row r="23" customFormat="false" ht="15" hidden="false" customHeight="false" outlineLevel="0" collapsed="false">
      <c r="A23" s="1"/>
      <c r="B23" s="1"/>
      <c r="C23" s="1"/>
      <c r="D23" s="1"/>
      <c r="E23" s="32" t="str">
        <f aca="false">IF(B23="","",SUMIFS(Purchases!$E$2:$E$501,Purchases!$D$2:$D$501,B23))</f>
        <v/>
      </c>
      <c r="F23" s="32" t="str">
        <f aca="false">IF(B23="","",SUMIFS('Injection Sales'!$F$2:$F$501,'Injection Sales'!$E$2:$E$501,B23)+SUMIFS('Protein Sales'!$E$2:$E$501,'Protein Sales'!$D$2:$D$501,B23))</f>
        <v/>
      </c>
      <c r="G23" s="1"/>
      <c r="H23" s="32" t="str">
        <f aca="false">IF(B23="","",N(D23)+E23-F23+N(G23))</f>
        <v/>
      </c>
      <c r="I23" s="1"/>
      <c r="J23" s="21" t="str">
        <f aca="false">IF(B23="","",IF(H23&lt;=I23,"LOW","OK"))</f>
        <v/>
      </c>
    </row>
    <row r="24" customFormat="false" ht="15" hidden="false" customHeight="false" outlineLevel="0" collapsed="false">
      <c r="A24" s="1"/>
      <c r="B24" s="1"/>
      <c r="C24" s="1"/>
      <c r="D24" s="1"/>
      <c r="E24" s="32" t="str">
        <f aca="false">IF(B24="","",SUMIFS(Purchases!$E$2:$E$501,Purchases!$D$2:$D$501,B24))</f>
        <v/>
      </c>
      <c r="F24" s="32" t="str">
        <f aca="false">IF(B24="","",SUMIFS('Injection Sales'!$F$2:$F$501,'Injection Sales'!$E$2:$E$501,B24)+SUMIFS('Protein Sales'!$E$2:$E$501,'Protein Sales'!$D$2:$D$501,B24))</f>
        <v/>
      </c>
      <c r="G24" s="1"/>
      <c r="H24" s="32" t="str">
        <f aca="false">IF(B24="","",N(D24)+E24-F24+N(G24))</f>
        <v/>
      </c>
      <c r="I24" s="1"/>
      <c r="J24" s="21" t="str">
        <f aca="false">IF(B24="","",IF(H24&lt;=I24,"LOW","OK"))</f>
        <v/>
      </c>
    </row>
    <row r="25" customFormat="false" ht="15" hidden="false" customHeight="false" outlineLevel="0" collapsed="false">
      <c r="A25" s="1"/>
      <c r="B25" s="1"/>
      <c r="C25" s="1"/>
      <c r="D25" s="1"/>
      <c r="E25" s="32" t="str">
        <f aca="false">IF(B25="","",SUMIFS(Purchases!$E$2:$E$501,Purchases!$D$2:$D$501,B25))</f>
        <v/>
      </c>
      <c r="F25" s="32" t="str">
        <f aca="false">IF(B25="","",SUMIFS('Injection Sales'!$F$2:$F$501,'Injection Sales'!$E$2:$E$501,B25)+SUMIFS('Protein Sales'!$E$2:$E$501,'Protein Sales'!$D$2:$D$501,B25))</f>
        <v/>
      </c>
      <c r="G25" s="1"/>
      <c r="H25" s="32" t="str">
        <f aca="false">IF(B25="","",N(D25)+E25-F25+N(G25))</f>
        <v/>
      </c>
      <c r="I25" s="1"/>
      <c r="J25" s="21" t="str">
        <f aca="false">IF(B25="","",IF(H25&lt;=I25,"LOW","OK"))</f>
        <v/>
      </c>
    </row>
    <row r="26" customFormat="false" ht="15" hidden="false" customHeight="false" outlineLevel="0" collapsed="false">
      <c r="A26" s="1"/>
      <c r="B26" s="1"/>
      <c r="C26" s="1"/>
      <c r="D26" s="1"/>
      <c r="E26" s="32" t="str">
        <f aca="false">IF(B26="","",SUMIFS(Purchases!$E$2:$E$501,Purchases!$D$2:$D$501,B26))</f>
        <v/>
      </c>
      <c r="F26" s="32" t="str">
        <f aca="false">IF(B26="","",SUMIFS('Injection Sales'!$F$2:$F$501,'Injection Sales'!$E$2:$E$501,B26)+SUMIFS('Protein Sales'!$E$2:$E$501,'Protein Sales'!$D$2:$D$501,B26))</f>
        <v/>
      </c>
      <c r="G26" s="1"/>
      <c r="H26" s="32" t="str">
        <f aca="false">IF(B26="","",N(D26)+E26-F26+N(G26))</f>
        <v/>
      </c>
      <c r="I26" s="1"/>
      <c r="J26" s="21" t="str">
        <f aca="false">IF(B26="","",IF(H26&lt;=I26,"LOW","OK"))</f>
        <v/>
      </c>
    </row>
    <row r="27" customFormat="false" ht="15" hidden="false" customHeight="false" outlineLevel="0" collapsed="false">
      <c r="A27" s="1"/>
      <c r="B27" s="1"/>
      <c r="C27" s="1"/>
      <c r="D27" s="1"/>
      <c r="E27" s="32" t="str">
        <f aca="false">IF(B27="","",SUMIFS(Purchases!$E$2:$E$501,Purchases!$D$2:$D$501,B27))</f>
        <v/>
      </c>
      <c r="F27" s="32" t="str">
        <f aca="false">IF(B27="","",SUMIFS('Injection Sales'!$F$2:$F$501,'Injection Sales'!$E$2:$E$501,B27)+SUMIFS('Protein Sales'!$E$2:$E$501,'Protein Sales'!$D$2:$D$501,B27))</f>
        <v/>
      </c>
      <c r="G27" s="1"/>
      <c r="H27" s="32" t="str">
        <f aca="false">IF(B27="","",N(D27)+E27-F27+N(G27))</f>
        <v/>
      </c>
      <c r="I27" s="1"/>
      <c r="J27" s="21" t="str">
        <f aca="false">IF(B27="","",IF(H27&lt;=I27,"LOW","OK"))</f>
        <v/>
      </c>
    </row>
    <row r="28" customFormat="false" ht="15" hidden="false" customHeight="false" outlineLevel="0" collapsed="false">
      <c r="A28" s="1"/>
      <c r="B28" s="1"/>
      <c r="C28" s="1"/>
      <c r="D28" s="1"/>
      <c r="E28" s="32" t="str">
        <f aca="false">IF(B28="","",SUMIFS(Purchases!$E$2:$E$501,Purchases!$D$2:$D$501,B28))</f>
        <v/>
      </c>
      <c r="F28" s="32" t="str">
        <f aca="false">IF(B28="","",SUMIFS('Injection Sales'!$F$2:$F$501,'Injection Sales'!$E$2:$E$501,B28)+SUMIFS('Protein Sales'!$E$2:$E$501,'Protein Sales'!$D$2:$D$501,B28))</f>
        <v/>
      </c>
      <c r="G28" s="1"/>
      <c r="H28" s="32" t="str">
        <f aca="false">IF(B28="","",N(D28)+E28-F28+N(G28))</f>
        <v/>
      </c>
      <c r="I28" s="1"/>
      <c r="J28" s="21" t="str">
        <f aca="false">IF(B28="","",IF(H28&lt;=I28,"LOW","OK"))</f>
        <v/>
      </c>
    </row>
    <row r="29" customFormat="false" ht="15" hidden="false" customHeight="false" outlineLevel="0" collapsed="false">
      <c r="A29" s="1"/>
      <c r="B29" s="1"/>
      <c r="C29" s="1"/>
      <c r="D29" s="1"/>
      <c r="E29" s="32" t="str">
        <f aca="false">IF(B29="","",SUMIFS(Purchases!$E$2:$E$501,Purchases!$D$2:$D$501,B29))</f>
        <v/>
      </c>
      <c r="F29" s="32" t="str">
        <f aca="false">IF(B29="","",SUMIFS('Injection Sales'!$F$2:$F$501,'Injection Sales'!$E$2:$E$501,B29)+SUMIFS('Protein Sales'!$E$2:$E$501,'Protein Sales'!$D$2:$D$501,B29))</f>
        <v/>
      </c>
      <c r="G29" s="1"/>
      <c r="H29" s="32" t="str">
        <f aca="false">IF(B29="","",N(D29)+E29-F29+N(G29))</f>
        <v/>
      </c>
      <c r="I29" s="1"/>
      <c r="J29" s="21" t="str">
        <f aca="false">IF(B29="","",IF(H29&lt;=I29,"LOW","OK"))</f>
        <v/>
      </c>
    </row>
    <row r="30" customFormat="false" ht="15" hidden="false" customHeight="false" outlineLevel="0" collapsed="false">
      <c r="A30" s="1"/>
      <c r="B30" s="1"/>
      <c r="C30" s="1"/>
      <c r="D30" s="1"/>
      <c r="E30" s="32" t="str">
        <f aca="false">IF(B30="","",SUMIFS(Purchases!$E$2:$E$501,Purchases!$D$2:$D$501,B30))</f>
        <v/>
      </c>
      <c r="F30" s="32" t="str">
        <f aca="false">IF(B30="","",SUMIFS('Injection Sales'!$F$2:$F$501,'Injection Sales'!$E$2:$E$501,B30)+SUMIFS('Protein Sales'!$E$2:$E$501,'Protein Sales'!$D$2:$D$501,B30))</f>
        <v/>
      </c>
      <c r="G30" s="1"/>
      <c r="H30" s="32" t="str">
        <f aca="false">IF(B30="","",N(D30)+E30-F30+N(G30))</f>
        <v/>
      </c>
      <c r="I30" s="1"/>
      <c r="J30" s="21" t="str">
        <f aca="false">IF(B30="","",IF(H30&lt;=I30,"LOW","OK"))</f>
        <v/>
      </c>
    </row>
    <row r="31" customFormat="false" ht="15" hidden="false" customHeight="false" outlineLevel="0" collapsed="false">
      <c r="A31" s="1"/>
      <c r="B31" s="1"/>
      <c r="C31" s="1"/>
      <c r="D31" s="1"/>
      <c r="E31" s="32" t="str">
        <f aca="false">IF(B31="","",SUMIFS(Purchases!$E$2:$E$501,Purchases!$D$2:$D$501,B31))</f>
        <v/>
      </c>
      <c r="F31" s="32" t="str">
        <f aca="false">IF(B31="","",SUMIFS('Injection Sales'!$F$2:$F$501,'Injection Sales'!$E$2:$E$501,B31)+SUMIFS('Protein Sales'!$E$2:$E$501,'Protein Sales'!$D$2:$D$501,B31))</f>
        <v/>
      </c>
      <c r="G31" s="1"/>
      <c r="H31" s="32" t="str">
        <f aca="false">IF(B31="","",N(D31)+E31-F31+N(G31))</f>
        <v/>
      </c>
      <c r="I31" s="1"/>
      <c r="J31" s="21" t="str">
        <f aca="false">IF(B31="","",IF(H31&lt;=I31,"LOW","OK"))</f>
        <v/>
      </c>
    </row>
    <row r="32" customFormat="false" ht="15" hidden="false" customHeight="false" outlineLevel="0" collapsed="false">
      <c r="A32" s="1"/>
      <c r="B32" s="1"/>
      <c r="C32" s="1"/>
      <c r="D32" s="1"/>
      <c r="E32" s="32" t="str">
        <f aca="false">IF(B32="","",SUMIFS(Purchases!$E$2:$E$501,Purchases!$D$2:$D$501,B32))</f>
        <v/>
      </c>
      <c r="F32" s="32" t="str">
        <f aca="false">IF(B32="","",SUMIFS('Injection Sales'!$F$2:$F$501,'Injection Sales'!$E$2:$E$501,B32)+SUMIFS('Protein Sales'!$E$2:$E$501,'Protein Sales'!$D$2:$D$501,B32))</f>
        <v/>
      </c>
      <c r="G32" s="1"/>
      <c r="H32" s="32" t="str">
        <f aca="false">IF(B32="","",N(D32)+E32-F32+N(G32))</f>
        <v/>
      </c>
      <c r="I32" s="1"/>
      <c r="J32" s="21" t="str">
        <f aca="false">IF(B32="","",IF(H32&lt;=I32,"LOW","OK"))</f>
        <v/>
      </c>
    </row>
    <row r="33" customFormat="false" ht="15" hidden="false" customHeight="false" outlineLevel="0" collapsed="false">
      <c r="A33" s="1"/>
      <c r="B33" s="1"/>
      <c r="C33" s="1"/>
      <c r="D33" s="1"/>
      <c r="E33" s="32" t="str">
        <f aca="false">IF(B33="","",SUMIFS(Purchases!$E$2:$E$501,Purchases!$D$2:$D$501,B33))</f>
        <v/>
      </c>
      <c r="F33" s="32" t="str">
        <f aca="false">IF(B33="","",SUMIFS('Injection Sales'!$F$2:$F$501,'Injection Sales'!$E$2:$E$501,B33)+SUMIFS('Protein Sales'!$E$2:$E$501,'Protein Sales'!$D$2:$D$501,B33))</f>
        <v/>
      </c>
      <c r="G33" s="1"/>
      <c r="H33" s="32" t="str">
        <f aca="false">IF(B33="","",N(D33)+E33-F33+N(G33))</f>
        <v/>
      </c>
      <c r="I33" s="1"/>
      <c r="J33" s="21" t="str">
        <f aca="false">IF(B33="","",IF(H33&lt;=I33,"LOW","OK"))</f>
        <v/>
      </c>
    </row>
    <row r="34" customFormat="false" ht="15" hidden="false" customHeight="false" outlineLevel="0" collapsed="false">
      <c r="A34" s="1"/>
      <c r="B34" s="1"/>
      <c r="C34" s="1"/>
      <c r="D34" s="1"/>
      <c r="E34" s="32" t="str">
        <f aca="false">IF(B34="","",SUMIFS(Purchases!$E$2:$E$501,Purchases!$D$2:$D$501,B34))</f>
        <v/>
      </c>
      <c r="F34" s="32" t="str">
        <f aca="false">IF(B34="","",SUMIFS('Injection Sales'!$F$2:$F$501,'Injection Sales'!$E$2:$E$501,B34)+SUMIFS('Protein Sales'!$E$2:$E$501,'Protein Sales'!$D$2:$D$501,B34))</f>
        <v/>
      </c>
      <c r="G34" s="1"/>
      <c r="H34" s="32" t="str">
        <f aca="false">IF(B34="","",N(D34)+E34-F34+N(G34))</f>
        <v/>
      </c>
      <c r="I34" s="1"/>
      <c r="J34" s="21" t="str">
        <f aca="false">IF(B34="","",IF(H34&lt;=I34,"LOW","OK"))</f>
        <v/>
      </c>
    </row>
    <row r="35" customFormat="false" ht="15" hidden="false" customHeight="false" outlineLevel="0" collapsed="false">
      <c r="A35" s="1"/>
      <c r="B35" s="1"/>
      <c r="C35" s="1"/>
      <c r="D35" s="1"/>
      <c r="E35" s="32" t="str">
        <f aca="false">IF(B35="","",SUMIFS(Purchases!$E$2:$E$501,Purchases!$D$2:$D$501,B35))</f>
        <v/>
      </c>
      <c r="F35" s="32" t="str">
        <f aca="false">IF(B35="","",SUMIFS('Injection Sales'!$F$2:$F$501,'Injection Sales'!$E$2:$E$501,B35)+SUMIFS('Protein Sales'!$E$2:$E$501,'Protein Sales'!$D$2:$D$501,B35))</f>
        <v/>
      </c>
      <c r="G35" s="1"/>
      <c r="H35" s="32" t="str">
        <f aca="false">IF(B35="","",N(D35)+E35-F35+N(G35))</f>
        <v/>
      </c>
      <c r="I35" s="1"/>
      <c r="J35" s="21" t="str">
        <f aca="false">IF(B35="","",IF(H35&lt;=I35,"LOW","OK"))</f>
        <v/>
      </c>
    </row>
    <row r="36" customFormat="false" ht="15" hidden="false" customHeight="false" outlineLevel="0" collapsed="false">
      <c r="A36" s="1"/>
      <c r="B36" s="1"/>
      <c r="C36" s="1"/>
      <c r="D36" s="1"/>
      <c r="E36" s="32" t="str">
        <f aca="false">IF(B36="","",SUMIFS(Purchases!$E$2:$E$501,Purchases!$D$2:$D$501,B36))</f>
        <v/>
      </c>
      <c r="F36" s="32" t="str">
        <f aca="false">IF(B36="","",SUMIFS('Injection Sales'!$F$2:$F$501,'Injection Sales'!$E$2:$E$501,B36)+SUMIFS('Protein Sales'!$E$2:$E$501,'Protein Sales'!$D$2:$D$501,B36))</f>
        <v/>
      </c>
      <c r="G36" s="1"/>
      <c r="H36" s="32" t="str">
        <f aca="false">IF(B36="","",N(D36)+E36-F36+N(G36))</f>
        <v/>
      </c>
      <c r="I36" s="1"/>
      <c r="J36" s="21" t="str">
        <f aca="false">IF(B36="","",IF(H36&lt;=I36,"LOW","OK"))</f>
        <v/>
      </c>
    </row>
    <row r="37" customFormat="false" ht="15" hidden="false" customHeight="false" outlineLevel="0" collapsed="false">
      <c r="A37" s="1"/>
      <c r="B37" s="1"/>
      <c r="C37" s="1"/>
      <c r="D37" s="1"/>
      <c r="E37" s="32" t="str">
        <f aca="false">IF(B37="","",SUMIFS(Purchases!$E$2:$E$501,Purchases!$D$2:$D$501,B37))</f>
        <v/>
      </c>
      <c r="F37" s="32" t="str">
        <f aca="false">IF(B37="","",SUMIFS('Injection Sales'!$F$2:$F$501,'Injection Sales'!$E$2:$E$501,B37)+SUMIFS('Protein Sales'!$E$2:$E$501,'Protein Sales'!$D$2:$D$501,B37))</f>
        <v/>
      </c>
      <c r="G37" s="1"/>
      <c r="H37" s="32" t="str">
        <f aca="false">IF(B37="","",N(D37)+E37-F37+N(G37))</f>
        <v/>
      </c>
      <c r="I37" s="1"/>
      <c r="J37" s="21" t="str">
        <f aca="false">IF(B37="","",IF(H37&lt;=I37,"LOW","OK"))</f>
        <v/>
      </c>
    </row>
    <row r="38" customFormat="false" ht="15" hidden="false" customHeight="false" outlineLevel="0" collapsed="false">
      <c r="A38" s="1"/>
      <c r="B38" s="1"/>
      <c r="C38" s="1"/>
      <c r="D38" s="1"/>
      <c r="E38" s="32" t="str">
        <f aca="false">IF(B38="","",SUMIFS(Purchases!$E$2:$E$501,Purchases!$D$2:$D$501,B38))</f>
        <v/>
      </c>
      <c r="F38" s="32" t="str">
        <f aca="false">IF(B38="","",SUMIFS('Injection Sales'!$F$2:$F$501,'Injection Sales'!$E$2:$E$501,B38)+SUMIFS('Protein Sales'!$E$2:$E$501,'Protein Sales'!$D$2:$D$501,B38))</f>
        <v/>
      </c>
      <c r="G38" s="1"/>
      <c r="H38" s="32" t="str">
        <f aca="false">IF(B38="","",N(D38)+E38-F38+N(G38))</f>
        <v/>
      </c>
      <c r="I38" s="1"/>
      <c r="J38" s="21" t="str">
        <f aca="false">IF(B38="","",IF(H38&lt;=I38,"LOW","OK"))</f>
        <v/>
      </c>
    </row>
    <row r="39" customFormat="false" ht="15" hidden="false" customHeight="false" outlineLevel="0" collapsed="false">
      <c r="A39" s="1"/>
      <c r="B39" s="1"/>
      <c r="C39" s="1"/>
      <c r="D39" s="1"/>
      <c r="E39" s="32" t="str">
        <f aca="false">IF(B39="","",SUMIFS(Purchases!$E$2:$E$501,Purchases!$D$2:$D$501,B39))</f>
        <v/>
      </c>
      <c r="F39" s="32" t="str">
        <f aca="false">IF(B39="","",SUMIFS('Injection Sales'!$F$2:$F$501,'Injection Sales'!$E$2:$E$501,B39)+SUMIFS('Protein Sales'!$E$2:$E$501,'Protein Sales'!$D$2:$D$501,B39))</f>
        <v/>
      </c>
      <c r="G39" s="1"/>
      <c r="H39" s="32" t="str">
        <f aca="false">IF(B39="","",N(D39)+E39-F39+N(G39))</f>
        <v/>
      </c>
      <c r="I39" s="1"/>
      <c r="J39" s="21" t="str">
        <f aca="false">IF(B39="","",IF(H39&lt;=I39,"LOW","OK"))</f>
        <v/>
      </c>
    </row>
    <row r="40" customFormat="false" ht="15" hidden="false" customHeight="false" outlineLevel="0" collapsed="false">
      <c r="A40" s="1"/>
      <c r="B40" s="1"/>
      <c r="C40" s="1"/>
      <c r="D40" s="1"/>
      <c r="E40" s="32" t="str">
        <f aca="false">IF(B40="","",SUMIFS(Purchases!$E$2:$E$501,Purchases!$D$2:$D$501,B40))</f>
        <v/>
      </c>
      <c r="F40" s="32" t="str">
        <f aca="false">IF(B40="","",SUMIFS('Injection Sales'!$F$2:$F$501,'Injection Sales'!$E$2:$E$501,B40)+SUMIFS('Protein Sales'!$E$2:$E$501,'Protein Sales'!$D$2:$D$501,B40))</f>
        <v/>
      </c>
      <c r="G40" s="1"/>
      <c r="H40" s="32" t="str">
        <f aca="false">IF(B40="","",N(D40)+E40-F40+N(G40))</f>
        <v/>
      </c>
      <c r="I40" s="1"/>
      <c r="J40" s="21" t="str">
        <f aca="false">IF(B40="","",IF(H40&lt;=I40,"LOW","OK"))</f>
        <v/>
      </c>
    </row>
    <row r="41" customFormat="false" ht="15" hidden="false" customHeight="false" outlineLevel="0" collapsed="false">
      <c r="A41" s="1"/>
      <c r="B41" s="1"/>
      <c r="C41" s="1"/>
      <c r="D41" s="1"/>
      <c r="E41" s="32" t="str">
        <f aca="false">IF(B41="","",SUMIFS(Purchases!$E$2:$E$501,Purchases!$D$2:$D$501,B41))</f>
        <v/>
      </c>
      <c r="F41" s="32" t="str">
        <f aca="false">IF(B41="","",SUMIFS('Injection Sales'!$F$2:$F$501,'Injection Sales'!$E$2:$E$501,B41)+SUMIFS('Protein Sales'!$E$2:$E$501,'Protein Sales'!$D$2:$D$501,B41))</f>
        <v/>
      </c>
      <c r="G41" s="1"/>
      <c r="H41" s="32" t="str">
        <f aca="false">IF(B41="","",N(D41)+E41-F41+N(G41))</f>
        <v/>
      </c>
      <c r="I41" s="1"/>
      <c r="J41" s="21" t="str">
        <f aca="false">IF(B41="","",IF(H41&lt;=I41,"LOW","OK"))</f>
        <v/>
      </c>
    </row>
    <row r="42" customFormat="false" ht="15" hidden="false" customHeight="false" outlineLevel="0" collapsed="false">
      <c r="A42" s="1"/>
      <c r="B42" s="1"/>
      <c r="C42" s="1"/>
      <c r="D42" s="1"/>
      <c r="E42" s="32" t="str">
        <f aca="false">IF(B42="","",SUMIFS(Purchases!$E$2:$E$501,Purchases!$D$2:$D$501,B42))</f>
        <v/>
      </c>
      <c r="F42" s="32" t="str">
        <f aca="false">IF(B42="","",SUMIFS('Injection Sales'!$F$2:$F$501,'Injection Sales'!$E$2:$E$501,B42)+SUMIFS('Protein Sales'!$E$2:$E$501,'Protein Sales'!$D$2:$D$501,B42))</f>
        <v/>
      </c>
      <c r="G42" s="1"/>
      <c r="H42" s="32" t="str">
        <f aca="false">IF(B42="","",N(D42)+E42-F42+N(G42))</f>
        <v/>
      </c>
      <c r="I42" s="1"/>
      <c r="J42" s="21" t="str">
        <f aca="false">IF(B42="","",IF(H42&lt;=I42,"LOW","OK"))</f>
        <v/>
      </c>
    </row>
    <row r="43" customFormat="false" ht="15" hidden="false" customHeight="false" outlineLevel="0" collapsed="false">
      <c r="A43" s="1"/>
      <c r="B43" s="1"/>
      <c r="C43" s="1"/>
      <c r="D43" s="1"/>
      <c r="E43" s="32" t="str">
        <f aca="false">IF(B43="","",SUMIFS(Purchases!$E$2:$E$501,Purchases!$D$2:$D$501,B43))</f>
        <v/>
      </c>
      <c r="F43" s="32" t="str">
        <f aca="false">IF(B43="","",SUMIFS('Injection Sales'!$F$2:$F$501,'Injection Sales'!$E$2:$E$501,B43)+SUMIFS('Protein Sales'!$E$2:$E$501,'Protein Sales'!$D$2:$D$501,B43))</f>
        <v/>
      </c>
      <c r="G43" s="1"/>
      <c r="H43" s="32" t="str">
        <f aca="false">IF(B43="","",N(D43)+E43-F43+N(G43))</f>
        <v/>
      </c>
      <c r="I43" s="1"/>
      <c r="J43" s="21" t="str">
        <f aca="false">IF(B43="","",IF(H43&lt;=I43,"LOW","OK"))</f>
        <v/>
      </c>
    </row>
    <row r="44" customFormat="false" ht="15" hidden="false" customHeight="false" outlineLevel="0" collapsed="false">
      <c r="A44" s="1"/>
      <c r="B44" s="1"/>
      <c r="C44" s="1"/>
      <c r="D44" s="1"/>
      <c r="E44" s="32" t="str">
        <f aca="false">IF(B44="","",SUMIFS(Purchases!$E$2:$E$501,Purchases!$D$2:$D$501,B44))</f>
        <v/>
      </c>
      <c r="F44" s="32" t="str">
        <f aca="false">IF(B44="","",SUMIFS('Injection Sales'!$F$2:$F$501,'Injection Sales'!$E$2:$E$501,B44)+SUMIFS('Protein Sales'!$E$2:$E$501,'Protein Sales'!$D$2:$D$501,B44))</f>
        <v/>
      </c>
      <c r="G44" s="1"/>
      <c r="H44" s="32" t="str">
        <f aca="false">IF(B44="","",N(D44)+E44-F44+N(G44))</f>
        <v/>
      </c>
      <c r="I44" s="1"/>
      <c r="J44" s="21" t="str">
        <f aca="false">IF(B44="","",IF(H44&lt;=I44,"LOW","OK"))</f>
        <v/>
      </c>
    </row>
    <row r="45" customFormat="false" ht="15" hidden="false" customHeight="false" outlineLevel="0" collapsed="false">
      <c r="A45" s="1"/>
      <c r="B45" s="1"/>
      <c r="C45" s="1"/>
      <c r="D45" s="1"/>
      <c r="E45" s="32" t="str">
        <f aca="false">IF(B45="","",SUMIFS(Purchases!$E$2:$E$501,Purchases!$D$2:$D$501,B45))</f>
        <v/>
      </c>
      <c r="F45" s="32" t="str">
        <f aca="false">IF(B45="","",SUMIFS('Injection Sales'!$F$2:$F$501,'Injection Sales'!$E$2:$E$501,B45)+SUMIFS('Protein Sales'!$E$2:$E$501,'Protein Sales'!$D$2:$D$501,B45))</f>
        <v/>
      </c>
      <c r="G45" s="1"/>
      <c r="H45" s="32" t="str">
        <f aca="false">IF(B45="","",N(D45)+E45-F45+N(G45))</f>
        <v/>
      </c>
      <c r="I45" s="1"/>
      <c r="J45" s="21" t="str">
        <f aca="false">IF(B45="","",IF(H45&lt;=I45,"LOW","OK"))</f>
        <v/>
      </c>
    </row>
    <row r="46" customFormat="false" ht="15" hidden="false" customHeight="false" outlineLevel="0" collapsed="false">
      <c r="A46" s="1"/>
      <c r="B46" s="1"/>
      <c r="C46" s="1"/>
      <c r="D46" s="1"/>
      <c r="E46" s="32" t="str">
        <f aca="false">IF(B46="","",SUMIFS(Purchases!$E$2:$E$501,Purchases!$D$2:$D$501,B46))</f>
        <v/>
      </c>
      <c r="F46" s="32" t="str">
        <f aca="false">IF(B46="","",SUMIFS('Injection Sales'!$F$2:$F$501,'Injection Sales'!$E$2:$E$501,B46)+SUMIFS('Protein Sales'!$E$2:$E$501,'Protein Sales'!$D$2:$D$501,B46))</f>
        <v/>
      </c>
      <c r="G46" s="1"/>
      <c r="H46" s="32" t="str">
        <f aca="false">IF(B46="","",N(D46)+E46-F46+N(G46))</f>
        <v/>
      </c>
      <c r="I46" s="1"/>
      <c r="J46" s="21" t="str">
        <f aca="false">IF(B46="","",IF(H46&lt;=I46,"LOW","OK"))</f>
        <v/>
      </c>
    </row>
    <row r="47" customFormat="false" ht="15" hidden="false" customHeight="false" outlineLevel="0" collapsed="false">
      <c r="A47" s="1"/>
      <c r="B47" s="1"/>
      <c r="C47" s="1"/>
      <c r="D47" s="1"/>
      <c r="E47" s="32" t="str">
        <f aca="false">IF(B47="","",SUMIFS(Purchases!$E$2:$E$501,Purchases!$D$2:$D$501,B47))</f>
        <v/>
      </c>
      <c r="F47" s="32" t="str">
        <f aca="false">IF(B47="","",SUMIFS('Injection Sales'!$F$2:$F$501,'Injection Sales'!$E$2:$E$501,B47)+SUMIFS('Protein Sales'!$E$2:$E$501,'Protein Sales'!$D$2:$D$501,B47))</f>
        <v/>
      </c>
      <c r="G47" s="1"/>
      <c r="H47" s="32" t="str">
        <f aca="false">IF(B47="","",N(D47)+E47-F47+N(G47))</f>
        <v/>
      </c>
      <c r="I47" s="1"/>
      <c r="J47" s="21" t="str">
        <f aca="false">IF(B47="","",IF(H47&lt;=I47,"LOW","OK"))</f>
        <v/>
      </c>
    </row>
    <row r="48" customFormat="false" ht="15" hidden="false" customHeight="false" outlineLevel="0" collapsed="false">
      <c r="A48" s="1"/>
      <c r="B48" s="1"/>
      <c r="C48" s="1"/>
      <c r="D48" s="1"/>
      <c r="E48" s="32" t="str">
        <f aca="false">IF(B48="","",SUMIFS(Purchases!$E$2:$E$501,Purchases!$D$2:$D$501,B48))</f>
        <v/>
      </c>
      <c r="F48" s="32" t="str">
        <f aca="false">IF(B48="","",SUMIFS('Injection Sales'!$F$2:$F$501,'Injection Sales'!$E$2:$E$501,B48)+SUMIFS('Protein Sales'!$E$2:$E$501,'Protein Sales'!$D$2:$D$501,B48))</f>
        <v/>
      </c>
      <c r="G48" s="1"/>
      <c r="H48" s="32" t="str">
        <f aca="false">IF(B48="","",N(D48)+E48-F48+N(G48))</f>
        <v/>
      </c>
      <c r="I48" s="1"/>
      <c r="J48" s="21" t="str">
        <f aca="false">IF(B48="","",IF(H48&lt;=I48,"LOW","OK"))</f>
        <v/>
      </c>
    </row>
    <row r="49" customFormat="false" ht="15" hidden="false" customHeight="false" outlineLevel="0" collapsed="false">
      <c r="A49" s="1"/>
      <c r="B49" s="1"/>
      <c r="C49" s="1"/>
      <c r="D49" s="1"/>
      <c r="E49" s="32" t="str">
        <f aca="false">IF(B49="","",SUMIFS(Purchases!$E$2:$E$501,Purchases!$D$2:$D$501,B49))</f>
        <v/>
      </c>
      <c r="F49" s="32" t="str">
        <f aca="false">IF(B49="","",SUMIFS('Injection Sales'!$F$2:$F$501,'Injection Sales'!$E$2:$E$501,B49)+SUMIFS('Protein Sales'!$E$2:$E$501,'Protein Sales'!$D$2:$D$501,B49))</f>
        <v/>
      </c>
      <c r="G49" s="1"/>
      <c r="H49" s="32" t="str">
        <f aca="false">IF(B49="","",N(D49)+E49-F49+N(G49))</f>
        <v/>
      </c>
      <c r="I49" s="1"/>
      <c r="J49" s="21" t="str">
        <f aca="false">IF(B49="","",IF(H49&lt;=I49,"LOW","OK"))</f>
        <v/>
      </c>
    </row>
    <row r="50" customFormat="false" ht="15" hidden="false" customHeight="false" outlineLevel="0" collapsed="false">
      <c r="A50" s="1"/>
      <c r="B50" s="1"/>
      <c r="C50" s="1"/>
      <c r="D50" s="1"/>
      <c r="E50" s="32" t="str">
        <f aca="false">IF(B50="","",SUMIFS(Purchases!$E$2:$E$501,Purchases!$D$2:$D$501,B50))</f>
        <v/>
      </c>
      <c r="F50" s="32" t="str">
        <f aca="false">IF(B50="","",SUMIFS('Injection Sales'!$F$2:$F$501,'Injection Sales'!$E$2:$E$501,B50)+SUMIFS('Protein Sales'!$E$2:$E$501,'Protein Sales'!$D$2:$D$501,B50))</f>
        <v/>
      </c>
      <c r="G50" s="1"/>
      <c r="H50" s="32" t="str">
        <f aca="false">IF(B50="","",N(D50)+E50-F50+N(G50))</f>
        <v/>
      </c>
      <c r="I50" s="1"/>
      <c r="J50" s="21" t="str">
        <f aca="false">IF(B50="","",IF(H50&lt;=I50,"LOW","OK"))</f>
        <v/>
      </c>
    </row>
    <row r="51" customFormat="false" ht="15" hidden="false" customHeight="false" outlineLevel="0" collapsed="false">
      <c r="A51" s="1"/>
      <c r="B51" s="1"/>
      <c r="C51" s="1"/>
      <c r="D51" s="1"/>
      <c r="E51" s="32" t="str">
        <f aca="false">IF(B51="","",SUMIFS(Purchases!$E$2:$E$501,Purchases!$D$2:$D$501,B51))</f>
        <v/>
      </c>
      <c r="F51" s="32" t="str">
        <f aca="false">IF(B51="","",SUMIFS('Injection Sales'!$F$2:$F$501,'Injection Sales'!$E$2:$E$501,B51)+SUMIFS('Protein Sales'!$E$2:$E$501,'Protein Sales'!$D$2:$D$501,B51))</f>
        <v/>
      </c>
      <c r="G51" s="1"/>
      <c r="H51" s="32" t="str">
        <f aca="false">IF(B51="","",N(D51)+E51-F51+N(G51))</f>
        <v/>
      </c>
      <c r="I51" s="1"/>
      <c r="J51" s="21" t="str">
        <f aca="false">IF(B51="","",IF(H51&lt;=I51,"LOW","OK"))</f>
        <v/>
      </c>
    </row>
    <row r="52" customFormat="false" ht="15" hidden="false" customHeight="false" outlineLevel="0" collapsed="false">
      <c r="A52" s="1"/>
      <c r="B52" s="1"/>
      <c r="C52" s="1"/>
      <c r="D52" s="1"/>
      <c r="E52" s="32" t="str">
        <f aca="false">IF(B52="","",SUMIFS(Purchases!$E$2:$E$501,Purchases!$D$2:$D$501,B52))</f>
        <v/>
      </c>
      <c r="F52" s="32" t="str">
        <f aca="false">IF(B52="","",SUMIFS('Injection Sales'!$F$2:$F$501,'Injection Sales'!$E$2:$E$501,B52)+SUMIFS('Protein Sales'!$E$2:$E$501,'Protein Sales'!$D$2:$D$501,B52))</f>
        <v/>
      </c>
      <c r="G52" s="1"/>
      <c r="H52" s="32" t="str">
        <f aca="false">IF(B52="","",N(D52)+E52-F52+N(G52))</f>
        <v/>
      </c>
      <c r="I52" s="1"/>
      <c r="J52" s="21" t="str">
        <f aca="false">IF(B52="","",IF(H52&lt;=I52,"LOW","OK"))</f>
        <v/>
      </c>
    </row>
    <row r="53" customFormat="false" ht="15" hidden="false" customHeight="false" outlineLevel="0" collapsed="false">
      <c r="A53" s="1"/>
      <c r="B53" s="1"/>
      <c r="C53" s="1"/>
      <c r="D53" s="1"/>
      <c r="E53" s="32" t="str">
        <f aca="false">IF(B53="","",SUMIFS(Purchases!$E$2:$E$501,Purchases!$D$2:$D$501,B53))</f>
        <v/>
      </c>
      <c r="F53" s="32" t="str">
        <f aca="false">IF(B53="","",SUMIFS('Injection Sales'!$F$2:$F$501,'Injection Sales'!$E$2:$E$501,B53)+SUMIFS('Protein Sales'!$E$2:$E$501,'Protein Sales'!$D$2:$D$501,B53))</f>
        <v/>
      </c>
      <c r="G53" s="1"/>
      <c r="H53" s="32" t="str">
        <f aca="false">IF(B53="","",N(D53)+E53-F53+N(G53))</f>
        <v/>
      </c>
      <c r="I53" s="1"/>
      <c r="J53" s="21" t="str">
        <f aca="false">IF(B53="","",IF(H53&lt;=I53,"LOW","OK"))</f>
        <v/>
      </c>
    </row>
    <row r="54" customFormat="false" ht="15" hidden="false" customHeight="false" outlineLevel="0" collapsed="false">
      <c r="A54" s="1"/>
      <c r="B54" s="1"/>
      <c r="C54" s="1"/>
      <c r="D54" s="1"/>
      <c r="E54" s="32" t="str">
        <f aca="false">IF(B54="","",SUMIFS(Purchases!$E$2:$E$501,Purchases!$D$2:$D$501,B54))</f>
        <v/>
      </c>
      <c r="F54" s="32" t="str">
        <f aca="false">IF(B54="","",SUMIFS('Injection Sales'!$F$2:$F$501,'Injection Sales'!$E$2:$E$501,B54)+SUMIFS('Protein Sales'!$E$2:$E$501,'Protein Sales'!$D$2:$D$501,B54))</f>
        <v/>
      </c>
      <c r="G54" s="1"/>
      <c r="H54" s="32" t="str">
        <f aca="false">IF(B54="","",N(D54)+E54-F54+N(G54))</f>
        <v/>
      </c>
      <c r="I54" s="1"/>
      <c r="J54" s="21" t="str">
        <f aca="false">IF(B54="","",IF(H54&lt;=I54,"LOW","OK"))</f>
        <v/>
      </c>
    </row>
    <row r="55" customFormat="false" ht="15" hidden="false" customHeight="false" outlineLevel="0" collapsed="false">
      <c r="A55" s="1"/>
      <c r="B55" s="1"/>
      <c r="C55" s="1"/>
      <c r="D55" s="1"/>
      <c r="E55" s="32" t="str">
        <f aca="false">IF(B55="","",SUMIFS(Purchases!$E$2:$E$501,Purchases!$D$2:$D$501,B55))</f>
        <v/>
      </c>
      <c r="F55" s="32" t="str">
        <f aca="false">IF(B55="","",SUMIFS('Injection Sales'!$F$2:$F$501,'Injection Sales'!$E$2:$E$501,B55)+SUMIFS('Protein Sales'!$E$2:$E$501,'Protein Sales'!$D$2:$D$501,B55))</f>
        <v/>
      </c>
      <c r="G55" s="1"/>
      <c r="H55" s="32" t="str">
        <f aca="false">IF(B55="","",N(D55)+E55-F55+N(G55))</f>
        <v/>
      </c>
      <c r="I55" s="1"/>
      <c r="J55" s="21" t="str">
        <f aca="false">IF(B55="","",IF(H55&lt;=I55,"LOW","OK"))</f>
        <v/>
      </c>
    </row>
    <row r="56" customFormat="false" ht="15" hidden="false" customHeight="false" outlineLevel="0" collapsed="false">
      <c r="A56" s="1"/>
      <c r="B56" s="1"/>
      <c r="C56" s="1"/>
      <c r="D56" s="1"/>
      <c r="E56" s="32" t="str">
        <f aca="false">IF(B56="","",SUMIFS(Purchases!$E$2:$E$501,Purchases!$D$2:$D$501,B56))</f>
        <v/>
      </c>
      <c r="F56" s="32" t="str">
        <f aca="false">IF(B56="","",SUMIFS('Injection Sales'!$F$2:$F$501,'Injection Sales'!$E$2:$E$501,B56)+SUMIFS('Protein Sales'!$E$2:$E$501,'Protein Sales'!$D$2:$D$501,B56))</f>
        <v/>
      </c>
      <c r="G56" s="1"/>
      <c r="H56" s="32" t="str">
        <f aca="false">IF(B56="","",N(D56)+E56-F56+N(G56))</f>
        <v/>
      </c>
      <c r="I56" s="1"/>
      <c r="J56" s="21" t="str">
        <f aca="false">IF(B56="","",IF(H56&lt;=I56,"LOW","OK"))</f>
        <v/>
      </c>
    </row>
    <row r="57" customFormat="false" ht="15" hidden="false" customHeight="false" outlineLevel="0" collapsed="false">
      <c r="A57" s="1"/>
      <c r="B57" s="1"/>
      <c r="C57" s="1"/>
      <c r="D57" s="1"/>
      <c r="E57" s="32" t="str">
        <f aca="false">IF(B57="","",SUMIFS(Purchases!$E$2:$E$501,Purchases!$D$2:$D$501,B57))</f>
        <v/>
      </c>
      <c r="F57" s="32" t="str">
        <f aca="false">IF(B57="","",SUMIFS('Injection Sales'!$F$2:$F$501,'Injection Sales'!$E$2:$E$501,B57)+SUMIFS('Protein Sales'!$E$2:$E$501,'Protein Sales'!$D$2:$D$501,B57))</f>
        <v/>
      </c>
      <c r="G57" s="1"/>
      <c r="H57" s="32" t="str">
        <f aca="false">IF(B57="","",N(D57)+E57-F57+N(G57))</f>
        <v/>
      </c>
      <c r="I57" s="1"/>
      <c r="J57" s="21" t="str">
        <f aca="false">IF(B57="","",IF(H57&lt;=I57,"LOW","OK"))</f>
        <v/>
      </c>
    </row>
    <row r="58" customFormat="false" ht="15" hidden="false" customHeight="false" outlineLevel="0" collapsed="false">
      <c r="A58" s="1"/>
      <c r="B58" s="1"/>
      <c r="C58" s="1"/>
      <c r="D58" s="1"/>
      <c r="E58" s="32" t="str">
        <f aca="false">IF(B58="","",SUMIFS(Purchases!$E$2:$E$501,Purchases!$D$2:$D$501,B58))</f>
        <v/>
      </c>
      <c r="F58" s="32" t="str">
        <f aca="false">IF(B58="","",SUMIFS('Injection Sales'!$F$2:$F$501,'Injection Sales'!$E$2:$E$501,B58)+SUMIFS('Protein Sales'!$E$2:$E$501,'Protein Sales'!$D$2:$D$501,B58))</f>
        <v/>
      </c>
      <c r="G58" s="1"/>
      <c r="H58" s="32" t="str">
        <f aca="false">IF(B58="","",N(D58)+E58-F58+N(G58))</f>
        <v/>
      </c>
      <c r="I58" s="1"/>
      <c r="J58" s="21" t="str">
        <f aca="false">IF(B58="","",IF(H58&lt;=I58,"LOW","OK"))</f>
        <v/>
      </c>
    </row>
    <row r="59" customFormat="false" ht="15" hidden="false" customHeight="false" outlineLevel="0" collapsed="false">
      <c r="A59" s="1"/>
      <c r="B59" s="1"/>
      <c r="C59" s="1"/>
      <c r="D59" s="1"/>
      <c r="E59" s="32" t="str">
        <f aca="false">IF(B59="","",SUMIFS(Purchases!$E$2:$E$501,Purchases!$D$2:$D$501,B59))</f>
        <v/>
      </c>
      <c r="F59" s="32" t="str">
        <f aca="false">IF(B59="","",SUMIFS('Injection Sales'!$F$2:$F$501,'Injection Sales'!$E$2:$E$501,B59)+SUMIFS('Protein Sales'!$E$2:$E$501,'Protein Sales'!$D$2:$D$501,B59))</f>
        <v/>
      </c>
      <c r="G59" s="1"/>
      <c r="H59" s="32" t="str">
        <f aca="false">IF(B59="","",N(D59)+E59-F59+N(G59))</f>
        <v/>
      </c>
      <c r="I59" s="1"/>
      <c r="J59" s="21" t="str">
        <f aca="false">IF(B59="","",IF(H59&lt;=I59,"LOW","OK"))</f>
        <v/>
      </c>
    </row>
    <row r="60" customFormat="false" ht="15" hidden="false" customHeight="false" outlineLevel="0" collapsed="false">
      <c r="A60" s="1"/>
      <c r="B60" s="1"/>
      <c r="C60" s="1"/>
      <c r="D60" s="1"/>
      <c r="E60" s="32" t="str">
        <f aca="false">IF(B60="","",SUMIFS(Purchases!$E$2:$E$501,Purchases!$D$2:$D$501,B60))</f>
        <v/>
      </c>
      <c r="F60" s="32" t="str">
        <f aca="false">IF(B60="","",SUMIFS('Injection Sales'!$F$2:$F$501,'Injection Sales'!$E$2:$E$501,B60)+SUMIFS('Protein Sales'!$E$2:$E$501,'Protein Sales'!$D$2:$D$501,B60))</f>
        <v/>
      </c>
      <c r="G60" s="1"/>
      <c r="H60" s="32" t="str">
        <f aca="false">IF(B60="","",N(D60)+E60-F60+N(G60))</f>
        <v/>
      </c>
      <c r="I60" s="1"/>
      <c r="J60" s="21" t="str">
        <f aca="false">IF(B60="","",IF(H60&lt;=I60,"LOW","OK"))</f>
        <v/>
      </c>
    </row>
    <row r="61" customFormat="false" ht="15" hidden="false" customHeight="false" outlineLevel="0" collapsed="false">
      <c r="A61" s="1"/>
      <c r="B61" s="1"/>
      <c r="C61" s="1"/>
      <c r="D61" s="1"/>
      <c r="E61" s="32" t="str">
        <f aca="false">IF(B61="","",SUMIFS(Purchases!$E$2:$E$501,Purchases!$D$2:$D$501,B61))</f>
        <v/>
      </c>
      <c r="F61" s="32" t="str">
        <f aca="false">IF(B61="","",SUMIFS('Injection Sales'!$F$2:$F$501,'Injection Sales'!$E$2:$E$501,B61)+SUMIFS('Protein Sales'!$E$2:$E$501,'Protein Sales'!$D$2:$D$501,B61))</f>
        <v/>
      </c>
      <c r="G61" s="1"/>
      <c r="H61" s="32" t="str">
        <f aca="false">IF(B61="","",N(D61)+E61-F61+N(G61))</f>
        <v/>
      </c>
      <c r="I61" s="1"/>
      <c r="J61" s="21" t="str">
        <f aca="false">IF(B61="","",IF(H61&lt;=I61,"LOW","OK"))</f>
        <v/>
      </c>
    </row>
    <row r="62" customFormat="false" ht="15" hidden="false" customHeight="false" outlineLevel="0" collapsed="false">
      <c r="A62" s="1"/>
      <c r="B62" s="1"/>
      <c r="C62" s="1"/>
      <c r="D62" s="1"/>
      <c r="E62" s="32" t="str">
        <f aca="false">IF(B62="","",SUMIFS(Purchases!$E$2:$E$501,Purchases!$D$2:$D$501,B62))</f>
        <v/>
      </c>
      <c r="F62" s="32" t="str">
        <f aca="false">IF(B62="","",SUMIFS('Injection Sales'!$F$2:$F$501,'Injection Sales'!$E$2:$E$501,B62)+SUMIFS('Protein Sales'!$E$2:$E$501,'Protein Sales'!$D$2:$D$501,B62))</f>
        <v/>
      </c>
      <c r="G62" s="1"/>
      <c r="H62" s="32" t="str">
        <f aca="false">IF(B62="","",N(D62)+E62-F62+N(G62))</f>
        <v/>
      </c>
      <c r="I62" s="1"/>
      <c r="J62" s="21" t="str">
        <f aca="false">IF(B62="","",IF(H62&lt;=I62,"LOW","OK"))</f>
        <v/>
      </c>
    </row>
    <row r="63" customFormat="false" ht="15" hidden="false" customHeight="false" outlineLevel="0" collapsed="false">
      <c r="A63" s="1"/>
      <c r="B63" s="1"/>
      <c r="C63" s="1"/>
      <c r="D63" s="1"/>
      <c r="E63" s="32" t="str">
        <f aca="false">IF(B63="","",SUMIFS(Purchases!$E$2:$E$501,Purchases!$D$2:$D$501,B63))</f>
        <v/>
      </c>
      <c r="F63" s="32" t="str">
        <f aca="false">IF(B63="","",SUMIFS('Injection Sales'!$F$2:$F$501,'Injection Sales'!$E$2:$E$501,B63)+SUMIFS('Protein Sales'!$E$2:$E$501,'Protein Sales'!$D$2:$D$501,B63))</f>
        <v/>
      </c>
      <c r="G63" s="1"/>
      <c r="H63" s="32" t="str">
        <f aca="false">IF(B63="","",N(D63)+E63-F63+N(G63))</f>
        <v/>
      </c>
      <c r="I63" s="1"/>
      <c r="J63" s="21" t="str">
        <f aca="false">IF(B63="","",IF(H63&lt;=I63,"LOW","OK"))</f>
        <v/>
      </c>
    </row>
    <row r="64" customFormat="false" ht="15" hidden="false" customHeight="false" outlineLevel="0" collapsed="false">
      <c r="A64" s="1"/>
      <c r="B64" s="1"/>
      <c r="C64" s="1"/>
      <c r="D64" s="1"/>
      <c r="E64" s="32" t="str">
        <f aca="false">IF(B64="","",SUMIFS(Purchases!$E$2:$E$501,Purchases!$D$2:$D$501,B64))</f>
        <v/>
      </c>
      <c r="F64" s="32" t="str">
        <f aca="false">IF(B64="","",SUMIFS('Injection Sales'!$F$2:$F$501,'Injection Sales'!$E$2:$E$501,B64)+SUMIFS('Protein Sales'!$E$2:$E$501,'Protein Sales'!$D$2:$D$501,B64))</f>
        <v/>
      </c>
      <c r="G64" s="1"/>
      <c r="H64" s="32" t="str">
        <f aca="false">IF(B64="","",N(D64)+E64-F64+N(G64))</f>
        <v/>
      </c>
      <c r="I64" s="1"/>
      <c r="J64" s="21" t="str">
        <f aca="false">IF(B64="","",IF(H64&lt;=I64,"LOW","OK"))</f>
        <v/>
      </c>
    </row>
    <row r="65" customFormat="false" ht="15" hidden="false" customHeight="false" outlineLevel="0" collapsed="false">
      <c r="A65" s="1"/>
      <c r="B65" s="1"/>
      <c r="C65" s="1"/>
      <c r="D65" s="1"/>
      <c r="E65" s="32" t="str">
        <f aca="false">IF(B65="","",SUMIFS(Purchases!$E$2:$E$501,Purchases!$D$2:$D$501,B65))</f>
        <v/>
      </c>
      <c r="F65" s="32" t="str">
        <f aca="false">IF(B65="","",SUMIFS('Injection Sales'!$F$2:$F$501,'Injection Sales'!$E$2:$E$501,B65)+SUMIFS('Protein Sales'!$E$2:$E$501,'Protein Sales'!$D$2:$D$501,B65))</f>
        <v/>
      </c>
      <c r="G65" s="1"/>
      <c r="H65" s="32" t="str">
        <f aca="false">IF(B65="","",N(D65)+E65-F65+N(G65))</f>
        <v/>
      </c>
      <c r="I65" s="1"/>
      <c r="J65" s="21" t="str">
        <f aca="false">IF(B65="","",IF(H65&lt;=I65,"LOW","OK"))</f>
        <v/>
      </c>
    </row>
    <row r="66" customFormat="false" ht="15" hidden="false" customHeight="false" outlineLevel="0" collapsed="false">
      <c r="A66" s="1"/>
      <c r="B66" s="1"/>
      <c r="C66" s="1"/>
      <c r="D66" s="1"/>
      <c r="E66" s="32" t="str">
        <f aca="false">IF(B66="","",SUMIFS(Purchases!$E$2:$E$501,Purchases!$D$2:$D$501,B66))</f>
        <v/>
      </c>
      <c r="F66" s="32" t="str">
        <f aca="false">IF(B66="","",SUMIFS('Injection Sales'!$F$2:$F$501,'Injection Sales'!$E$2:$E$501,B66)+SUMIFS('Protein Sales'!$E$2:$E$501,'Protein Sales'!$D$2:$D$501,B66))</f>
        <v/>
      </c>
      <c r="G66" s="1"/>
      <c r="H66" s="32" t="str">
        <f aca="false">IF(B66="","",N(D66)+E66-F66+N(G66))</f>
        <v/>
      </c>
      <c r="I66" s="1"/>
      <c r="J66" s="21" t="str">
        <f aca="false">IF(B66="","",IF(H66&lt;=I66,"LOW","OK"))</f>
        <v/>
      </c>
    </row>
    <row r="67" customFormat="false" ht="15" hidden="false" customHeight="false" outlineLevel="0" collapsed="false">
      <c r="A67" s="1"/>
      <c r="B67" s="1"/>
      <c r="C67" s="1"/>
      <c r="D67" s="1"/>
      <c r="E67" s="32" t="str">
        <f aca="false">IF(B67="","",SUMIFS(Purchases!$E$2:$E$501,Purchases!$D$2:$D$501,B67))</f>
        <v/>
      </c>
      <c r="F67" s="32" t="str">
        <f aca="false">IF(B67="","",SUMIFS('Injection Sales'!$F$2:$F$501,'Injection Sales'!$E$2:$E$501,B67)+SUMIFS('Protein Sales'!$E$2:$E$501,'Protein Sales'!$D$2:$D$501,B67))</f>
        <v/>
      </c>
      <c r="G67" s="1"/>
      <c r="H67" s="32" t="str">
        <f aca="false">IF(B67="","",N(D67)+E67-F67+N(G67))</f>
        <v/>
      </c>
      <c r="I67" s="1"/>
      <c r="J67" s="21" t="str">
        <f aca="false">IF(B67="","",IF(H67&lt;=I67,"LOW","OK"))</f>
        <v/>
      </c>
    </row>
    <row r="68" customFormat="false" ht="15" hidden="false" customHeight="false" outlineLevel="0" collapsed="false">
      <c r="A68" s="1"/>
      <c r="B68" s="1"/>
      <c r="C68" s="1"/>
      <c r="D68" s="1"/>
      <c r="E68" s="32" t="str">
        <f aca="false">IF(B68="","",SUMIFS(Purchases!$E$2:$E$501,Purchases!$D$2:$D$501,B68))</f>
        <v/>
      </c>
      <c r="F68" s="32" t="str">
        <f aca="false">IF(B68="","",SUMIFS('Injection Sales'!$F$2:$F$501,'Injection Sales'!$E$2:$E$501,B68)+SUMIFS('Protein Sales'!$E$2:$E$501,'Protein Sales'!$D$2:$D$501,B68))</f>
        <v/>
      </c>
      <c r="G68" s="1"/>
      <c r="H68" s="32" t="str">
        <f aca="false">IF(B68="","",N(D68)+E68-F68+N(G68))</f>
        <v/>
      </c>
      <c r="I68" s="1"/>
      <c r="J68" s="21" t="str">
        <f aca="false">IF(B68="","",IF(H68&lt;=I68,"LOW","OK"))</f>
        <v/>
      </c>
    </row>
    <row r="69" customFormat="false" ht="15" hidden="false" customHeight="false" outlineLevel="0" collapsed="false">
      <c r="A69" s="1"/>
      <c r="B69" s="1"/>
      <c r="C69" s="1"/>
      <c r="D69" s="1"/>
      <c r="E69" s="32" t="str">
        <f aca="false">IF(B69="","",SUMIFS(Purchases!$E$2:$E$501,Purchases!$D$2:$D$501,B69))</f>
        <v/>
      </c>
      <c r="F69" s="32" t="str">
        <f aca="false">IF(B69="","",SUMIFS('Injection Sales'!$F$2:$F$501,'Injection Sales'!$E$2:$E$501,B69)+SUMIFS('Protein Sales'!$E$2:$E$501,'Protein Sales'!$D$2:$D$501,B69))</f>
        <v/>
      </c>
      <c r="G69" s="1"/>
      <c r="H69" s="32" t="str">
        <f aca="false">IF(B69="","",N(D69)+E69-F69+N(G69))</f>
        <v/>
      </c>
      <c r="I69" s="1"/>
      <c r="J69" s="21" t="str">
        <f aca="false">IF(B69="","",IF(H69&lt;=I69,"LOW","OK"))</f>
        <v/>
      </c>
    </row>
    <row r="70" customFormat="false" ht="15" hidden="false" customHeight="false" outlineLevel="0" collapsed="false">
      <c r="A70" s="1"/>
      <c r="B70" s="1"/>
      <c r="C70" s="1"/>
      <c r="D70" s="1"/>
      <c r="E70" s="32" t="str">
        <f aca="false">IF(B70="","",SUMIFS(Purchases!$E$2:$E$501,Purchases!$D$2:$D$501,B70))</f>
        <v/>
      </c>
      <c r="F70" s="32" t="str">
        <f aca="false">IF(B70="","",SUMIFS('Injection Sales'!$F$2:$F$501,'Injection Sales'!$E$2:$E$501,B70)+SUMIFS('Protein Sales'!$E$2:$E$501,'Protein Sales'!$D$2:$D$501,B70))</f>
        <v/>
      </c>
      <c r="G70" s="1"/>
      <c r="H70" s="32" t="str">
        <f aca="false">IF(B70="","",N(D70)+E70-F70+N(G70))</f>
        <v/>
      </c>
      <c r="I70" s="1"/>
      <c r="J70" s="21" t="str">
        <f aca="false">IF(B70="","",IF(H70&lt;=I70,"LOW","OK"))</f>
        <v/>
      </c>
    </row>
    <row r="71" customFormat="false" ht="15" hidden="false" customHeight="false" outlineLevel="0" collapsed="false">
      <c r="A71" s="1"/>
      <c r="B71" s="1"/>
      <c r="C71" s="1"/>
      <c r="D71" s="1"/>
      <c r="E71" s="32" t="str">
        <f aca="false">IF(B71="","",SUMIFS(Purchases!$E$2:$E$501,Purchases!$D$2:$D$501,B71))</f>
        <v/>
      </c>
      <c r="F71" s="32" t="str">
        <f aca="false">IF(B71="","",SUMIFS('Injection Sales'!$F$2:$F$501,'Injection Sales'!$E$2:$E$501,B71)+SUMIFS('Protein Sales'!$E$2:$E$501,'Protein Sales'!$D$2:$D$501,B71))</f>
        <v/>
      </c>
      <c r="G71" s="1"/>
      <c r="H71" s="32" t="str">
        <f aca="false">IF(B71="","",N(D71)+E71-F71+N(G71))</f>
        <v/>
      </c>
      <c r="I71" s="1"/>
      <c r="J71" s="21" t="str">
        <f aca="false">IF(B71="","",IF(H71&lt;=I71,"LOW","OK"))</f>
        <v/>
      </c>
    </row>
    <row r="72" customFormat="false" ht="15" hidden="false" customHeight="false" outlineLevel="0" collapsed="false">
      <c r="A72" s="1"/>
      <c r="B72" s="1"/>
      <c r="C72" s="1"/>
      <c r="D72" s="1"/>
      <c r="E72" s="32" t="str">
        <f aca="false">IF(B72="","",SUMIFS(Purchases!$E$2:$E$501,Purchases!$D$2:$D$501,B72))</f>
        <v/>
      </c>
      <c r="F72" s="32" t="str">
        <f aca="false">IF(B72="","",SUMIFS('Injection Sales'!$F$2:$F$501,'Injection Sales'!$E$2:$E$501,B72)+SUMIFS('Protein Sales'!$E$2:$E$501,'Protein Sales'!$D$2:$D$501,B72))</f>
        <v/>
      </c>
      <c r="G72" s="1"/>
      <c r="H72" s="32" t="str">
        <f aca="false">IF(B72="","",N(D72)+E72-F72+N(G72))</f>
        <v/>
      </c>
      <c r="I72" s="1"/>
      <c r="J72" s="21" t="str">
        <f aca="false">IF(B72="","",IF(H72&lt;=I72,"LOW","OK"))</f>
        <v/>
      </c>
    </row>
    <row r="73" customFormat="false" ht="15" hidden="false" customHeight="false" outlineLevel="0" collapsed="false">
      <c r="A73" s="1"/>
      <c r="B73" s="1"/>
      <c r="C73" s="1"/>
      <c r="D73" s="1"/>
      <c r="E73" s="32" t="str">
        <f aca="false">IF(B73="","",SUMIFS(Purchases!$E$2:$E$501,Purchases!$D$2:$D$501,B73))</f>
        <v/>
      </c>
      <c r="F73" s="32" t="str">
        <f aca="false">IF(B73="","",SUMIFS('Injection Sales'!$F$2:$F$501,'Injection Sales'!$E$2:$E$501,B73)+SUMIFS('Protein Sales'!$E$2:$E$501,'Protein Sales'!$D$2:$D$501,B73))</f>
        <v/>
      </c>
      <c r="G73" s="1"/>
      <c r="H73" s="32" t="str">
        <f aca="false">IF(B73="","",N(D73)+E73-F73+N(G73))</f>
        <v/>
      </c>
      <c r="I73" s="1"/>
      <c r="J73" s="21" t="str">
        <f aca="false">IF(B73="","",IF(H73&lt;=I73,"LOW","OK"))</f>
        <v/>
      </c>
    </row>
    <row r="74" customFormat="false" ht="15" hidden="false" customHeight="false" outlineLevel="0" collapsed="false">
      <c r="A74" s="1"/>
      <c r="B74" s="1"/>
      <c r="C74" s="1"/>
      <c r="D74" s="1"/>
      <c r="E74" s="32" t="str">
        <f aca="false">IF(B74="","",SUMIFS(Purchases!$E$2:$E$501,Purchases!$D$2:$D$501,B74))</f>
        <v/>
      </c>
      <c r="F74" s="32" t="str">
        <f aca="false">IF(B74="","",SUMIFS('Injection Sales'!$F$2:$F$501,'Injection Sales'!$E$2:$E$501,B74)+SUMIFS('Protein Sales'!$E$2:$E$501,'Protein Sales'!$D$2:$D$501,B74))</f>
        <v/>
      </c>
      <c r="G74" s="1"/>
      <c r="H74" s="32" t="str">
        <f aca="false">IF(B74="","",N(D74)+E74-F74+N(G74))</f>
        <v/>
      </c>
      <c r="I74" s="1"/>
      <c r="J74" s="21" t="str">
        <f aca="false">IF(B74="","",IF(H74&lt;=I74,"LOW","OK"))</f>
        <v/>
      </c>
    </row>
    <row r="75" customFormat="false" ht="15" hidden="false" customHeight="false" outlineLevel="0" collapsed="false">
      <c r="A75" s="1"/>
      <c r="B75" s="1"/>
      <c r="C75" s="1"/>
      <c r="D75" s="1"/>
      <c r="E75" s="32" t="str">
        <f aca="false">IF(B75="","",SUMIFS(Purchases!$E$2:$E$501,Purchases!$D$2:$D$501,B75))</f>
        <v/>
      </c>
      <c r="F75" s="32" t="str">
        <f aca="false">IF(B75="","",SUMIFS('Injection Sales'!$F$2:$F$501,'Injection Sales'!$E$2:$E$501,B75)+SUMIFS('Protein Sales'!$E$2:$E$501,'Protein Sales'!$D$2:$D$501,B75))</f>
        <v/>
      </c>
      <c r="G75" s="1"/>
      <c r="H75" s="32" t="str">
        <f aca="false">IF(B75="","",N(D75)+E75-F75+N(G75))</f>
        <v/>
      </c>
      <c r="I75" s="1"/>
      <c r="J75" s="21" t="str">
        <f aca="false">IF(B75="","",IF(H75&lt;=I75,"LOW","OK"))</f>
        <v/>
      </c>
    </row>
    <row r="76" customFormat="false" ht="15" hidden="false" customHeight="false" outlineLevel="0" collapsed="false">
      <c r="A76" s="1"/>
      <c r="B76" s="1"/>
      <c r="C76" s="1"/>
      <c r="D76" s="1"/>
      <c r="E76" s="32" t="str">
        <f aca="false">IF(B76="","",SUMIFS(Purchases!$E$2:$E$501,Purchases!$D$2:$D$501,B76))</f>
        <v/>
      </c>
      <c r="F76" s="32" t="str">
        <f aca="false">IF(B76="","",SUMIFS('Injection Sales'!$F$2:$F$501,'Injection Sales'!$E$2:$E$501,B76)+SUMIFS('Protein Sales'!$E$2:$E$501,'Protein Sales'!$D$2:$D$501,B76))</f>
        <v/>
      </c>
      <c r="G76" s="1"/>
      <c r="H76" s="32" t="str">
        <f aca="false">IF(B76="","",N(D76)+E76-F76+N(G76))</f>
        <v/>
      </c>
      <c r="I76" s="1"/>
      <c r="J76" s="21" t="str">
        <f aca="false">IF(B76="","",IF(H76&lt;=I76,"LOW","OK"))</f>
        <v/>
      </c>
    </row>
    <row r="77" customFormat="false" ht="15" hidden="false" customHeight="false" outlineLevel="0" collapsed="false">
      <c r="A77" s="1"/>
      <c r="B77" s="1"/>
      <c r="C77" s="1"/>
      <c r="D77" s="1"/>
      <c r="E77" s="32" t="str">
        <f aca="false">IF(B77="","",SUMIFS(Purchases!$E$2:$E$501,Purchases!$D$2:$D$501,B77))</f>
        <v/>
      </c>
      <c r="F77" s="32" t="str">
        <f aca="false">IF(B77="","",SUMIFS('Injection Sales'!$F$2:$F$501,'Injection Sales'!$E$2:$E$501,B77)+SUMIFS('Protein Sales'!$E$2:$E$501,'Protein Sales'!$D$2:$D$501,B77))</f>
        <v/>
      </c>
      <c r="G77" s="1"/>
      <c r="H77" s="32" t="str">
        <f aca="false">IF(B77="","",N(D77)+E77-F77+N(G77))</f>
        <v/>
      </c>
      <c r="I77" s="1"/>
      <c r="J77" s="21" t="str">
        <f aca="false">IF(B77="","",IF(H77&lt;=I77,"LOW","OK"))</f>
        <v/>
      </c>
    </row>
    <row r="78" customFormat="false" ht="15" hidden="false" customHeight="false" outlineLevel="0" collapsed="false">
      <c r="A78" s="1"/>
      <c r="B78" s="1"/>
      <c r="C78" s="1"/>
      <c r="D78" s="1"/>
      <c r="E78" s="32" t="str">
        <f aca="false">IF(B78="","",SUMIFS(Purchases!$E$2:$E$501,Purchases!$D$2:$D$501,B78))</f>
        <v/>
      </c>
      <c r="F78" s="32" t="str">
        <f aca="false">IF(B78="","",SUMIFS('Injection Sales'!$F$2:$F$501,'Injection Sales'!$E$2:$E$501,B78)+SUMIFS('Protein Sales'!$E$2:$E$501,'Protein Sales'!$D$2:$D$501,B78))</f>
        <v/>
      </c>
      <c r="G78" s="1"/>
      <c r="H78" s="32" t="str">
        <f aca="false">IF(B78="","",N(D78)+E78-F78+N(G78))</f>
        <v/>
      </c>
      <c r="I78" s="1"/>
      <c r="J78" s="21" t="str">
        <f aca="false">IF(B78="","",IF(H78&lt;=I78,"LOW","OK"))</f>
        <v/>
      </c>
    </row>
    <row r="79" customFormat="false" ht="15" hidden="false" customHeight="false" outlineLevel="0" collapsed="false">
      <c r="A79" s="1"/>
      <c r="B79" s="1"/>
      <c r="C79" s="1"/>
      <c r="D79" s="1"/>
      <c r="E79" s="32" t="str">
        <f aca="false">IF(B79="","",SUMIFS(Purchases!$E$2:$E$501,Purchases!$D$2:$D$501,B79))</f>
        <v/>
      </c>
      <c r="F79" s="32" t="str">
        <f aca="false">IF(B79="","",SUMIFS('Injection Sales'!$F$2:$F$501,'Injection Sales'!$E$2:$E$501,B79)+SUMIFS('Protein Sales'!$E$2:$E$501,'Protein Sales'!$D$2:$D$501,B79))</f>
        <v/>
      </c>
      <c r="G79" s="1"/>
      <c r="H79" s="32" t="str">
        <f aca="false">IF(B79="","",N(D79)+E79-F79+N(G79))</f>
        <v/>
      </c>
      <c r="I79" s="1"/>
      <c r="J79" s="21" t="str">
        <f aca="false">IF(B79="","",IF(H79&lt;=I79,"LOW","OK"))</f>
        <v/>
      </c>
    </row>
    <row r="80" customFormat="false" ht="15" hidden="false" customHeight="false" outlineLevel="0" collapsed="false">
      <c r="A80" s="1"/>
      <c r="B80" s="1"/>
      <c r="C80" s="1"/>
      <c r="D80" s="1"/>
      <c r="E80" s="32" t="str">
        <f aca="false">IF(B80="","",SUMIFS(Purchases!$E$2:$E$501,Purchases!$D$2:$D$501,B80))</f>
        <v/>
      </c>
      <c r="F80" s="32" t="str">
        <f aca="false">IF(B80="","",SUMIFS('Injection Sales'!$F$2:$F$501,'Injection Sales'!$E$2:$E$501,B80)+SUMIFS('Protein Sales'!$E$2:$E$501,'Protein Sales'!$D$2:$D$501,B80))</f>
        <v/>
      </c>
      <c r="G80" s="1"/>
      <c r="H80" s="32" t="str">
        <f aca="false">IF(B80="","",N(D80)+E80-F80+N(G80))</f>
        <v/>
      </c>
      <c r="I80" s="1"/>
      <c r="J80" s="21" t="str">
        <f aca="false">IF(B80="","",IF(H80&lt;=I80,"LOW","OK"))</f>
        <v/>
      </c>
    </row>
    <row r="81" customFormat="false" ht="15" hidden="false" customHeight="false" outlineLevel="0" collapsed="false">
      <c r="A81" s="1"/>
      <c r="B81" s="1"/>
      <c r="C81" s="1"/>
      <c r="D81" s="1"/>
      <c r="E81" s="32" t="str">
        <f aca="false">IF(B81="","",SUMIFS(Purchases!$E$2:$E$501,Purchases!$D$2:$D$501,B81))</f>
        <v/>
      </c>
      <c r="F81" s="32" t="str">
        <f aca="false">IF(B81="","",SUMIFS('Injection Sales'!$F$2:$F$501,'Injection Sales'!$E$2:$E$501,B81)+SUMIFS('Protein Sales'!$E$2:$E$501,'Protein Sales'!$D$2:$D$501,B81))</f>
        <v/>
      </c>
      <c r="G81" s="1"/>
      <c r="H81" s="32" t="str">
        <f aca="false">IF(B81="","",N(D81)+E81-F81+N(G81))</f>
        <v/>
      </c>
      <c r="I81" s="1"/>
      <c r="J81" s="21" t="str">
        <f aca="false">IF(B81="","",IF(H81&lt;=I81,"LOW","OK"))</f>
        <v/>
      </c>
    </row>
    <row r="82" customFormat="false" ht="15" hidden="false" customHeight="false" outlineLevel="0" collapsed="false">
      <c r="A82" s="1"/>
      <c r="B82" s="1"/>
      <c r="C82" s="1"/>
      <c r="D82" s="1"/>
      <c r="E82" s="32" t="str">
        <f aca="false">IF(B82="","",SUMIFS(Purchases!$E$2:$E$501,Purchases!$D$2:$D$501,B82))</f>
        <v/>
      </c>
      <c r="F82" s="32" t="str">
        <f aca="false">IF(B82="","",SUMIFS('Injection Sales'!$F$2:$F$501,'Injection Sales'!$E$2:$E$501,B82)+SUMIFS('Protein Sales'!$E$2:$E$501,'Protein Sales'!$D$2:$D$501,B82))</f>
        <v/>
      </c>
      <c r="G82" s="1"/>
      <c r="H82" s="32" t="str">
        <f aca="false">IF(B82="","",N(D82)+E82-F82+N(G82))</f>
        <v/>
      </c>
      <c r="I82" s="1"/>
      <c r="J82" s="21" t="str">
        <f aca="false">IF(B82="","",IF(H82&lt;=I82,"LOW","OK"))</f>
        <v/>
      </c>
    </row>
    <row r="83" customFormat="false" ht="15" hidden="false" customHeight="false" outlineLevel="0" collapsed="false">
      <c r="A83" s="1"/>
      <c r="B83" s="1"/>
      <c r="C83" s="1"/>
      <c r="D83" s="1"/>
      <c r="E83" s="32" t="str">
        <f aca="false">IF(B83="","",SUMIFS(Purchases!$E$2:$E$501,Purchases!$D$2:$D$501,B83))</f>
        <v/>
      </c>
      <c r="F83" s="32" t="str">
        <f aca="false">IF(B83="","",SUMIFS('Injection Sales'!$F$2:$F$501,'Injection Sales'!$E$2:$E$501,B83)+SUMIFS('Protein Sales'!$E$2:$E$501,'Protein Sales'!$D$2:$D$501,B83))</f>
        <v/>
      </c>
      <c r="G83" s="1"/>
      <c r="H83" s="32" t="str">
        <f aca="false">IF(B83="","",N(D83)+E83-F83+N(G83))</f>
        <v/>
      </c>
      <c r="I83" s="1"/>
      <c r="J83" s="21" t="str">
        <f aca="false">IF(B83="","",IF(H83&lt;=I83,"LOW","OK"))</f>
        <v/>
      </c>
    </row>
    <row r="84" customFormat="false" ht="15" hidden="false" customHeight="false" outlineLevel="0" collapsed="false">
      <c r="A84" s="1"/>
      <c r="B84" s="1"/>
      <c r="C84" s="1"/>
      <c r="D84" s="1"/>
      <c r="E84" s="32" t="str">
        <f aca="false">IF(B84="","",SUMIFS(Purchases!$E$2:$E$501,Purchases!$D$2:$D$501,B84))</f>
        <v/>
      </c>
      <c r="F84" s="32" t="str">
        <f aca="false">IF(B84="","",SUMIFS('Injection Sales'!$F$2:$F$501,'Injection Sales'!$E$2:$E$501,B84)+SUMIFS('Protein Sales'!$E$2:$E$501,'Protein Sales'!$D$2:$D$501,B84))</f>
        <v/>
      </c>
      <c r="G84" s="1"/>
      <c r="H84" s="32" t="str">
        <f aca="false">IF(B84="","",N(D84)+E84-F84+N(G84))</f>
        <v/>
      </c>
      <c r="I84" s="1"/>
      <c r="J84" s="21" t="str">
        <f aca="false">IF(B84="","",IF(H84&lt;=I84,"LOW","OK"))</f>
        <v/>
      </c>
    </row>
    <row r="85" customFormat="false" ht="15" hidden="false" customHeight="false" outlineLevel="0" collapsed="false">
      <c r="A85" s="1"/>
      <c r="B85" s="1"/>
      <c r="C85" s="1"/>
      <c r="D85" s="1"/>
      <c r="E85" s="32" t="str">
        <f aca="false">IF(B85="","",SUMIFS(Purchases!$E$2:$E$501,Purchases!$D$2:$D$501,B85))</f>
        <v/>
      </c>
      <c r="F85" s="32" t="str">
        <f aca="false">IF(B85="","",SUMIFS('Injection Sales'!$F$2:$F$501,'Injection Sales'!$E$2:$E$501,B85)+SUMIFS('Protein Sales'!$E$2:$E$501,'Protein Sales'!$D$2:$D$501,B85))</f>
        <v/>
      </c>
      <c r="G85" s="1"/>
      <c r="H85" s="32" t="str">
        <f aca="false">IF(B85="","",N(D85)+E85-F85+N(G85))</f>
        <v/>
      </c>
      <c r="I85" s="1"/>
      <c r="J85" s="21" t="str">
        <f aca="false">IF(B85="","",IF(H85&lt;=I85,"LOW","OK"))</f>
        <v/>
      </c>
    </row>
    <row r="86" customFormat="false" ht="15" hidden="false" customHeight="false" outlineLevel="0" collapsed="false">
      <c r="A86" s="1"/>
      <c r="B86" s="1"/>
      <c r="C86" s="1"/>
      <c r="D86" s="1"/>
      <c r="E86" s="32" t="str">
        <f aca="false">IF(B86="","",SUMIFS(Purchases!$E$2:$E$501,Purchases!$D$2:$D$501,B86))</f>
        <v/>
      </c>
      <c r="F86" s="32" t="str">
        <f aca="false">IF(B86="","",SUMIFS('Injection Sales'!$F$2:$F$501,'Injection Sales'!$E$2:$E$501,B86)+SUMIFS('Protein Sales'!$E$2:$E$501,'Protein Sales'!$D$2:$D$501,B86))</f>
        <v/>
      </c>
      <c r="G86" s="1"/>
      <c r="H86" s="32" t="str">
        <f aca="false">IF(B86="","",N(D86)+E86-F86+N(G86))</f>
        <v/>
      </c>
      <c r="I86" s="1"/>
      <c r="J86" s="21" t="str">
        <f aca="false">IF(B86="","",IF(H86&lt;=I86,"LOW","OK"))</f>
        <v/>
      </c>
    </row>
    <row r="87" customFormat="false" ht="15" hidden="false" customHeight="false" outlineLevel="0" collapsed="false">
      <c r="A87" s="1"/>
      <c r="B87" s="1"/>
      <c r="C87" s="1"/>
      <c r="D87" s="1"/>
      <c r="E87" s="32" t="str">
        <f aca="false">IF(B87="","",SUMIFS(Purchases!$E$2:$E$501,Purchases!$D$2:$D$501,B87))</f>
        <v/>
      </c>
      <c r="F87" s="32" t="str">
        <f aca="false">IF(B87="","",SUMIFS('Injection Sales'!$F$2:$F$501,'Injection Sales'!$E$2:$E$501,B87)+SUMIFS('Protein Sales'!$E$2:$E$501,'Protein Sales'!$D$2:$D$501,B87))</f>
        <v/>
      </c>
      <c r="G87" s="1"/>
      <c r="H87" s="32" t="str">
        <f aca="false">IF(B87="","",N(D87)+E87-F87+N(G87))</f>
        <v/>
      </c>
      <c r="I87" s="1"/>
      <c r="J87" s="21" t="str">
        <f aca="false">IF(B87="","",IF(H87&lt;=I87,"LOW","OK"))</f>
        <v/>
      </c>
    </row>
    <row r="88" customFormat="false" ht="15" hidden="false" customHeight="false" outlineLevel="0" collapsed="false">
      <c r="A88" s="1"/>
      <c r="B88" s="1"/>
      <c r="C88" s="1"/>
      <c r="D88" s="1"/>
      <c r="E88" s="32" t="str">
        <f aca="false">IF(B88="","",SUMIFS(Purchases!$E$2:$E$501,Purchases!$D$2:$D$501,B88))</f>
        <v/>
      </c>
      <c r="F88" s="32" t="str">
        <f aca="false">IF(B88="","",SUMIFS('Injection Sales'!$F$2:$F$501,'Injection Sales'!$E$2:$E$501,B88)+SUMIFS('Protein Sales'!$E$2:$E$501,'Protein Sales'!$D$2:$D$501,B88))</f>
        <v/>
      </c>
      <c r="G88" s="1"/>
      <c r="H88" s="32" t="str">
        <f aca="false">IF(B88="","",N(D88)+E88-F88+N(G88))</f>
        <v/>
      </c>
      <c r="I88" s="1"/>
      <c r="J88" s="21" t="str">
        <f aca="false">IF(B88="","",IF(H88&lt;=I88,"LOW","OK"))</f>
        <v/>
      </c>
    </row>
    <row r="89" customFormat="false" ht="15" hidden="false" customHeight="false" outlineLevel="0" collapsed="false">
      <c r="A89" s="1"/>
      <c r="B89" s="1"/>
      <c r="C89" s="1"/>
      <c r="D89" s="1"/>
      <c r="E89" s="32" t="str">
        <f aca="false">IF(B89="","",SUMIFS(Purchases!$E$2:$E$501,Purchases!$D$2:$D$501,B89))</f>
        <v/>
      </c>
      <c r="F89" s="32" t="str">
        <f aca="false">IF(B89="","",SUMIFS('Injection Sales'!$F$2:$F$501,'Injection Sales'!$E$2:$E$501,B89)+SUMIFS('Protein Sales'!$E$2:$E$501,'Protein Sales'!$D$2:$D$501,B89))</f>
        <v/>
      </c>
      <c r="G89" s="1"/>
      <c r="H89" s="32" t="str">
        <f aca="false">IF(B89="","",N(D89)+E89-F89+N(G89))</f>
        <v/>
      </c>
      <c r="I89" s="1"/>
      <c r="J89" s="21" t="str">
        <f aca="false">IF(B89="","",IF(H89&lt;=I89,"LOW","OK"))</f>
        <v/>
      </c>
    </row>
    <row r="90" customFormat="false" ht="15" hidden="false" customHeight="false" outlineLevel="0" collapsed="false">
      <c r="A90" s="1"/>
      <c r="B90" s="1"/>
      <c r="C90" s="1"/>
      <c r="D90" s="1"/>
      <c r="E90" s="32" t="str">
        <f aca="false">IF(B90="","",SUMIFS(Purchases!$E$2:$E$501,Purchases!$D$2:$D$501,B90))</f>
        <v/>
      </c>
      <c r="F90" s="32" t="str">
        <f aca="false">IF(B90="","",SUMIFS('Injection Sales'!$F$2:$F$501,'Injection Sales'!$E$2:$E$501,B90)+SUMIFS('Protein Sales'!$E$2:$E$501,'Protein Sales'!$D$2:$D$501,B90))</f>
        <v/>
      </c>
      <c r="G90" s="1"/>
      <c r="H90" s="32" t="str">
        <f aca="false">IF(B90="","",N(D90)+E90-F90+N(G90))</f>
        <v/>
      </c>
      <c r="I90" s="1"/>
      <c r="J90" s="21" t="str">
        <f aca="false">IF(B90="","",IF(H90&lt;=I90,"LOW","OK"))</f>
        <v/>
      </c>
    </row>
    <row r="91" customFormat="false" ht="15" hidden="false" customHeight="false" outlineLevel="0" collapsed="false">
      <c r="A91" s="1"/>
      <c r="B91" s="1"/>
      <c r="C91" s="1"/>
      <c r="D91" s="1"/>
      <c r="E91" s="32" t="str">
        <f aca="false">IF(B91="","",SUMIFS(Purchases!$E$2:$E$501,Purchases!$D$2:$D$501,B91))</f>
        <v/>
      </c>
      <c r="F91" s="32" t="str">
        <f aca="false">IF(B91="","",SUMIFS('Injection Sales'!$F$2:$F$501,'Injection Sales'!$E$2:$E$501,B91)+SUMIFS('Protein Sales'!$E$2:$E$501,'Protein Sales'!$D$2:$D$501,B91))</f>
        <v/>
      </c>
      <c r="G91" s="1"/>
      <c r="H91" s="32" t="str">
        <f aca="false">IF(B91="","",N(D91)+E91-F91+N(G91))</f>
        <v/>
      </c>
      <c r="I91" s="1"/>
      <c r="J91" s="21" t="str">
        <f aca="false">IF(B91="","",IF(H91&lt;=I91,"LOW","OK"))</f>
        <v/>
      </c>
    </row>
    <row r="92" customFormat="false" ht="15" hidden="false" customHeight="false" outlineLevel="0" collapsed="false">
      <c r="A92" s="1"/>
      <c r="B92" s="1"/>
      <c r="C92" s="1"/>
      <c r="D92" s="1"/>
      <c r="E92" s="32" t="str">
        <f aca="false">IF(B92="","",SUMIFS(Purchases!$E$2:$E$501,Purchases!$D$2:$D$501,B92))</f>
        <v/>
      </c>
      <c r="F92" s="32" t="str">
        <f aca="false">IF(B92="","",SUMIFS('Injection Sales'!$F$2:$F$501,'Injection Sales'!$E$2:$E$501,B92)+SUMIFS('Protein Sales'!$E$2:$E$501,'Protein Sales'!$D$2:$D$501,B92))</f>
        <v/>
      </c>
      <c r="G92" s="1"/>
      <c r="H92" s="32" t="str">
        <f aca="false">IF(B92="","",N(D92)+E92-F92+N(G92))</f>
        <v/>
      </c>
      <c r="I92" s="1"/>
      <c r="J92" s="21" t="str">
        <f aca="false">IF(B92="","",IF(H92&lt;=I92,"LOW","OK"))</f>
        <v/>
      </c>
    </row>
    <row r="93" customFormat="false" ht="15" hidden="false" customHeight="false" outlineLevel="0" collapsed="false">
      <c r="A93" s="1"/>
      <c r="B93" s="1"/>
      <c r="C93" s="1"/>
      <c r="D93" s="1"/>
      <c r="E93" s="32" t="str">
        <f aca="false">IF(B93="","",SUMIFS(Purchases!$E$2:$E$501,Purchases!$D$2:$D$501,B93))</f>
        <v/>
      </c>
      <c r="F93" s="32" t="str">
        <f aca="false">IF(B93="","",SUMIFS('Injection Sales'!$F$2:$F$501,'Injection Sales'!$E$2:$E$501,B93)+SUMIFS('Protein Sales'!$E$2:$E$501,'Protein Sales'!$D$2:$D$501,B93))</f>
        <v/>
      </c>
      <c r="G93" s="1"/>
      <c r="H93" s="32" t="str">
        <f aca="false">IF(B93="","",N(D93)+E93-F93+N(G93))</f>
        <v/>
      </c>
      <c r="I93" s="1"/>
      <c r="J93" s="21" t="str">
        <f aca="false">IF(B93="","",IF(H93&lt;=I93,"LOW","OK"))</f>
        <v/>
      </c>
    </row>
    <row r="94" customFormat="false" ht="15" hidden="false" customHeight="false" outlineLevel="0" collapsed="false">
      <c r="A94" s="1"/>
      <c r="B94" s="1"/>
      <c r="C94" s="1"/>
      <c r="D94" s="1"/>
      <c r="E94" s="32" t="str">
        <f aca="false">IF(B94="","",SUMIFS(Purchases!$E$2:$E$501,Purchases!$D$2:$D$501,B94))</f>
        <v/>
      </c>
      <c r="F94" s="32" t="str">
        <f aca="false">IF(B94="","",SUMIFS('Injection Sales'!$F$2:$F$501,'Injection Sales'!$E$2:$E$501,B94)+SUMIFS('Protein Sales'!$E$2:$E$501,'Protein Sales'!$D$2:$D$501,B94))</f>
        <v/>
      </c>
      <c r="G94" s="1"/>
      <c r="H94" s="32" t="str">
        <f aca="false">IF(B94="","",N(D94)+E94-F94+N(G94))</f>
        <v/>
      </c>
      <c r="I94" s="1"/>
      <c r="J94" s="21" t="str">
        <f aca="false">IF(B94="","",IF(H94&lt;=I94,"LOW","OK"))</f>
        <v/>
      </c>
    </row>
    <row r="95" customFormat="false" ht="15" hidden="false" customHeight="false" outlineLevel="0" collapsed="false">
      <c r="A95" s="1"/>
      <c r="B95" s="1"/>
      <c r="C95" s="1"/>
      <c r="D95" s="1"/>
      <c r="E95" s="32" t="str">
        <f aca="false">IF(B95="","",SUMIFS(Purchases!$E$2:$E$501,Purchases!$D$2:$D$501,B95))</f>
        <v/>
      </c>
      <c r="F95" s="32" t="str">
        <f aca="false">IF(B95="","",SUMIFS('Injection Sales'!$F$2:$F$501,'Injection Sales'!$E$2:$E$501,B95)+SUMIFS('Protein Sales'!$E$2:$E$501,'Protein Sales'!$D$2:$D$501,B95))</f>
        <v/>
      </c>
      <c r="G95" s="1"/>
      <c r="H95" s="32" t="str">
        <f aca="false">IF(B95="","",N(D95)+E95-F95+N(G95))</f>
        <v/>
      </c>
      <c r="I95" s="1"/>
      <c r="J95" s="21" t="str">
        <f aca="false">IF(B95="","",IF(H95&lt;=I95,"LOW","OK"))</f>
        <v/>
      </c>
    </row>
    <row r="96" customFormat="false" ht="15" hidden="false" customHeight="false" outlineLevel="0" collapsed="false">
      <c r="A96" s="1"/>
      <c r="B96" s="1"/>
      <c r="C96" s="1"/>
      <c r="D96" s="1"/>
      <c r="E96" s="32" t="str">
        <f aca="false">IF(B96="","",SUMIFS(Purchases!$E$2:$E$501,Purchases!$D$2:$D$501,B96))</f>
        <v/>
      </c>
      <c r="F96" s="32" t="str">
        <f aca="false">IF(B96="","",SUMIFS('Injection Sales'!$F$2:$F$501,'Injection Sales'!$E$2:$E$501,B96)+SUMIFS('Protein Sales'!$E$2:$E$501,'Protein Sales'!$D$2:$D$501,B96))</f>
        <v/>
      </c>
      <c r="G96" s="1"/>
      <c r="H96" s="32" t="str">
        <f aca="false">IF(B96="","",N(D96)+E96-F96+N(G96))</f>
        <v/>
      </c>
      <c r="I96" s="1"/>
      <c r="J96" s="21" t="str">
        <f aca="false">IF(B96="","",IF(H96&lt;=I96,"LOW","OK"))</f>
        <v/>
      </c>
    </row>
    <row r="97" customFormat="false" ht="15" hidden="false" customHeight="false" outlineLevel="0" collapsed="false">
      <c r="A97" s="1"/>
      <c r="B97" s="1"/>
      <c r="C97" s="1"/>
      <c r="D97" s="1"/>
      <c r="E97" s="32" t="str">
        <f aca="false">IF(B97="","",SUMIFS(Purchases!$E$2:$E$501,Purchases!$D$2:$D$501,B97))</f>
        <v/>
      </c>
      <c r="F97" s="32" t="str">
        <f aca="false">IF(B97="","",SUMIFS('Injection Sales'!$F$2:$F$501,'Injection Sales'!$E$2:$E$501,B97)+SUMIFS('Protein Sales'!$E$2:$E$501,'Protein Sales'!$D$2:$D$501,B97))</f>
        <v/>
      </c>
      <c r="G97" s="1"/>
      <c r="H97" s="32" t="str">
        <f aca="false">IF(B97="","",N(D97)+E97-F97+N(G97))</f>
        <v/>
      </c>
      <c r="I97" s="1"/>
      <c r="J97" s="21" t="str">
        <f aca="false">IF(B97="","",IF(H97&lt;=I97,"LOW","OK"))</f>
        <v/>
      </c>
    </row>
    <row r="98" customFormat="false" ht="15" hidden="false" customHeight="false" outlineLevel="0" collapsed="false">
      <c r="A98" s="1"/>
      <c r="B98" s="1"/>
      <c r="C98" s="1"/>
      <c r="D98" s="1"/>
      <c r="E98" s="32" t="str">
        <f aca="false">IF(B98="","",SUMIFS(Purchases!$E$2:$E$501,Purchases!$D$2:$D$501,B98))</f>
        <v/>
      </c>
      <c r="F98" s="32" t="str">
        <f aca="false">IF(B98="","",SUMIFS('Injection Sales'!$F$2:$F$501,'Injection Sales'!$E$2:$E$501,B98)+SUMIFS('Protein Sales'!$E$2:$E$501,'Protein Sales'!$D$2:$D$501,B98))</f>
        <v/>
      </c>
      <c r="G98" s="1"/>
      <c r="H98" s="32" t="str">
        <f aca="false">IF(B98="","",N(D98)+E98-F98+N(G98))</f>
        <v/>
      </c>
      <c r="I98" s="1"/>
      <c r="J98" s="21" t="str">
        <f aca="false">IF(B98="","",IF(H98&lt;=I98,"LOW","OK"))</f>
        <v/>
      </c>
    </row>
    <row r="99" customFormat="false" ht="15" hidden="false" customHeight="false" outlineLevel="0" collapsed="false">
      <c r="A99" s="1"/>
      <c r="B99" s="1"/>
      <c r="C99" s="1"/>
      <c r="D99" s="1"/>
      <c r="E99" s="32" t="str">
        <f aca="false">IF(B99="","",SUMIFS(Purchases!$E$2:$E$501,Purchases!$D$2:$D$501,B99))</f>
        <v/>
      </c>
      <c r="F99" s="32" t="str">
        <f aca="false">IF(B99="","",SUMIFS('Injection Sales'!$F$2:$F$501,'Injection Sales'!$E$2:$E$501,B99)+SUMIFS('Protein Sales'!$E$2:$E$501,'Protein Sales'!$D$2:$D$501,B99))</f>
        <v/>
      </c>
      <c r="G99" s="1"/>
      <c r="H99" s="32" t="str">
        <f aca="false">IF(B99="","",N(D99)+E99-F99+N(G99))</f>
        <v/>
      </c>
      <c r="I99" s="1"/>
      <c r="J99" s="21" t="str">
        <f aca="false">IF(B99="","",IF(H99&lt;=I99,"LOW","OK"))</f>
        <v/>
      </c>
    </row>
    <row r="100" customFormat="false" ht="15" hidden="false" customHeight="false" outlineLevel="0" collapsed="false">
      <c r="A100" s="1"/>
      <c r="B100" s="1"/>
      <c r="C100" s="1"/>
      <c r="D100" s="1"/>
      <c r="E100" s="32" t="str">
        <f aca="false">IF(B100="","",SUMIFS(Purchases!$E$2:$E$501,Purchases!$D$2:$D$501,B100))</f>
        <v/>
      </c>
      <c r="F100" s="32" t="str">
        <f aca="false">IF(B100="","",SUMIFS('Injection Sales'!$F$2:$F$501,'Injection Sales'!$E$2:$E$501,B100)+SUMIFS('Protein Sales'!$E$2:$E$501,'Protein Sales'!$D$2:$D$501,B100))</f>
        <v/>
      </c>
      <c r="G100" s="1"/>
      <c r="H100" s="32" t="str">
        <f aca="false">IF(B100="","",N(D100)+E100-F100+N(G100))</f>
        <v/>
      </c>
      <c r="I100" s="1"/>
      <c r="J100" s="21" t="str">
        <f aca="false">IF(B100="","",IF(H100&lt;=I100,"LOW","OK"))</f>
        <v/>
      </c>
    </row>
    <row r="101" customFormat="false" ht="15" hidden="false" customHeight="false" outlineLevel="0" collapsed="false">
      <c r="A101" s="1"/>
      <c r="B101" s="1"/>
      <c r="C101" s="1"/>
      <c r="D101" s="1"/>
      <c r="E101" s="32" t="str">
        <f aca="false">IF(B101="","",SUMIFS(Purchases!$E$2:$E$501,Purchases!$D$2:$D$501,B101))</f>
        <v/>
      </c>
      <c r="F101" s="32" t="str">
        <f aca="false">IF(B101="","",SUMIFS('Injection Sales'!$F$2:$F$501,'Injection Sales'!$E$2:$E$501,B101)+SUMIFS('Protein Sales'!$E$2:$E$501,'Protein Sales'!$D$2:$D$501,B101))</f>
        <v/>
      </c>
      <c r="G101" s="1"/>
      <c r="H101" s="32" t="str">
        <f aca="false">IF(B101="","",N(D101)+E101-F101+N(G101))</f>
        <v/>
      </c>
      <c r="I101" s="1"/>
      <c r="J101" s="21" t="str">
        <f aca="false">IF(B101="","",IF(H101&lt;=I101,"LOW","OK"))</f>
        <v/>
      </c>
    </row>
  </sheetData>
  <conditionalFormatting sqref="J2:J101">
    <cfRule type="cellIs" priority="2" operator="equal" aboveAverage="0" equalAverage="0" bottom="0" percent="0" rank="0" text="" dxfId="2">
      <formula>"LOW"</formula>
    </cfRule>
    <cfRule type="cellIs" priority="3" operator="equal" aboveAverage="0" equalAverage="0" bottom="0" percent="0" rank="0" text="" dxfId="1">
      <formula>"OK"</formula>
    </cfRule>
  </conditionalFormatting>
  <dataValidations count="1">
    <dataValidation allowBlank="true" error="Choose a value from the list" errorStyle="stop" errorTitle="Invalid entry" operator="between" showDropDown="false" showErrorMessage="false" showInputMessage="false" sqref="A2:A101" type="list">
      <formula1>Settings!$J$13:$J$32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5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45</v>
      </c>
    </row>
    <row r="2" customFormat="false" ht="15" hidden="false" customHeight="false" outlineLevel="0" collapsed="false">
      <c r="A2" s="16" t="s">
        <v>62</v>
      </c>
      <c r="B2" s="16" t="s">
        <v>116</v>
      </c>
      <c r="C2" s="17" t="s">
        <v>47</v>
      </c>
      <c r="D2" s="25" t="n">
        <v>25000</v>
      </c>
      <c r="E2" s="16" t="s">
        <v>117</v>
      </c>
      <c r="F2" s="23" t="n">
        <v>46023</v>
      </c>
      <c r="G2" s="16" t="s">
        <v>118</v>
      </c>
    </row>
    <row r="3" customFormat="false" ht="15" hidden="false" customHeight="false" outlineLevel="0" collapsed="false">
      <c r="A3" s="1"/>
      <c r="B3" s="1"/>
      <c r="C3" s="22"/>
      <c r="D3" s="28"/>
      <c r="E3" s="1"/>
      <c r="F3" s="27"/>
      <c r="G3" s="1"/>
    </row>
    <row r="4" customFormat="false" ht="15" hidden="false" customHeight="false" outlineLevel="0" collapsed="false">
      <c r="A4" s="1"/>
      <c r="B4" s="1"/>
      <c r="C4" s="22"/>
      <c r="D4" s="28"/>
      <c r="E4" s="1"/>
      <c r="F4" s="27"/>
      <c r="G4" s="1"/>
    </row>
    <row r="5" customFormat="false" ht="15" hidden="false" customHeight="false" outlineLevel="0" collapsed="false">
      <c r="A5" s="1"/>
      <c r="B5" s="1"/>
      <c r="C5" s="22"/>
      <c r="D5" s="28"/>
      <c r="E5" s="1"/>
      <c r="F5" s="27"/>
      <c r="G5" s="1"/>
    </row>
    <row r="6" customFormat="false" ht="15" hidden="false" customHeight="false" outlineLevel="0" collapsed="false">
      <c r="A6" s="1"/>
      <c r="B6" s="1"/>
      <c r="C6" s="22"/>
      <c r="D6" s="28"/>
      <c r="E6" s="1"/>
      <c r="F6" s="27"/>
      <c r="G6" s="1"/>
    </row>
    <row r="7" customFormat="false" ht="15" hidden="false" customHeight="false" outlineLevel="0" collapsed="false">
      <c r="A7" s="1"/>
      <c r="B7" s="1"/>
      <c r="C7" s="22"/>
      <c r="D7" s="28"/>
      <c r="E7" s="1"/>
      <c r="F7" s="27"/>
      <c r="G7" s="1"/>
    </row>
    <row r="8" customFormat="false" ht="15" hidden="false" customHeight="false" outlineLevel="0" collapsed="false">
      <c r="A8" s="1"/>
      <c r="B8" s="1"/>
      <c r="C8" s="22"/>
      <c r="D8" s="28"/>
      <c r="E8" s="1"/>
      <c r="F8" s="27"/>
      <c r="G8" s="1"/>
    </row>
    <row r="9" customFormat="false" ht="15" hidden="false" customHeight="false" outlineLevel="0" collapsed="false">
      <c r="A9" s="1"/>
      <c r="B9" s="1"/>
      <c r="C9" s="22"/>
      <c r="D9" s="28"/>
      <c r="E9" s="1"/>
      <c r="F9" s="27"/>
      <c r="G9" s="1"/>
    </row>
    <row r="10" customFormat="false" ht="15" hidden="false" customHeight="false" outlineLevel="0" collapsed="false">
      <c r="A10" s="1"/>
      <c r="B10" s="1"/>
      <c r="C10" s="22"/>
      <c r="D10" s="28"/>
      <c r="E10" s="1"/>
      <c r="F10" s="27"/>
      <c r="G10" s="1"/>
    </row>
    <row r="11" customFormat="false" ht="15" hidden="false" customHeight="false" outlineLevel="0" collapsed="false">
      <c r="A11" s="1"/>
      <c r="B11" s="1"/>
      <c r="C11" s="22"/>
      <c r="D11" s="28"/>
      <c r="E11" s="1"/>
      <c r="F11" s="27"/>
      <c r="G11" s="1"/>
    </row>
    <row r="12" customFormat="false" ht="15" hidden="false" customHeight="false" outlineLevel="0" collapsed="false">
      <c r="A12" s="1"/>
      <c r="B12" s="1"/>
      <c r="C12" s="22"/>
      <c r="D12" s="28"/>
      <c r="E12" s="1"/>
      <c r="F12" s="27"/>
      <c r="G12" s="1"/>
    </row>
    <row r="13" customFormat="false" ht="15" hidden="false" customHeight="false" outlineLevel="0" collapsed="false">
      <c r="A13" s="1"/>
      <c r="B13" s="1"/>
      <c r="C13" s="22"/>
      <c r="D13" s="28"/>
      <c r="E13" s="1"/>
      <c r="F13" s="27"/>
      <c r="G13" s="1"/>
    </row>
    <row r="14" customFormat="false" ht="15" hidden="false" customHeight="false" outlineLevel="0" collapsed="false">
      <c r="A14" s="1"/>
      <c r="B14" s="1"/>
      <c r="C14" s="22"/>
      <c r="D14" s="28"/>
      <c r="E14" s="1"/>
      <c r="F14" s="27"/>
      <c r="G14" s="1"/>
    </row>
    <row r="15" customFormat="false" ht="15" hidden="false" customHeight="false" outlineLevel="0" collapsed="false">
      <c r="A15" s="1"/>
      <c r="B15" s="1"/>
      <c r="C15" s="22"/>
      <c r="D15" s="28"/>
      <c r="E15" s="1"/>
      <c r="F15" s="27"/>
      <c r="G15" s="1"/>
    </row>
    <row r="16" customFormat="false" ht="15" hidden="false" customHeight="false" outlineLevel="0" collapsed="false">
      <c r="A16" s="1"/>
      <c r="B16" s="1"/>
      <c r="C16" s="22"/>
      <c r="D16" s="28"/>
      <c r="E16" s="1"/>
      <c r="F16" s="27"/>
      <c r="G16" s="1"/>
    </row>
    <row r="17" customFormat="false" ht="15" hidden="false" customHeight="false" outlineLevel="0" collapsed="false">
      <c r="A17" s="1"/>
      <c r="B17" s="1"/>
      <c r="C17" s="22"/>
      <c r="D17" s="28"/>
      <c r="E17" s="1"/>
      <c r="F17" s="27"/>
      <c r="G17" s="1"/>
    </row>
    <row r="18" customFormat="false" ht="15" hidden="false" customHeight="false" outlineLevel="0" collapsed="false">
      <c r="A18" s="1"/>
      <c r="B18" s="1"/>
      <c r="C18" s="22"/>
      <c r="D18" s="28"/>
      <c r="E18" s="1"/>
      <c r="F18" s="27"/>
      <c r="G18" s="1"/>
    </row>
    <row r="19" customFormat="false" ht="15" hidden="false" customHeight="false" outlineLevel="0" collapsed="false">
      <c r="A19" s="1"/>
      <c r="B19" s="1"/>
      <c r="C19" s="22"/>
      <c r="D19" s="28"/>
      <c r="E19" s="1"/>
      <c r="F19" s="27"/>
      <c r="G19" s="1"/>
    </row>
    <row r="20" customFormat="false" ht="15" hidden="false" customHeight="false" outlineLevel="0" collapsed="false">
      <c r="A20" s="1"/>
      <c r="B20" s="1"/>
      <c r="C20" s="22"/>
      <c r="D20" s="28"/>
      <c r="E20" s="1"/>
      <c r="F20" s="27"/>
      <c r="G20" s="1"/>
    </row>
    <row r="21" customFormat="false" ht="15" hidden="false" customHeight="false" outlineLevel="0" collapsed="false">
      <c r="A21" s="1"/>
      <c r="B21" s="1"/>
      <c r="C21" s="22"/>
      <c r="D21" s="28"/>
      <c r="E21" s="1"/>
      <c r="F21" s="27"/>
      <c r="G21" s="1"/>
    </row>
    <row r="22" customFormat="false" ht="15" hidden="false" customHeight="false" outlineLevel="0" collapsed="false">
      <c r="A22" s="1"/>
      <c r="B22" s="1"/>
      <c r="C22" s="22"/>
      <c r="D22" s="28"/>
      <c r="E22" s="1"/>
      <c r="F22" s="27"/>
      <c r="G22" s="1"/>
    </row>
    <row r="23" customFormat="false" ht="15" hidden="false" customHeight="false" outlineLevel="0" collapsed="false">
      <c r="A23" s="1"/>
      <c r="B23" s="1"/>
      <c r="C23" s="22"/>
      <c r="D23" s="28"/>
      <c r="E23" s="1"/>
      <c r="F23" s="27"/>
      <c r="G23" s="1"/>
    </row>
    <row r="24" customFormat="false" ht="15" hidden="false" customHeight="false" outlineLevel="0" collapsed="false">
      <c r="A24" s="1"/>
      <c r="B24" s="1"/>
      <c r="C24" s="22"/>
      <c r="D24" s="28"/>
      <c r="E24" s="1"/>
      <c r="F24" s="27"/>
      <c r="G24" s="1"/>
    </row>
    <row r="25" customFormat="false" ht="15" hidden="false" customHeight="false" outlineLevel="0" collapsed="false">
      <c r="A25" s="1"/>
      <c r="B25" s="1"/>
      <c r="C25" s="22"/>
      <c r="D25" s="28"/>
      <c r="E25" s="1"/>
      <c r="F25" s="27"/>
      <c r="G25" s="1"/>
    </row>
    <row r="26" customFormat="false" ht="15" hidden="false" customHeight="false" outlineLevel="0" collapsed="false">
      <c r="A26" s="1"/>
      <c r="B26" s="1"/>
      <c r="C26" s="22"/>
      <c r="D26" s="28"/>
      <c r="E26" s="1"/>
      <c r="F26" s="27"/>
      <c r="G26" s="1"/>
    </row>
    <row r="27" customFormat="false" ht="15" hidden="false" customHeight="false" outlineLevel="0" collapsed="false">
      <c r="A27" s="1"/>
      <c r="B27" s="1"/>
      <c r="C27" s="22"/>
      <c r="D27" s="28"/>
      <c r="E27" s="1"/>
      <c r="F27" s="27"/>
      <c r="G27" s="1"/>
    </row>
    <row r="28" customFormat="false" ht="15" hidden="false" customHeight="false" outlineLevel="0" collapsed="false">
      <c r="A28" s="1"/>
      <c r="B28" s="1"/>
      <c r="C28" s="22"/>
      <c r="D28" s="28"/>
      <c r="E28" s="1"/>
      <c r="F28" s="27"/>
      <c r="G28" s="1"/>
    </row>
    <row r="29" customFormat="false" ht="15" hidden="false" customHeight="false" outlineLevel="0" collapsed="false">
      <c r="A29" s="1"/>
      <c r="B29" s="1"/>
      <c r="C29" s="22"/>
      <c r="D29" s="28"/>
      <c r="E29" s="1"/>
      <c r="F29" s="27"/>
      <c r="G29" s="1"/>
    </row>
    <row r="30" customFormat="false" ht="15" hidden="false" customHeight="false" outlineLevel="0" collapsed="false">
      <c r="A30" s="1"/>
      <c r="B30" s="1"/>
      <c r="C30" s="22"/>
      <c r="D30" s="28"/>
      <c r="E30" s="1"/>
      <c r="F30" s="27"/>
      <c r="G30" s="1"/>
    </row>
    <row r="31" customFormat="false" ht="15" hidden="false" customHeight="false" outlineLevel="0" collapsed="false">
      <c r="A31" s="1"/>
      <c r="B31" s="1"/>
      <c r="C31" s="22"/>
      <c r="D31" s="28"/>
      <c r="E31" s="1"/>
      <c r="F31" s="27"/>
      <c r="G31" s="1"/>
    </row>
    <row r="32" customFormat="false" ht="15" hidden="false" customHeight="false" outlineLevel="0" collapsed="false">
      <c r="A32" s="1"/>
      <c r="B32" s="1"/>
      <c r="C32" s="22"/>
      <c r="D32" s="28"/>
      <c r="E32" s="1"/>
      <c r="F32" s="27"/>
      <c r="G32" s="1"/>
    </row>
    <row r="33" customFormat="false" ht="15" hidden="false" customHeight="false" outlineLevel="0" collapsed="false">
      <c r="A33" s="1"/>
      <c r="B33" s="1"/>
      <c r="C33" s="22"/>
      <c r="D33" s="28"/>
      <c r="E33" s="1"/>
      <c r="F33" s="27"/>
      <c r="G33" s="1"/>
    </row>
    <row r="34" customFormat="false" ht="15" hidden="false" customHeight="false" outlineLevel="0" collapsed="false">
      <c r="A34" s="1"/>
      <c r="B34" s="1"/>
      <c r="C34" s="22"/>
      <c r="D34" s="28"/>
      <c r="E34" s="1"/>
      <c r="F34" s="27"/>
      <c r="G34" s="1"/>
    </row>
    <row r="35" customFormat="false" ht="15" hidden="false" customHeight="false" outlineLevel="0" collapsed="false">
      <c r="A35" s="1"/>
      <c r="B35" s="1"/>
      <c r="C35" s="22"/>
      <c r="D35" s="28"/>
      <c r="E35" s="1"/>
      <c r="F35" s="27"/>
      <c r="G35" s="1"/>
    </row>
    <row r="36" customFormat="false" ht="15" hidden="false" customHeight="false" outlineLevel="0" collapsed="false">
      <c r="A36" s="1"/>
      <c r="B36" s="1"/>
      <c r="C36" s="22"/>
      <c r="D36" s="28"/>
      <c r="E36" s="1"/>
      <c r="F36" s="27"/>
      <c r="G36" s="1"/>
    </row>
    <row r="37" customFormat="false" ht="15" hidden="false" customHeight="false" outlineLevel="0" collapsed="false">
      <c r="A37" s="1"/>
      <c r="B37" s="1"/>
      <c r="C37" s="22"/>
      <c r="D37" s="28"/>
      <c r="E37" s="1"/>
      <c r="F37" s="27"/>
      <c r="G37" s="1"/>
    </row>
    <row r="38" customFormat="false" ht="15" hidden="false" customHeight="false" outlineLevel="0" collapsed="false">
      <c r="A38" s="1"/>
      <c r="B38" s="1"/>
      <c r="C38" s="22"/>
      <c r="D38" s="28"/>
      <c r="E38" s="1"/>
      <c r="F38" s="27"/>
      <c r="G38" s="1"/>
    </row>
    <row r="39" customFormat="false" ht="15" hidden="false" customHeight="false" outlineLevel="0" collapsed="false">
      <c r="A39" s="1"/>
      <c r="B39" s="1"/>
      <c r="C39" s="22"/>
      <c r="D39" s="28"/>
      <c r="E39" s="1"/>
      <c r="F39" s="27"/>
      <c r="G39" s="1"/>
    </row>
    <row r="40" customFormat="false" ht="15" hidden="false" customHeight="false" outlineLevel="0" collapsed="false">
      <c r="A40" s="1"/>
      <c r="B40" s="1"/>
      <c r="C40" s="22"/>
      <c r="D40" s="28"/>
      <c r="E40" s="1"/>
      <c r="F40" s="27"/>
      <c r="G40" s="1"/>
    </row>
    <row r="41" customFormat="false" ht="15" hidden="false" customHeight="false" outlineLevel="0" collapsed="false">
      <c r="A41" s="1"/>
      <c r="B41" s="1"/>
      <c r="C41" s="22"/>
      <c r="D41" s="28"/>
      <c r="E41" s="1"/>
      <c r="F41" s="27"/>
      <c r="G41" s="1"/>
    </row>
    <row r="42" customFormat="false" ht="15" hidden="false" customHeight="false" outlineLevel="0" collapsed="false">
      <c r="A42" s="1"/>
      <c r="B42" s="1"/>
      <c r="C42" s="22"/>
      <c r="D42" s="28"/>
      <c r="E42" s="1"/>
      <c r="F42" s="27"/>
      <c r="G42" s="1"/>
    </row>
    <row r="43" customFormat="false" ht="15" hidden="false" customHeight="false" outlineLevel="0" collapsed="false">
      <c r="A43" s="1"/>
      <c r="B43" s="1"/>
      <c r="C43" s="22"/>
      <c r="D43" s="28"/>
      <c r="E43" s="1"/>
      <c r="F43" s="27"/>
      <c r="G43" s="1"/>
    </row>
    <row r="44" customFormat="false" ht="15" hidden="false" customHeight="false" outlineLevel="0" collapsed="false">
      <c r="A44" s="1"/>
      <c r="B44" s="1"/>
      <c r="C44" s="22"/>
      <c r="D44" s="28"/>
      <c r="E44" s="1"/>
      <c r="F44" s="27"/>
      <c r="G44" s="1"/>
    </row>
    <row r="45" customFormat="false" ht="15" hidden="false" customHeight="false" outlineLevel="0" collapsed="false">
      <c r="A45" s="1"/>
      <c r="B45" s="1"/>
      <c r="C45" s="22"/>
      <c r="D45" s="28"/>
      <c r="E45" s="1"/>
      <c r="F45" s="27"/>
      <c r="G45" s="1"/>
    </row>
    <row r="46" customFormat="false" ht="15" hidden="false" customHeight="false" outlineLevel="0" collapsed="false">
      <c r="A46" s="1"/>
      <c r="B46" s="1"/>
      <c r="C46" s="22"/>
      <c r="D46" s="28"/>
      <c r="E46" s="1"/>
      <c r="F46" s="27"/>
      <c r="G46" s="1"/>
    </row>
    <row r="47" customFormat="false" ht="15" hidden="false" customHeight="false" outlineLevel="0" collapsed="false">
      <c r="A47" s="1"/>
      <c r="B47" s="1"/>
      <c r="C47" s="22"/>
      <c r="D47" s="28"/>
      <c r="E47" s="1"/>
      <c r="F47" s="27"/>
      <c r="G47" s="1"/>
    </row>
    <row r="48" customFormat="false" ht="15" hidden="false" customHeight="false" outlineLevel="0" collapsed="false">
      <c r="A48" s="1"/>
      <c r="B48" s="1"/>
      <c r="C48" s="22"/>
      <c r="D48" s="28"/>
      <c r="E48" s="1"/>
      <c r="F48" s="27"/>
      <c r="G48" s="1"/>
    </row>
    <row r="49" customFormat="false" ht="15" hidden="false" customHeight="false" outlineLevel="0" collapsed="false">
      <c r="A49" s="1"/>
      <c r="B49" s="1"/>
      <c r="C49" s="22"/>
      <c r="D49" s="28"/>
      <c r="E49" s="1"/>
      <c r="F49" s="27"/>
      <c r="G49" s="1"/>
    </row>
    <row r="50" customFormat="false" ht="15" hidden="false" customHeight="false" outlineLevel="0" collapsed="false">
      <c r="A50" s="1"/>
      <c r="B50" s="1"/>
      <c r="C50" s="22"/>
      <c r="D50" s="28"/>
      <c r="E50" s="1"/>
      <c r="F50" s="27"/>
      <c r="G50" s="1"/>
    </row>
    <row r="51" customFormat="false" ht="15" hidden="false" customHeight="false" outlineLevel="0" collapsed="false">
      <c r="A51" s="1"/>
      <c r="B51" s="1"/>
      <c r="C51" s="22"/>
      <c r="D51" s="28"/>
      <c r="E51" s="1"/>
      <c r="F51" s="27"/>
      <c r="G51" s="1"/>
    </row>
  </sheetData>
  <dataValidations count="2">
    <dataValidation allowBlank="true" error="Choose a value from the list" errorStyle="stop" errorTitle="Invalid entry" operator="between" showDropDown="false" showErrorMessage="false" showInputMessage="false" sqref="E2:E51" type="list">
      <formula1>Settings!$K$13:$K$14</formula1>
      <formula2>0</formula2>
    </dataValidation>
    <dataValidation allowBlank="true" error="Choose a value from the list" errorStyle="stop" errorTitle="Invalid entry" operator="between" showDropDown="false" showErrorMessage="false" showInputMessage="false" sqref="G2:G51" type="list">
      <formula1>Settings!$L$13:$L$14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3" t="s">
        <v>119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 t="s">
        <v>2</v>
      </c>
      <c r="B2" s="34" t="n">
        <f aca="false">Dashboard!$C$4</f>
        <v>46266</v>
      </c>
      <c r="C2" s="1" t="s">
        <v>3</v>
      </c>
      <c r="D2" s="34" t="n">
        <f aca="false">Dashboard!$C$5</f>
        <v>46295</v>
      </c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30" hidden="false" customHeight="true" outlineLevel="0" collapsed="false">
      <c r="A4" s="15" t="s">
        <v>120</v>
      </c>
      <c r="B4" s="15" t="s">
        <v>121</v>
      </c>
      <c r="C4" s="15" t="s">
        <v>122</v>
      </c>
      <c r="D4" s="15" t="s">
        <v>123</v>
      </c>
      <c r="E4" s="15" t="s">
        <v>56</v>
      </c>
      <c r="F4" s="15" t="s">
        <v>114</v>
      </c>
    </row>
    <row r="5" customFormat="false" ht="15" hidden="false" customHeight="false" outlineLevel="0" collapsed="false">
      <c r="A5" s="21" t="str">
        <f aca="false">IF(Team!A2="","",Team!A2)</f>
        <v>Murshida</v>
      </c>
      <c r="B5" s="20" t="n">
        <f aca="false">IF(A5="","",IF(F5="Off",0,SUMIFS('Injection Sales'!$M$2:$M$501,'Injection Sales'!$H$2:$H$501,$A5,'Injection Sales'!$A$2:$A$501,"&gt;="&amp;$B$2,'Injection Sales'!$A$2:$A$501,"&lt;="&amp;$D$2)+SUMIFS('Injection Sales'!$N$2:$N$501,'Injection Sales'!$I$2:$I$501,$A5,'Injection Sales'!$A$2:$A$501,"&gt;="&amp;$B$2,'Injection Sales'!$A$2:$A$501,"&lt;="&amp;$D$2)))</f>
        <v>1000</v>
      </c>
      <c r="C5" s="20" t="n">
        <f aca="false">IF(A5="","",IF(F5="Off",0,SUMIFS('Protein Sales'!$K$2:$K$501,'Protein Sales'!$G$2:$G$501,$A5,'Protein Sales'!$A$2:$A$501,"&gt;="&amp;$B$2,'Protein Sales'!$A$2:$A$501,"&lt;="&amp;$D$2)+SUMIFS('Protein Sales'!$L$2:$L$501,'Protein Sales'!$H$2:$H$501,$A5,'Protein Sales'!$A$2:$A$501,"&gt;="&amp;$B$2,'Protein Sales'!$A$2:$A$501,"&lt;="&amp;$D$2)))</f>
        <v>500</v>
      </c>
      <c r="D5" s="20" t="n">
        <f aca="false">IF(A5="","",IF(F5="Off",0,SUMIFS('Diet Support'!$K$2:$K$501,'Diet Support'!$F$2:$F$501,$A5,'Diet Support'!$A$2:$A$501,"&gt;="&amp;$B$2,'Diet Support'!$A$2:$A$501,"&lt;="&amp;$D$2)+SUMIFS('Diet Support'!$L$2:$L$501,'Diet Support'!$G$2:$G$501,$A5,'Diet Support'!$A$2:$A$501,"&gt;="&amp;$B$2,'Diet Support'!$A$2:$A$501,"&lt;="&amp;$D$2)))</f>
        <v>2000</v>
      </c>
      <c r="E5" s="20" t="n">
        <f aca="false">IF(A5="","",SUM(B5:D5))</f>
        <v>3500</v>
      </c>
      <c r="F5" s="21" t="str">
        <f aca="false">IF(A5="","",IF(Team!E2="","On",Team!E2))</f>
        <v>On</v>
      </c>
    </row>
    <row r="6" customFormat="false" ht="15" hidden="false" customHeight="false" outlineLevel="0" collapsed="false">
      <c r="A6" s="21" t="str">
        <f aca="false">IF(Team!A3="","",Team!A3)</f>
        <v/>
      </c>
      <c r="B6" s="20" t="str">
        <f aca="false">IF(A6="","",IF(F6="Off",0,SUMIFS('Injection Sales'!$M$2:$M$501,'Injection Sales'!$H$2:$H$501,$A6,'Injection Sales'!$A$2:$A$501,"&gt;="&amp;$B$2,'Injection Sales'!$A$2:$A$501,"&lt;="&amp;$D$2)+SUMIFS('Injection Sales'!$N$2:$N$501,'Injection Sales'!$I$2:$I$501,$A6,'Injection Sales'!$A$2:$A$501,"&gt;="&amp;$B$2,'Injection Sales'!$A$2:$A$501,"&lt;="&amp;$D$2)))</f>
        <v/>
      </c>
      <c r="C6" s="20" t="str">
        <f aca="false">IF(A6="","",IF(F6="Off",0,SUMIFS('Protein Sales'!$K$2:$K$501,'Protein Sales'!$G$2:$G$501,$A6,'Protein Sales'!$A$2:$A$501,"&gt;="&amp;$B$2,'Protein Sales'!$A$2:$A$501,"&lt;="&amp;$D$2)+SUMIFS('Protein Sales'!$L$2:$L$501,'Protein Sales'!$H$2:$H$501,$A6,'Protein Sales'!$A$2:$A$501,"&gt;="&amp;$B$2,'Protein Sales'!$A$2:$A$501,"&lt;="&amp;$D$2)))</f>
        <v/>
      </c>
      <c r="D6" s="20" t="str">
        <f aca="false">IF(A6="","",IF(F6="Off",0,SUMIFS('Diet Support'!$K$2:$K$501,'Diet Support'!$F$2:$F$501,$A6,'Diet Support'!$A$2:$A$501,"&gt;="&amp;$B$2,'Diet Support'!$A$2:$A$501,"&lt;="&amp;$D$2)+SUMIFS('Diet Support'!$L$2:$L$501,'Diet Support'!$G$2:$G$501,$A6,'Diet Support'!$A$2:$A$501,"&gt;="&amp;$B$2,'Diet Support'!$A$2:$A$501,"&lt;="&amp;$D$2)))</f>
        <v/>
      </c>
      <c r="E6" s="20" t="str">
        <f aca="false">IF(A6="","",SUM(B6:D6))</f>
        <v/>
      </c>
      <c r="F6" s="21" t="str">
        <f aca="false">IF(A6="","",IF(Team!E3="","On",Team!E3))</f>
        <v/>
      </c>
    </row>
    <row r="7" customFormat="false" ht="15" hidden="false" customHeight="false" outlineLevel="0" collapsed="false">
      <c r="A7" s="21" t="str">
        <f aca="false">IF(Team!A4="","",Team!A4)</f>
        <v/>
      </c>
      <c r="B7" s="20" t="str">
        <f aca="false">IF(A7="","",IF(F7="Off",0,SUMIFS('Injection Sales'!$M$2:$M$501,'Injection Sales'!$H$2:$H$501,$A7,'Injection Sales'!$A$2:$A$501,"&gt;="&amp;$B$2,'Injection Sales'!$A$2:$A$501,"&lt;="&amp;$D$2)+SUMIFS('Injection Sales'!$N$2:$N$501,'Injection Sales'!$I$2:$I$501,$A7,'Injection Sales'!$A$2:$A$501,"&gt;="&amp;$B$2,'Injection Sales'!$A$2:$A$501,"&lt;="&amp;$D$2)))</f>
        <v/>
      </c>
      <c r="C7" s="20" t="str">
        <f aca="false">IF(A7="","",IF(F7="Off",0,SUMIFS('Protein Sales'!$K$2:$K$501,'Protein Sales'!$G$2:$G$501,$A7,'Protein Sales'!$A$2:$A$501,"&gt;="&amp;$B$2,'Protein Sales'!$A$2:$A$501,"&lt;="&amp;$D$2)+SUMIFS('Protein Sales'!$L$2:$L$501,'Protein Sales'!$H$2:$H$501,$A7,'Protein Sales'!$A$2:$A$501,"&gt;="&amp;$B$2,'Protein Sales'!$A$2:$A$501,"&lt;="&amp;$D$2)))</f>
        <v/>
      </c>
      <c r="D7" s="20" t="str">
        <f aca="false">IF(A7="","",IF(F7="Off",0,SUMIFS('Diet Support'!$K$2:$K$501,'Diet Support'!$F$2:$F$501,$A7,'Diet Support'!$A$2:$A$501,"&gt;="&amp;$B$2,'Diet Support'!$A$2:$A$501,"&lt;="&amp;$D$2)+SUMIFS('Diet Support'!$L$2:$L$501,'Diet Support'!$G$2:$G$501,$A7,'Diet Support'!$A$2:$A$501,"&gt;="&amp;$B$2,'Diet Support'!$A$2:$A$501,"&lt;="&amp;$D$2)))</f>
        <v/>
      </c>
      <c r="E7" s="20" t="str">
        <f aca="false">IF(A7="","",SUM(B7:D7))</f>
        <v/>
      </c>
      <c r="F7" s="21" t="str">
        <f aca="false">IF(A7="","",IF(Team!E4="","On",Team!E4))</f>
        <v/>
      </c>
    </row>
    <row r="8" customFormat="false" ht="15" hidden="false" customHeight="false" outlineLevel="0" collapsed="false">
      <c r="A8" s="21" t="str">
        <f aca="false">IF(Team!A5="","",Team!A5)</f>
        <v/>
      </c>
      <c r="B8" s="20" t="str">
        <f aca="false">IF(A8="","",IF(F8="Off",0,SUMIFS('Injection Sales'!$M$2:$M$501,'Injection Sales'!$H$2:$H$501,$A8,'Injection Sales'!$A$2:$A$501,"&gt;="&amp;$B$2,'Injection Sales'!$A$2:$A$501,"&lt;="&amp;$D$2)+SUMIFS('Injection Sales'!$N$2:$N$501,'Injection Sales'!$I$2:$I$501,$A8,'Injection Sales'!$A$2:$A$501,"&gt;="&amp;$B$2,'Injection Sales'!$A$2:$A$501,"&lt;="&amp;$D$2)))</f>
        <v/>
      </c>
      <c r="C8" s="20" t="str">
        <f aca="false">IF(A8="","",IF(F8="Off",0,SUMIFS('Protein Sales'!$K$2:$K$501,'Protein Sales'!$G$2:$G$501,$A8,'Protein Sales'!$A$2:$A$501,"&gt;="&amp;$B$2,'Protein Sales'!$A$2:$A$501,"&lt;="&amp;$D$2)+SUMIFS('Protein Sales'!$L$2:$L$501,'Protein Sales'!$H$2:$H$501,$A8,'Protein Sales'!$A$2:$A$501,"&gt;="&amp;$B$2,'Protein Sales'!$A$2:$A$501,"&lt;="&amp;$D$2)))</f>
        <v/>
      </c>
      <c r="D8" s="20" t="str">
        <f aca="false">IF(A8="","",IF(F8="Off",0,SUMIFS('Diet Support'!$K$2:$K$501,'Diet Support'!$F$2:$F$501,$A8,'Diet Support'!$A$2:$A$501,"&gt;="&amp;$B$2,'Diet Support'!$A$2:$A$501,"&lt;="&amp;$D$2)+SUMIFS('Diet Support'!$L$2:$L$501,'Diet Support'!$G$2:$G$501,$A8,'Diet Support'!$A$2:$A$501,"&gt;="&amp;$B$2,'Diet Support'!$A$2:$A$501,"&lt;="&amp;$D$2)))</f>
        <v/>
      </c>
      <c r="E8" s="20" t="str">
        <f aca="false">IF(A8="","",SUM(B8:D8))</f>
        <v/>
      </c>
      <c r="F8" s="21" t="str">
        <f aca="false">IF(A8="","",IF(Team!E5="","On",Team!E5))</f>
        <v/>
      </c>
    </row>
    <row r="9" customFormat="false" ht="15" hidden="false" customHeight="false" outlineLevel="0" collapsed="false">
      <c r="A9" s="21" t="str">
        <f aca="false">IF(Team!A6="","",Team!A6)</f>
        <v/>
      </c>
      <c r="B9" s="20" t="str">
        <f aca="false">IF(A9="","",IF(F9="Off",0,SUMIFS('Injection Sales'!$M$2:$M$501,'Injection Sales'!$H$2:$H$501,$A9,'Injection Sales'!$A$2:$A$501,"&gt;="&amp;$B$2,'Injection Sales'!$A$2:$A$501,"&lt;="&amp;$D$2)+SUMIFS('Injection Sales'!$N$2:$N$501,'Injection Sales'!$I$2:$I$501,$A9,'Injection Sales'!$A$2:$A$501,"&gt;="&amp;$B$2,'Injection Sales'!$A$2:$A$501,"&lt;="&amp;$D$2)))</f>
        <v/>
      </c>
      <c r="C9" s="20" t="str">
        <f aca="false">IF(A9="","",IF(F9="Off",0,SUMIFS('Protein Sales'!$K$2:$K$501,'Protein Sales'!$G$2:$G$501,$A9,'Protein Sales'!$A$2:$A$501,"&gt;="&amp;$B$2,'Protein Sales'!$A$2:$A$501,"&lt;="&amp;$D$2)+SUMIFS('Protein Sales'!$L$2:$L$501,'Protein Sales'!$H$2:$H$501,$A9,'Protein Sales'!$A$2:$A$501,"&gt;="&amp;$B$2,'Protein Sales'!$A$2:$A$501,"&lt;="&amp;$D$2)))</f>
        <v/>
      </c>
      <c r="D9" s="20" t="str">
        <f aca="false">IF(A9="","",IF(F9="Off",0,SUMIFS('Diet Support'!$K$2:$K$501,'Diet Support'!$F$2:$F$501,$A9,'Diet Support'!$A$2:$A$501,"&gt;="&amp;$B$2,'Diet Support'!$A$2:$A$501,"&lt;="&amp;$D$2)+SUMIFS('Diet Support'!$L$2:$L$501,'Diet Support'!$G$2:$G$501,$A9,'Diet Support'!$A$2:$A$501,"&gt;="&amp;$B$2,'Diet Support'!$A$2:$A$501,"&lt;="&amp;$D$2)))</f>
        <v/>
      </c>
      <c r="E9" s="20" t="str">
        <f aca="false">IF(A9="","",SUM(B9:D9))</f>
        <v/>
      </c>
      <c r="F9" s="21" t="str">
        <f aca="false">IF(A9="","",IF(Team!E6="","On",Team!E6))</f>
        <v/>
      </c>
    </row>
    <row r="10" customFormat="false" ht="15" hidden="false" customHeight="false" outlineLevel="0" collapsed="false">
      <c r="A10" s="21" t="str">
        <f aca="false">IF(Team!A7="","",Team!A7)</f>
        <v/>
      </c>
      <c r="B10" s="20" t="str">
        <f aca="false">IF(A10="","",IF(F10="Off",0,SUMIFS('Injection Sales'!$M$2:$M$501,'Injection Sales'!$H$2:$H$501,$A10,'Injection Sales'!$A$2:$A$501,"&gt;="&amp;$B$2,'Injection Sales'!$A$2:$A$501,"&lt;="&amp;$D$2)+SUMIFS('Injection Sales'!$N$2:$N$501,'Injection Sales'!$I$2:$I$501,$A10,'Injection Sales'!$A$2:$A$501,"&gt;="&amp;$B$2,'Injection Sales'!$A$2:$A$501,"&lt;="&amp;$D$2)))</f>
        <v/>
      </c>
      <c r="C10" s="20" t="str">
        <f aca="false">IF(A10="","",IF(F10="Off",0,SUMIFS('Protein Sales'!$K$2:$K$501,'Protein Sales'!$G$2:$G$501,$A10,'Protein Sales'!$A$2:$A$501,"&gt;="&amp;$B$2,'Protein Sales'!$A$2:$A$501,"&lt;="&amp;$D$2)+SUMIFS('Protein Sales'!$L$2:$L$501,'Protein Sales'!$H$2:$H$501,$A10,'Protein Sales'!$A$2:$A$501,"&gt;="&amp;$B$2,'Protein Sales'!$A$2:$A$501,"&lt;="&amp;$D$2)))</f>
        <v/>
      </c>
      <c r="D10" s="20" t="str">
        <f aca="false">IF(A10="","",IF(F10="Off",0,SUMIFS('Diet Support'!$K$2:$K$501,'Diet Support'!$F$2:$F$501,$A10,'Diet Support'!$A$2:$A$501,"&gt;="&amp;$B$2,'Diet Support'!$A$2:$A$501,"&lt;="&amp;$D$2)+SUMIFS('Diet Support'!$L$2:$L$501,'Diet Support'!$G$2:$G$501,$A10,'Diet Support'!$A$2:$A$501,"&gt;="&amp;$B$2,'Diet Support'!$A$2:$A$501,"&lt;="&amp;$D$2)))</f>
        <v/>
      </c>
      <c r="E10" s="20" t="str">
        <f aca="false">IF(A10="","",SUM(B10:D10))</f>
        <v/>
      </c>
      <c r="F10" s="21" t="str">
        <f aca="false">IF(A10="","",IF(Team!E7="","On",Team!E7))</f>
        <v/>
      </c>
    </row>
    <row r="11" customFormat="false" ht="15" hidden="false" customHeight="false" outlineLevel="0" collapsed="false">
      <c r="A11" s="21" t="str">
        <f aca="false">IF(Team!A8="","",Team!A8)</f>
        <v/>
      </c>
      <c r="B11" s="20" t="str">
        <f aca="false">IF(A11="","",IF(F11="Off",0,SUMIFS('Injection Sales'!$M$2:$M$501,'Injection Sales'!$H$2:$H$501,$A11,'Injection Sales'!$A$2:$A$501,"&gt;="&amp;$B$2,'Injection Sales'!$A$2:$A$501,"&lt;="&amp;$D$2)+SUMIFS('Injection Sales'!$N$2:$N$501,'Injection Sales'!$I$2:$I$501,$A11,'Injection Sales'!$A$2:$A$501,"&gt;="&amp;$B$2,'Injection Sales'!$A$2:$A$501,"&lt;="&amp;$D$2)))</f>
        <v/>
      </c>
      <c r="C11" s="20" t="str">
        <f aca="false">IF(A11="","",IF(F11="Off",0,SUMIFS('Protein Sales'!$K$2:$K$501,'Protein Sales'!$G$2:$G$501,$A11,'Protein Sales'!$A$2:$A$501,"&gt;="&amp;$B$2,'Protein Sales'!$A$2:$A$501,"&lt;="&amp;$D$2)+SUMIFS('Protein Sales'!$L$2:$L$501,'Protein Sales'!$H$2:$H$501,$A11,'Protein Sales'!$A$2:$A$501,"&gt;="&amp;$B$2,'Protein Sales'!$A$2:$A$501,"&lt;="&amp;$D$2)))</f>
        <v/>
      </c>
      <c r="D11" s="20" t="str">
        <f aca="false">IF(A11="","",IF(F11="Off",0,SUMIFS('Diet Support'!$K$2:$K$501,'Diet Support'!$F$2:$F$501,$A11,'Diet Support'!$A$2:$A$501,"&gt;="&amp;$B$2,'Diet Support'!$A$2:$A$501,"&lt;="&amp;$D$2)+SUMIFS('Diet Support'!$L$2:$L$501,'Diet Support'!$G$2:$G$501,$A11,'Diet Support'!$A$2:$A$501,"&gt;="&amp;$B$2,'Diet Support'!$A$2:$A$501,"&lt;="&amp;$D$2)))</f>
        <v/>
      </c>
      <c r="E11" s="20" t="str">
        <f aca="false">IF(A11="","",SUM(B11:D11))</f>
        <v/>
      </c>
      <c r="F11" s="21" t="str">
        <f aca="false">IF(A11="","",IF(Team!E8="","On",Team!E8))</f>
        <v/>
      </c>
    </row>
    <row r="12" customFormat="false" ht="15" hidden="false" customHeight="false" outlineLevel="0" collapsed="false">
      <c r="A12" s="21" t="str">
        <f aca="false">IF(Team!A9="","",Team!A9)</f>
        <v/>
      </c>
      <c r="B12" s="20" t="str">
        <f aca="false">IF(A12="","",IF(F12="Off",0,SUMIFS('Injection Sales'!$M$2:$M$501,'Injection Sales'!$H$2:$H$501,$A12,'Injection Sales'!$A$2:$A$501,"&gt;="&amp;$B$2,'Injection Sales'!$A$2:$A$501,"&lt;="&amp;$D$2)+SUMIFS('Injection Sales'!$N$2:$N$501,'Injection Sales'!$I$2:$I$501,$A12,'Injection Sales'!$A$2:$A$501,"&gt;="&amp;$B$2,'Injection Sales'!$A$2:$A$501,"&lt;="&amp;$D$2)))</f>
        <v/>
      </c>
      <c r="C12" s="20" t="str">
        <f aca="false">IF(A12="","",IF(F12="Off",0,SUMIFS('Protein Sales'!$K$2:$K$501,'Protein Sales'!$G$2:$G$501,$A12,'Protein Sales'!$A$2:$A$501,"&gt;="&amp;$B$2,'Protein Sales'!$A$2:$A$501,"&lt;="&amp;$D$2)+SUMIFS('Protein Sales'!$L$2:$L$501,'Protein Sales'!$H$2:$H$501,$A12,'Protein Sales'!$A$2:$A$501,"&gt;="&amp;$B$2,'Protein Sales'!$A$2:$A$501,"&lt;="&amp;$D$2)))</f>
        <v/>
      </c>
      <c r="D12" s="20" t="str">
        <f aca="false">IF(A12="","",IF(F12="Off",0,SUMIFS('Diet Support'!$K$2:$K$501,'Diet Support'!$F$2:$F$501,$A12,'Diet Support'!$A$2:$A$501,"&gt;="&amp;$B$2,'Diet Support'!$A$2:$A$501,"&lt;="&amp;$D$2)+SUMIFS('Diet Support'!$L$2:$L$501,'Diet Support'!$G$2:$G$501,$A12,'Diet Support'!$A$2:$A$501,"&gt;="&amp;$B$2,'Diet Support'!$A$2:$A$501,"&lt;="&amp;$D$2)))</f>
        <v/>
      </c>
      <c r="E12" s="20" t="str">
        <f aca="false">IF(A12="","",SUM(B12:D12))</f>
        <v/>
      </c>
      <c r="F12" s="21" t="str">
        <f aca="false">IF(A12="","",IF(Team!E9="","On",Team!E9))</f>
        <v/>
      </c>
    </row>
    <row r="13" customFormat="false" ht="15" hidden="false" customHeight="false" outlineLevel="0" collapsed="false">
      <c r="A13" s="21" t="str">
        <f aca="false">IF(Team!A10="","",Team!A10)</f>
        <v/>
      </c>
      <c r="B13" s="20" t="str">
        <f aca="false">IF(A13="","",IF(F13="Off",0,SUMIFS('Injection Sales'!$M$2:$M$501,'Injection Sales'!$H$2:$H$501,$A13,'Injection Sales'!$A$2:$A$501,"&gt;="&amp;$B$2,'Injection Sales'!$A$2:$A$501,"&lt;="&amp;$D$2)+SUMIFS('Injection Sales'!$N$2:$N$501,'Injection Sales'!$I$2:$I$501,$A13,'Injection Sales'!$A$2:$A$501,"&gt;="&amp;$B$2,'Injection Sales'!$A$2:$A$501,"&lt;="&amp;$D$2)))</f>
        <v/>
      </c>
      <c r="C13" s="20" t="str">
        <f aca="false">IF(A13="","",IF(F13="Off",0,SUMIFS('Protein Sales'!$K$2:$K$501,'Protein Sales'!$G$2:$G$501,$A13,'Protein Sales'!$A$2:$A$501,"&gt;="&amp;$B$2,'Protein Sales'!$A$2:$A$501,"&lt;="&amp;$D$2)+SUMIFS('Protein Sales'!$L$2:$L$501,'Protein Sales'!$H$2:$H$501,$A13,'Protein Sales'!$A$2:$A$501,"&gt;="&amp;$B$2,'Protein Sales'!$A$2:$A$501,"&lt;="&amp;$D$2)))</f>
        <v/>
      </c>
      <c r="D13" s="20" t="str">
        <f aca="false">IF(A13="","",IF(F13="Off",0,SUMIFS('Diet Support'!$K$2:$K$501,'Diet Support'!$F$2:$F$501,$A13,'Diet Support'!$A$2:$A$501,"&gt;="&amp;$B$2,'Diet Support'!$A$2:$A$501,"&lt;="&amp;$D$2)+SUMIFS('Diet Support'!$L$2:$L$501,'Diet Support'!$G$2:$G$501,$A13,'Diet Support'!$A$2:$A$501,"&gt;="&amp;$B$2,'Diet Support'!$A$2:$A$501,"&lt;="&amp;$D$2)))</f>
        <v/>
      </c>
      <c r="E13" s="20" t="str">
        <f aca="false">IF(A13="","",SUM(B13:D13))</f>
        <v/>
      </c>
      <c r="F13" s="21" t="str">
        <f aca="false">IF(A13="","",IF(Team!E10="","On",Team!E10))</f>
        <v/>
      </c>
    </row>
    <row r="14" customFormat="false" ht="15" hidden="false" customHeight="false" outlineLevel="0" collapsed="false">
      <c r="A14" s="21" t="str">
        <f aca="false">IF(Team!A11="","",Team!A11)</f>
        <v/>
      </c>
      <c r="B14" s="20" t="str">
        <f aca="false">IF(A14="","",IF(F14="Off",0,SUMIFS('Injection Sales'!$M$2:$M$501,'Injection Sales'!$H$2:$H$501,$A14,'Injection Sales'!$A$2:$A$501,"&gt;="&amp;$B$2,'Injection Sales'!$A$2:$A$501,"&lt;="&amp;$D$2)+SUMIFS('Injection Sales'!$N$2:$N$501,'Injection Sales'!$I$2:$I$501,$A14,'Injection Sales'!$A$2:$A$501,"&gt;="&amp;$B$2,'Injection Sales'!$A$2:$A$501,"&lt;="&amp;$D$2)))</f>
        <v/>
      </c>
      <c r="C14" s="20" t="str">
        <f aca="false">IF(A14="","",IF(F14="Off",0,SUMIFS('Protein Sales'!$K$2:$K$501,'Protein Sales'!$G$2:$G$501,$A14,'Protein Sales'!$A$2:$A$501,"&gt;="&amp;$B$2,'Protein Sales'!$A$2:$A$501,"&lt;="&amp;$D$2)+SUMIFS('Protein Sales'!$L$2:$L$501,'Protein Sales'!$H$2:$H$501,$A14,'Protein Sales'!$A$2:$A$501,"&gt;="&amp;$B$2,'Protein Sales'!$A$2:$A$501,"&lt;="&amp;$D$2)))</f>
        <v/>
      </c>
      <c r="D14" s="20" t="str">
        <f aca="false">IF(A14="","",IF(F14="Off",0,SUMIFS('Diet Support'!$K$2:$K$501,'Diet Support'!$F$2:$F$501,$A14,'Diet Support'!$A$2:$A$501,"&gt;="&amp;$B$2,'Diet Support'!$A$2:$A$501,"&lt;="&amp;$D$2)+SUMIFS('Diet Support'!$L$2:$L$501,'Diet Support'!$G$2:$G$501,$A14,'Diet Support'!$A$2:$A$501,"&gt;="&amp;$B$2,'Diet Support'!$A$2:$A$501,"&lt;="&amp;$D$2)))</f>
        <v/>
      </c>
      <c r="E14" s="20" t="str">
        <f aca="false">IF(A14="","",SUM(B14:D14))</f>
        <v/>
      </c>
      <c r="F14" s="21" t="str">
        <f aca="false">IF(A14="","",IF(Team!E11="","On",Team!E11))</f>
        <v/>
      </c>
    </row>
    <row r="15" customFormat="false" ht="15" hidden="false" customHeight="false" outlineLevel="0" collapsed="false">
      <c r="A15" s="21" t="str">
        <f aca="false">IF(Team!A12="","",Team!A12)</f>
        <v/>
      </c>
      <c r="B15" s="20" t="str">
        <f aca="false">IF(A15="","",IF(F15="Off",0,SUMIFS('Injection Sales'!$M$2:$M$501,'Injection Sales'!$H$2:$H$501,$A15,'Injection Sales'!$A$2:$A$501,"&gt;="&amp;$B$2,'Injection Sales'!$A$2:$A$501,"&lt;="&amp;$D$2)+SUMIFS('Injection Sales'!$N$2:$N$501,'Injection Sales'!$I$2:$I$501,$A15,'Injection Sales'!$A$2:$A$501,"&gt;="&amp;$B$2,'Injection Sales'!$A$2:$A$501,"&lt;="&amp;$D$2)))</f>
        <v/>
      </c>
      <c r="C15" s="20" t="str">
        <f aca="false">IF(A15="","",IF(F15="Off",0,SUMIFS('Protein Sales'!$K$2:$K$501,'Protein Sales'!$G$2:$G$501,$A15,'Protein Sales'!$A$2:$A$501,"&gt;="&amp;$B$2,'Protein Sales'!$A$2:$A$501,"&lt;="&amp;$D$2)+SUMIFS('Protein Sales'!$L$2:$L$501,'Protein Sales'!$H$2:$H$501,$A15,'Protein Sales'!$A$2:$A$501,"&gt;="&amp;$B$2,'Protein Sales'!$A$2:$A$501,"&lt;="&amp;$D$2)))</f>
        <v/>
      </c>
      <c r="D15" s="20" t="str">
        <f aca="false">IF(A15="","",IF(F15="Off",0,SUMIFS('Diet Support'!$K$2:$K$501,'Diet Support'!$F$2:$F$501,$A15,'Diet Support'!$A$2:$A$501,"&gt;="&amp;$B$2,'Diet Support'!$A$2:$A$501,"&lt;="&amp;$D$2)+SUMIFS('Diet Support'!$L$2:$L$501,'Diet Support'!$G$2:$G$501,$A15,'Diet Support'!$A$2:$A$501,"&gt;="&amp;$B$2,'Diet Support'!$A$2:$A$501,"&lt;="&amp;$D$2)))</f>
        <v/>
      </c>
      <c r="E15" s="20" t="str">
        <f aca="false">IF(A15="","",SUM(B15:D15))</f>
        <v/>
      </c>
      <c r="F15" s="21" t="str">
        <f aca="false">IF(A15="","",IF(Team!E12="","On",Team!E12))</f>
        <v/>
      </c>
    </row>
    <row r="16" customFormat="false" ht="15" hidden="false" customHeight="false" outlineLevel="0" collapsed="false">
      <c r="A16" s="21" t="str">
        <f aca="false">IF(Team!A13="","",Team!A13)</f>
        <v/>
      </c>
      <c r="B16" s="20" t="str">
        <f aca="false">IF(A16="","",IF(F16="Off",0,SUMIFS('Injection Sales'!$M$2:$M$501,'Injection Sales'!$H$2:$H$501,$A16,'Injection Sales'!$A$2:$A$501,"&gt;="&amp;$B$2,'Injection Sales'!$A$2:$A$501,"&lt;="&amp;$D$2)+SUMIFS('Injection Sales'!$N$2:$N$501,'Injection Sales'!$I$2:$I$501,$A16,'Injection Sales'!$A$2:$A$501,"&gt;="&amp;$B$2,'Injection Sales'!$A$2:$A$501,"&lt;="&amp;$D$2)))</f>
        <v/>
      </c>
      <c r="C16" s="20" t="str">
        <f aca="false">IF(A16="","",IF(F16="Off",0,SUMIFS('Protein Sales'!$K$2:$K$501,'Protein Sales'!$G$2:$G$501,$A16,'Protein Sales'!$A$2:$A$501,"&gt;="&amp;$B$2,'Protein Sales'!$A$2:$A$501,"&lt;="&amp;$D$2)+SUMIFS('Protein Sales'!$L$2:$L$501,'Protein Sales'!$H$2:$H$501,$A16,'Protein Sales'!$A$2:$A$501,"&gt;="&amp;$B$2,'Protein Sales'!$A$2:$A$501,"&lt;="&amp;$D$2)))</f>
        <v/>
      </c>
      <c r="D16" s="20" t="str">
        <f aca="false">IF(A16="","",IF(F16="Off",0,SUMIFS('Diet Support'!$K$2:$K$501,'Diet Support'!$F$2:$F$501,$A16,'Diet Support'!$A$2:$A$501,"&gt;="&amp;$B$2,'Diet Support'!$A$2:$A$501,"&lt;="&amp;$D$2)+SUMIFS('Diet Support'!$L$2:$L$501,'Diet Support'!$G$2:$G$501,$A16,'Diet Support'!$A$2:$A$501,"&gt;="&amp;$B$2,'Diet Support'!$A$2:$A$501,"&lt;="&amp;$D$2)))</f>
        <v/>
      </c>
      <c r="E16" s="20" t="str">
        <f aca="false">IF(A16="","",SUM(B16:D16))</f>
        <v/>
      </c>
      <c r="F16" s="21" t="str">
        <f aca="false">IF(A16="","",IF(Team!E13="","On",Team!E13))</f>
        <v/>
      </c>
    </row>
    <row r="17" customFormat="false" ht="15" hidden="false" customHeight="false" outlineLevel="0" collapsed="false">
      <c r="A17" s="21" t="str">
        <f aca="false">IF(Team!A14="","",Team!A14)</f>
        <v/>
      </c>
      <c r="B17" s="20" t="str">
        <f aca="false">IF(A17="","",IF(F17="Off",0,SUMIFS('Injection Sales'!$M$2:$M$501,'Injection Sales'!$H$2:$H$501,$A17,'Injection Sales'!$A$2:$A$501,"&gt;="&amp;$B$2,'Injection Sales'!$A$2:$A$501,"&lt;="&amp;$D$2)+SUMIFS('Injection Sales'!$N$2:$N$501,'Injection Sales'!$I$2:$I$501,$A17,'Injection Sales'!$A$2:$A$501,"&gt;="&amp;$B$2,'Injection Sales'!$A$2:$A$501,"&lt;="&amp;$D$2)))</f>
        <v/>
      </c>
      <c r="C17" s="20" t="str">
        <f aca="false">IF(A17="","",IF(F17="Off",0,SUMIFS('Protein Sales'!$K$2:$K$501,'Protein Sales'!$G$2:$G$501,$A17,'Protein Sales'!$A$2:$A$501,"&gt;="&amp;$B$2,'Protein Sales'!$A$2:$A$501,"&lt;="&amp;$D$2)+SUMIFS('Protein Sales'!$L$2:$L$501,'Protein Sales'!$H$2:$H$501,$A17,'Protein Sales'!$A$2:$A$501,"&gt;="&amp;$B$2,'Protein Sales'!$A$2:$A$501,"&lt;="&amp;$D$2)))</f>
        <v/>
      </c>
      <c r="D17" s="20" t="str">
        <f aca="false">IF(A17="","",IF(F17="Off",0,SUMIFS('Diet Support'!$K$2:$K$501,'Diet Support'!$F$2:$F$501,$A17,'Diet Support'!$A$2:$A$501,"&gt;="&amp;$B$2,'Diet Support'!$A$2:$A$501,"&lt;="&amp;$D$2)+SUMIFS('Diet Support'!$L$2:$L$501,'Diet Support'!$G$2:$G$501,$A17,'Diet Support'!$A$2:$A$501,"&gt;="&amp;$B$2,'Diet Support'!$A$2:$A$501,"&lt;="&amp;$D$2)))</f>
        <v/>
      </c>
      <c r="E17" s="20" t="str">
        <f aca="false">IF(A17="","",SUM(B17:D17))</f>
        <v/>
      </c>
      <c r="F17" s="21" t="str">
        <f aca="false">IF(A17="","",IF(Team!E14="","On",Team!E14))</f>
        <v/>
      </c>
    </row>
    <row r="18" customFormat="false" ht="15" hidden="false" customHeight="false" outlineLevel="0" collapsed="false">
      <c r="A18" s="21" t="str">
        <f aca="false">IF(Team!A15="","",Team!A15)</f>
        <v/>
      </c>
      <c r="B18" s="20" t="str">
        <f aca="false">IF(A18="","",IF(F18="Off",0,SUMIFS('Injection Sales'!$M$2:$M$501,'Injection Sales'!$H$2:$H$501,$A18,'Injection Sales'!$A$2:$A$501,"&gt;="&amp;$B$2,'Injection Sales'!$A$2:$A$501,"&lt;="&amp;$D$2)+SUMIFS('Injection Sales'!$N$2:$N$501,'Injection Sales'!$I$2:$I$501,$A18,'Injection Sales'!$A$2:$A$501,"&gt;="&amp;$B$2,'Injection Sales'!$A$2:$A$501,"&lt;="&amp;$D$2)))</f>
        <v/>
      </c>
      <c r="C18" s="20" t="str">
        <f aca="false">IF(A18="","",IF(F18="Off",0,SUMIFS('Protein Sales'!$K$2:$K$501,'Protein Sales'!$G$2:$G$501,$A18,'Protein Sales'!$A$2:$A$501,"&gt;="&amp;$B$2,'Protein Sales'!$A$2:$A$501,"&lt;="&amp;$D$2)+SUMIFS('Protein Sales'!$L$2:$L$501,'Protein Sales'!$H$2:$H$501,$A18,'Protein Sales'!$A$2:$A$501,"&gt;="&amp;$B$2,'Protein Sales'!$A$2:$A$501,"&lt;="&amp;$D$2)))</f>
        <v/>
      </c>
      <c r="D18" s="20" t="str">
        <f aca="false">IF(A18="","",IF(F18="Off",0,SUMIFS('Diet Support'!$K$2:$K$501,'Diet Support'!$F$2:$F$501,$A18,'Diet Support'!$A$2:$A$501,"&gt;="&amp;$B$2,'Diet Support'!$A$2:$A$501,"&lt;="&amp;$D$2)+SUMIFS('Diet Support'!$L$2:$L$501,'Diet Support'!$G$2:$G$501,$A18,'Diet Support'!$A$2:$A$501,"&gt;="&amp;$B$2,'Diet Support'!$A$2:$A$501,"&lt;="&amp;$D$2)))</f>
        <v/>
      </c>
      <c r="E18" s="20" t="str">
        <f aca="false">IF(A18="","",SUM(B18:D18))</f>
        <v/>
      </c>
      <c r="F18" s="21" t="str">
        <f aca="false">IF(A18="","",IF(Team!E15="","On",Team!E15))</f>
        <v/>
      </c>
    </row>
    <row r="19" customFormat="false" ht="15" hidden="false" customHeight="false" outlineLevel="0" collapsed="false">
      <c r="A19" s="21" t="str">
        <f aca="false">IF(Team!A16="","",Team!A16)</f>
        <v/>
      </c>
      <c r="B19" s="20" t="str">
        <f aca="false">IF(A19="","",IF(F19="Off",0,SUMIFS('Injection Sales'!$M$2:$M$501,'Injection Sales'!$H$2:$H$501,$A19,'Injection Sales'!$A$2:$A$501,"&gt;="&amp;$B$2,'Injection Sales'!$A$2:$A$501,"&lt;="&amp;$D$2)+SUMIFS('Injection Sales'!$N$2:$N$501,'Injection Sales'!$I$2:$I$501,$A19,'Injection Sales'!$A$2:$A$501,"&gt;="&amp;$B$2,'Injection Sales'!$A$2:$A$501,"&lt;="&amp;$D$2)))</f>
        <v/>
      </c>
      <c r="C19" s="20" t="str">
        <f aca="false">IF(A19="","",IF(F19="Off",0,SUMIFS('Protein Sales'!$K$2:$K$501,'Protein Sales'!$G$2:$G$501,$A19,'Protein Sales'!$A$2:$A$501,"&gt;="&amp;$B$2,'Protein Sales'!$A$2:$A$501,"&lt;="&amp;$D$2)+SUMIFS('Protein Sales'!$L$2:$L$501,'Protein Sales'!$H$2:$H$501,$A19,'Protein Sales'!$A$2:$A$501,"&gt;="&amp;$B$2,'Protein Sales'!$A$2:$A$501,"&lt;="&amp;$D$2)))</f>
        <v/>
      </c>
      <c r="D19" s="20" t="str">
        <f aca="false">IF(A19="","",IF(F19="Off",0,SUMIFS('Diet Support'!$K$2:$K$501,'Diet Support'!$F$2:$F$501,$A19,'Diet Support'!$A$2:$A$501,"&gt;="&amp;$B$2,'Diet Support'!$A$2:$A$501,"&lt;="&amp;$D$2)+SUMIFS('Diet Support'!$L$2:$L$501,'Diet Support'!$G$2:$G$501,$A19,'Diet Support'!$A$2:$A$501,"&gt;="&amp;$B$2,'Diet Support'!$A$2:$A$501,"&lt;="&amp;$D$2)))</f>
        <v/>
      </c>
      <c r="E19" s="20" t="str">
        <f aca="false">IF(A19="","",SUM(B19:D19))</f>
        <v/>
      </c>
      <c r="F19" s="21" t="str">
        <f aca="false">IF(A19="","",IF(Team!E16="","On",Team!E16))</f>
        <v/>
      </c>
    </row>
    <row r="20" customFormat="false" ht="15" hidden="false" customHeight="false" outlineLevel="0" collapsed="false">
      <c r="A20" s="21" t="str">
        <f aca="false">IF(Team!A17="","",Team!A17)</f>
        <v/>
      </c>
      <c r="B20" s="20" t="str">
        <f aca="false">IF(A20="","",IF(F20="Off",0,SUMIFS('Injection Sales'!$M$2:$M$501,'Injection Sales'!$H$2:$H$501,$A20,'Injection Sales'!$A$2:$A$501,"&gt;="&amp;$B$2,'Injection Sales'!$A$2:$A$501,"&lt;="&amp;$D$2)+SUMIFS('Injection Sales'!$N$2:$N$501,'Injection Sales'!$I$2:$I$501,$A20,'Injection Sales'!$A$2:$A$501,"&gt;="&amp;$B$2,'Injection Sales'!$A$2:$A$501,"&lt;="&amp;$D$2)))</f>
        <v/>
      </c>
      <c r="C20" s="20" t="str">
        <f aca="false">IF(A20="","",IF(F20="Off",0,SUMIFS('Protein Sales'!$K$2:$K$501,'Protein Sales'!$G$2:$G$501,$A20,'Protein Sales'!$A$2:$A$501,"&gt;="&amp;$B$2,'Protein Sales'!$A$2:$A$501,"&lt;="&amp;$D$2)+SUMIFS('Protein Sales'!$L$2:$L$501,'Protein Sales'!$H$2:$H$501,$A20,'Protein Sales'!$A$2:$A$501,"&gt;="&amp;$B$2,'Protein Sales'!$A$2:$A$501,"&lt;="&amp;$D$2)))</f>
        <v/>
      </c>
      <c r="D20" s="20" t="str">
        <f aca="false">IF(A20="","",IF(F20="Off",0,SUMIFS('Diet Support'!$K$2:$K$501,'Diet Support'!$F$2:$F$501,$A20,'Diet Support'!$A$2:$A$501,"&gt;="&amp;$B$2,'Diet Support'!$A$2:$A$501,"&lt;="&amp;$D$2)+SUMIFS('Diet Support'!$L$2:$L$501,'Diet Support'!$G$2:$G$501,$A20,'Diet Support'!$A$2:$A$501,"&gt;="&amp;$B$2,'Diet Support'!$A$2:$A$501,"&lt;="&amp;$D$2)))</f>
        <v/>
      </c>
      <c r="E20" s="20" t="str">
        <f aca="false">IF(A20="","",SUM(B20:D20))</f>
        <v/>
      </c>
      <c r="F20" s="21" t="str">
        <f aca="false">IF(A20="","",IF(Team!E17="","On",Team!E17))</f>
        <v/>
      </c>
    </row>
    <row r="21" customFormat="false" ht="15" hidden="false" customHeight="false" outlineLevel="0" collapsed="false">
      <c r="A21" s="21" t="str">
        <f aca="false">IF(Team!A18="","",Team!A18)</f>
        <v/>
      </c>
      <c r="B21" s="20" t="str">
        <f aca="false">IF(A21="","",IF(F21="Off",0,SUMIFS('Injection Sales'!$M$2:$M$501,'Injection Sales'!$H$2:$H$501,$A21,'Injection Sales'!$A$2:$A$501,"&gt;="&amp;$B$2,'Injection Sales'!$A$2:$A$501,"&lt;="&amp;$D$2)+SUMIFS('Injection Sales'!$N$2:$N$501,'Injection Sales'!$I$2:$I$501,$A21,'Injection Sales'!$A$2:$A$501,"&gt;="&amp;$B$2,'Injection Sales'!$A$2:$A$501,"&lt;="&amp;$D$2)))</f>
        <v/>
      </c>
      <c r="C21" s="20" t="str">
        <f aca="false">IF(A21="","",IF(F21="Off",0,SUMIFS('Protein Sales'!$K$2:$K$501,'Protein Sales'!$G$2:$G$501,$A21,'Protein Sales'!$A$2:$A$501,"&gt;="&amp;$B$2,'Protein Sales'!$A$2:$A$501,"&lt;="&amp;$D$2)+SUMIFS('Protein Sales'!$L$2:$L$501,'Protein Sales'!$H$2:$H$501,$A21,'Protein Sales'!$A$2:$A$501,"&gt;="&amp;$B$2,'Protein Sales'!$A$2:$A$501,"&lt;="&amp;$D$2)))</f>
        <v/>
      </c>
      <c r="D21" s="20" t="str">
        <f aca="false">IF(A21="","",IF(F21="Off",0,SUMIFS('Diet Support'!$K$2:$K$501,'Diet Support'!$F$2:$F$501,$A21,'Diet Support'!$A$2:$A$501,"&gt;="&amp;$B$2,'Diet Support'!$A$2:$A$501,"&lt;="&amp;$D$2)+SUMIFS('Diet Support'!$L$2:$L$501,'Diet Support'!$G$2:$G$501,$A21,'Diet Support'!$A$2:$A$501,"&gt;="&amp;$B$2,'Diet Support'!$A$2:$A$501,"&lt;="&amp;$D$2)))</f>
        <v/>
      </c>
      <c r="E21" s="20" t="str">
        <f aca="false">IF(A21="","",SUM(B21:D21))</f>
        <v/>
      </c>
      <c r="F21" s="21" t="str">
        <f aca="false">IF(A21="","",IF(Team!E18="","On",Team!E18))</f>
        <v/>
      </c>
    </row>
    <row r="22" customFormat="false" ht="15" hidden="false" customHeight="false" outlineLevel="0" collapsed="false">
      <c r="A22" s="21" t="str">
        <f aca="false">IF(Team!A19="","",Team!A19)</f>
        <v/>
      </c>
      <c r="B22" s="20" t="str">
        <f aca="false">IF(A22="","",IF(F22="Off",0,SUMIFS('Injection Sales'!$M$2:$M$501,'Injection Sales'!$H$2:$H$501,$A22,'Injection Sales'!$A$2:$A$501,"&gt;="&amp;$B$2,'Injection Sales'!$A$2:$A$501,"&lt;="&amp;$D$2)+SUMIFS('Injection Sales'!$N$2:$N$501,'Injection Sales'!$I$2:$I$501,$A22,'Injection Sales'!$A$2:$A$501,"&gt;="&amp;$B$2,'Injection Sales'!$A$2:$A$501,"&lt;="&amp;$D$2)))</f>
        <v/>
      </c>
      <c r="C22" s="20" t="str">
        <f aca="false">IF(A22="","",IF(F22="Off",0,SUMIFS('Protein Sales'!$K$2:$K$501,'Protein Sales'!$G$2:$G$501,$A22,'Protein Sales'!$A$2:$A$501,"&gt;="&amp;$B$2,'Protein Sales'!$A$2:$A$501,"&lt;="&amp;$D$2)+SUMIFS('Protein Sales'!$L$2:$L$501,'Protein Sales'!$H$2:$H$501,$A22,'Protein Sales'!$A$2:$A$501,"&gt;="&amp;$B$2,'Protein Sales'!$A$2:$A$501,"&lt;="&amp;$D$2)))</f>
        <v/>
      </c>
      <c r="D22" s="20" t="str">
        <f aca="false">IF(A22="","",IF(F22="Off",0,SUMIFS('Diet Support'!$K$2:$K$501,'Diet Support'!$F$2:$F$501,$A22,'Diet Support'!$A$2:$A$501,"&gt;="&amp;$B$2,'Diet Support'!$A$2:$A$501,"&lt;="&amp;$D$2)+SUMIFS('Diet Support'!$L$2:$L$501,'Diet Support'!$G$2:$G$501,$A22,'Diet Support'!$A$2:$A$501,"&gt;="&amp;$B$2,'Diet Support'!$A$2:$A$501,"&lt;="&amp;$D$2)))</f>
        <v/>
      </c>
      <c r="E22" s="20" t="str">
        <f aca="false">IF(A22="","",SUM(B22:D22))</f>
        <v/>
      </c>
      <c r="F22" s="21" t="str">
        <f aca="false">IF(A22="","",IF(Team!E19="","On",Team!E19))</f>
        <v/>
      </c>
    </row>
    <row r="23" customFormat="false" ht="15" hidden="false" customHeight="false" outlineLevel="0" collapsed="false">
      <c r="A23" s="21" t="str">
        <f aca="false">IF(Team!A20="","",Team!A20)</f>
        <v/>
      </c>
      <c r="B23" s="20" t="str">
        <f aca="false">IF(A23="","",IF(F23="Off",0,SUMIFS('Injection Sales'!$M$2:$M$501,'Injection Sales'!$H$2:$H$501,$A23,'Injection Sales'!$A$2:$A$501,"&gt;="&amp;$B$2,'Injection Sales'!$A$2:$A$501,"&lt;="&amp;$D$2)+SUMIFS('Injection Sales'!$N$2:$N$501,'Injection Sales'!$I$2:$I$501,$A23,'Injection Sales'!$A$2:$A$501,"&gt;="&amp;$B$2,'Injection Sales'!$A$2:$A$501,"&lt;="&amp;$D$2)))</f>
        <v/>
      </c>
      <c r="C23" s="20" t="str">
        <f aca="false">IF(A23="","",IF(F23="Off",0,SUMIFS('Protein Sales'!$K$2:$K$501,'Protein Sales'!$G$2:$G$501,$A23,'Protein Sales'!$A$2:$A$501,"&gt;="&amp;$B$2,'Protein Sales'!$A$2:$A$501,"&lt;="&amp;$D$2)+SUMIFS('Protein Sales'!$L$2:$L$501,'Protein Sales'!$H$2:$H$501,$A23,'Protein Sales'!$A$2:$A$501,"&gt;="&amp;$B$2,'Protein Sales'!$A$2:$A$501,"&lt;="&amp;$D$2)))</f>
        <v/>
      </c>
      <c r="D23" s="20" t="str">
        <f aca="false">IF(A23="","",IF(F23="Off",0,SUMIFS('Diet Support'!$K$2:$K$501,'Diet Support'!$F$2:$F$501,$A23,'Diet Support'!$A$2:$A$501,"&gt;="&amp;$B$2,'Diet Support'!$A$2:$A$501,"&lt;="&amp;$D$2)+SUMIFS('Diet Support'!$L$2:$L$501,'Diet Support'!$G$2:$G$501,$A23,'Diet Support'!$A$2:$A$501,"&gt;="&amp;$B$2,'Diet Support'!$A$2:$A$501,"&lt;="&amp;$D$2)))</f>
        <v/>
      </c>
      <c r="E23" s="20" t="str">
        <f aca="false">IF(A23="","",SUM(B23:D23))</f>
        <v/>
      </c>
      <c r="F23" s="21" t="str">
        <f aca="false">IF(A23="","",IF(Team!E20="","On",Team!E20))</f>
        <v/>
      </c>
    </row>
    <row r="24" customFormat="false" ht="15" hidden="false" customHeight="false" outlineLevel="0" collapsed="false">
      <c r="A24" s="21" t="str">
        <f aca="false">IF(Team!A21="","",Team!A21)</f>
        <v/>
      </c>
      <c r="B24" s="20" t="str">
        <f aca="false">IF(A24="","",IF(F24="Off",0,SUMIFS('Injection Sales'!$M$2:$M$501,'Injection Sales'!$H$2:$H$501,$A24,'Injection Sales'!$A$2:$A$501,"&gt;="&amp;$B$2,'Injection Sales'!$A$2:$A$501,"&lt;="&amp;$D$2)+SUMIFS('Injection Sales'!$N$2:$N$501,'Injection Sales'!$I$2:$I$501,$A24,'Injection Sales'!$A$2:$A$501,"&gt;="&amp;$B$2,'Injection Sales'!$A$2:$A$501,"&lt;="&amp;$D$2)))</f>
        <v/>
      </c>
      <c r="C24" s="20" t="str">
        <f aca="false">IF(A24="","",IF(F24="Off",0,SUMIFS('Protein Sales'!$K$2:$K$501,'Protein Sales'!$G$2:$G$501,$A24,'Protein Sales'!$A$2:$A$501,"&gt;="&amp;$B$2,'Protein Sales'!$A$2:$A$501,"&lt;="&amp;$D$2)+SUMIFS('Protein Sales'!$L$2:$L$501,'Protein Sales'!$H$2:$H$501,$A24,'Protein Sales'!$A$2:$A$501,"&gt;="&amp;$B$2,'Protein Sales'!$A$2:$A$501,"&lt;="&amp;$D$2)))</f>
        <v/>
      </c>
      <c r="D24" s="20" t="str">
        <f aca="false">IF(A24="","",IF(F24="Off",0,SUMIFS('Diet Support'!$K$2:$K$501,'Diet Support'!$F$2:$F$501,$A24,'Diet Support'!$A$2:$A$501,"&gt;="&amp;$B$2,'Diet Support'!$A$2:$A$501,"&lt;="&amp;$D$2)+SUMIFS('Diet Support'!$L$2:$L$501,'Diet Support'!$G$2:$G$501,$A24,'Diet Support'!$A$2:$A$501,"&gt;="&amp;$B$2,'Diet Support'!$A$2:$A$501,"&lt;="&amp;$D$2)))</f>
        <v/>
      </c>
      <c r="E24" s="20" t="str">
        <f aca="false">IF(A24="","",SUM(B24:D24))</f>
        <v/>
      </c>
      <c r="F24" s="21" t="str">
        <f aca="false">IF(A24="","",IF(Team!E21="","On",Team!E21))</f>
        <v/>
      </c>
    </row>
    <row r="25" customFormat="false" ht="15" hidden="false" customHeight="false" outlineLevel="0" collapsed="false">
      <c r="A25" s="21" t="str">
        <f aca="false">IF(Team!A22="","",Team!A22)</f>
        <v/>
      </c>
      <c r="B25" s="20" t="str">
        <f aca="false">IF(A25="","",IF(F25="Off",0,SUMIFS('Injection Sales'!$M$2:$M$501,'Injection Sales'!$H$2:$H$501,$A25,'Injection Sales'!$A$2:$A$501,"&gt;="&amp;$B$2,'Injection Sales'!$A$2:$A$501,"&lt;="&amp;$D$2)+SUMIFS('Injection Sales'!$N$2:$N$501,'Injection Sales'!$I$2:$I$501,$A25,'Injection Sales'!$A$2:$A$501,"&gt;="&amp;$B$2,'Injection Sales'!$A$2:$A$501,"&lt;="&amp;$D$2)))</f>
        <v/>
      </c>
      <c r="C25" s="20" t="str">
        <f aca="false">IF(A25="","",IF(F25="Off",0,SUMIFS('Protein Sales'!$K$2:$K$501,'Protein Sales'!$G$2:$G$501,$A25,'Protein Sales'!$A$2:$A$501,"&gt;="&amp;$B$2,'Protein Sales'!$A$2:$A$501,"&lt;="&amp;$D$2)+SUMIFS('Protein Sales'!$L$2:$L$501,'Protein Sales'!$H$2:$H$501,$A25,'Protein Sales'!$A$2:$A$501,"&gt;="&amp;$B$2,'Protein Sales'!$A$2:$A$501,"&lt;="&amp;$D$2)))</f>
        <v/>
      </c>
      <c r="D25" s="20" t="str">
        <f aca="false">IF(A25="","",IF(F25="Off",0,SUMIFS('Diet Support'!$K$2:$K$501,'Diet Support'!$F$2:$F$501,$A25,'Diet Support'!$A$2:$A$501,"&gt;="&amp;$B$2,'Diet Support'!$A$2:$A$501,"&lt;="&amp;$D$2)+SUMIFS('Diet Support'!$L$2:$L$501,'Diet Support'!$G$2:$G$501,$A25,'Diet Support'!$A$2:$A$501,"&gt;="&amp;$B$2,'Diet Support'!$A$2:$A$501,"&lt;="&amp;$D$2)))</f>
        <v/>
      </c>
      <c r="E25" s="20" t="str">
        <f aca="false">IF(A25="","",SUM(B25:D25))</f>
        <v/>
      </c>
      <c r="F25" s="21" t="str">
        <f aca="false">IF(A25="","",IF(Team!E22="","On",Team!E22))</f>
        <v/>
      </c>
    </row>
    <row r="26" customFormat="false" ht="15" hidden="false" customHeight="false" outlineLevel="0" collapsed="false">
      <c r="A26" s="21" t="str">
        <f aca="false">IF(Team!A23="","",Team!A23)</f>
        <v/>
      </c>
      <c r="B26" s="20" t="str">
        <f aca="false">IF(A26="","",IF(F26="Off",0,SUMIFS('Injection Sales'!$M$2:$M$501,'Injection Sales'!$H$2:$H$501,$A26,'Injection Sales'!$A$2:$A$501,"&gt;="&amp;$B$2,'Injection Sales'!$A$2:$A$501,"&lt;="&amp;$D$2)+SUMIFS('Injection Sales'!$N$2:$N$501,'Injection Sales'!$I$2:$I$501,$A26,'Injection Sales'!$A$2:$A$501,"&gt;="&amp;$B$2,'Injection Sales'!$A$2:$A$501,"&lt;="&amp;$D$2)))</f>
        <v/>
      </c>
      <c r="C26" s="20" t="str">
        <f aca="false">IF(A26="","",IF(F26="Off",0,SUMIFS('Protein Sales'!$K$2:$K$501,'Protein Sales'!$G$2:$G$501,$A26,'Protein Sales'!$A$2:$A$501,"&gt;="&amp;$B$2,'Protein Sales'!$A$2:$A$501,"&lt;="&amp;$D$2)+SUMIFS('Protein Sales'!$L$2:$L$501,'Protein Sales'!$H$2:$H$501,$A26,'Protein Sales'!$A$2:$A$501,"&gt;="&amp;$B$2,'Protein Sales'!$A$2:$A$501,"&lt;="&amp;$D$2)))</f>
        <v/>
      </c>
      <c r="D26" s="20" t="str">
        <f aca="false">IF(A26="","",IF(F26="Off",0,SUMIFS('Diet Support'!$K$2:$K$501,'Diet Support'!$F$2:$F$501,$A26,'Diet Support'!$A$2:$A$501,"&gt;="&amp;$B$2,'Diet Support'!$A$2:$A$501,"&lt;="&amp;$D$2)+SUMIFS('Diet Support'!$L$2:$L$501,'Diet Support'!$G$2:$G$501,$A26,'Diet Support'!$A$2:$A$501,"&gt;="&amp;$B$2,'Diet Support'!$A$2:$A$501,"&lt;="&amp;$D$2)))</f>
        <v/>
      </c>
      <c r="E26" s="20" t="str">
        <f aca="false">IF(A26="","",SUM(B26:D26))</f>
        <v/>
      </c>
      <c r="F26" s="21" t="str">
        <f aca="false">IF(A26="","",IF(Team!E23="","On",Team!E23))</f>
        <v/>
      </c>
    </row>
    <row r="27" customFormat="false" ht="15" hidden="false" customHeight="false" outlineLevel="0" collapsed="false">
      <c r="A27" s="21" t="str">
        <f aca="false">IF(Team!A24="","",Team!A24)</f>
        <v/>
      </c>
      <c r="B27" s="20" t="str">
        <f aca="false">IF(A27="","",IF(F27="Off",0,SUMIFS('Injection Sales'!$M$2:$M$501,'Injection Sales'!$H$2:$H$501,$A27,'Injection Sales'!$A$2:$A$501,"&gt;="&amp;$B$2,'Injection Sales'!$A$2:$A$501,"&lt;="&amp;$D$2)+SUMIFS('Injection Sales'!$N$2:$N$501,'Injection Sales'!$I$2:$I$501,$A27,'Injection Sales'!$A$2:$A$501,"&gt;="&amp;$B$2,'Injection Sales'!$A$2:$A$501,"&lt;="&amp;$D$2)))</f>
        <v/>
      </c>
      <c r="C27" s="20" t="str">
        <f aca="false">IF(A27="","",IF(F27="Off",0,SUMIFS('Protein Sales'!$K$2:$K$501,'Protein Sales'!$G$2:$G$501,$A27,'Protein Sales'!$A$2:$A$501,"&gt;="&amp;$B$2,'Protein Sales'!$A$2:$A$501,"&lt;="&amp;$D$2)+SUMIFS('Protein Sales'!$L$2:$L$501,'Protein Sales'!$H$2:$H$501,$A27,'Protein Sales'!$A$2:$A$501,"&gt;="&amp;$B$2,'Protein Sales'!$A$2:$A$501,"&lt;="&amp;$D$2)))</f>
        <v/>
      </c>
      <c r="D27" s="20" t="str">
        <f aca="false">IF(A27="","",IF(F27="Off",0,SUMIFS('Diet Support'!$K$2:$K$501,'Diet Support'!$F$2:$F$501,$A27,'Diet Support'!$A$2:$A$501,"&gt;="&amp;$B$2,'Diet Support'!$A$2:$A$501,"&lt;="&amp;$D$2)+SUMIFS('Diet Support'!$L$2:$L$501,'Diet Support'!$G$2:$G$501,$A27,'Diet Support'!$A$2:$A$501,"&gt;="&amp;$B$2,'Diet Support'!$A$2:$A$501,"&lt;="&amp;$D$2)))</f>
        <v/>
      </c>
      <c r="E27" s="20" t="str">
        <f aca="false">IF(A27="","",SUM(B27:D27))</f>
        <v/>
      </c>
      <c r="F27" s="21" t="str">
        <f aca="false">IF(A27="","",IF(Team!E24="","On",Team!E24))</f>
        <v/>
      </c>
    </row>
    <row r="28" customFormat="false" ht="15" hidden="false" customHeight="false" outlineLevel="0" collapsed="false">
      <c r="A28" s="21" t="str">
        <f aca="false">IF(Team!A25="","",Team!A25)</f>
        <v/>
      </c>
      <c r="B28" s="20" t="str">
        <f aca="false">IF(A28="","",IF(F28="Off",0,SUMIFS('Injection Sales'!$M$2:$M$501,'Injection Sales'!$H$2:$H$501,$A28,'Injection Sales'!$A$2:$A$501,"&gt;="&amp;$B$2,'Injection Sales'!$A$2:$A$501,"&lt;="&amp;$D$2)+SUMIFS('Injection Sales'!$N$2:$N$501,'Injection Sales'!$I$2:$I$501,$A28,'Injection Sales'!$A$2:$A$501,"&gt;="&amp;$B$2,'Injection Sales'!$A$2:$A$501,"&lt;="&amp;$D$2)))</f>
        <v/>
      </c>
      <c r="C28" s="20" t="str">
        <f aca="false">IF(A28="","",IF(F28="Off",0,SUMIFS('Protein Sales'!$K$2:$K$501,'Protein Sales'!$G$2:$G$501,$A28,'Protein Sales'!$A$2:$A$501,"&gt;="&amp;$B$2,'Protein Sales'!$A$2:$A$501,"&lt;="&amp;$D$2)+SUMIFS('Protein Sales'!$L$2:$L$501,'Protein Sales'!$H$2:$H$501,$A28,'Protein Sales'!$A$2:$A$501,"&gt;="&amp;$B$2,'Protein Sales'!$A$2:$A$501,"&lt;="&amp;$D$2)))</f>
        <v/>
      </c>
      <c r="D28" s="20" t="str">
        <f aca="false">IF(A28="","",IF(F28="Off",0,SUMIFS('Diet Support'!$K$2:$K$501,'Diet Support'!$F$2:$F$501,$A28,'Diet Support'!$A$2:$A$501,"&gt;="&amp;$B$2,'Diet Support'!$A$2:$A$501,"&lt;="&amp;$D$2)+SUMIFS('Diet Support'!$L$2:$L$501,'Diet Support'!$G$2:$G$501,$A28,'Diet Support'!$A$2:$A$501,"&gt;="&amp;$B$2,'Diet Support'!$A$2:$A$501,"&lt;="&amp;$D$2)))</f>
        <v/>
      </c>
      <c r="E28" s="20" t="str">
        <f aca="false">IF(A28="","",SUM(B28:D28))</f>
        <v/>
      </c>
      <c r="F28" s="21" t="str">
        <f aca="false">IF(A28="","",IF(Team!E25="","On",Team!E25))</f>
        <v/>
      </c>
    </row>
    <row r="29" customFormat="false" ht="15" hidden="false" customHeight="false" outlineLevel="0" collapsed="false">
      <c r="A29" s="21" t="str">
        <f aca="false">IF(Team!A26="","",Team!A26)</f>
        <v/>
      </c>
      <c r="B29" s="20" t="str">
        <f aca="false">IF(A29="","",IF(F29="Off",0,SUMIFS('Injection Sales'!$M$2:$M$501,'Injection Sales'!$H$2:$H$501,$A29,'Injection Sales'!$A$2:$A$501,"&gt;="&amp;$B$2,'Injection Sales'!$A$2:$A$501,"&lt;="&amp;$D$2)+SUMIFS('Injection Sales'!$N$2:$N$501,'Injection Sales'!$I$2:$I$501,$A29,'Injection Sales'!$A$2:$A$501,"&gt;="&amp;$B$2,'Injection Sales'!$A$2:$A$501,"&lt;="&amp;$D$2)))</f>
        <v/>
      </c>
      <c r="C29" s="20" t="str">
        <f aca="false">IF(A29="","",IF(F29="Off",0,SUMIFS('Protein Sales'!$K$2:$K$501,'Protein Sales'!$G$2:$G$501,$A29,'Protein Sales'!$A$2:$A$501,"&gt;="&amp;$B$2,'Protein Sales'!$A$2:$A$501,"&lt;="&amp;$D$2)+SUMIFS('Protein Sales'!$L$2:$L$501,'Protein Sales'!$H$2:$H$501,$A29,'Protein Sales'!$A$2:$A$501,"&gt;="&amp;$B$2,'Protein Sales'!$A$2:$A$501,"&lt;="&amp;$D$2)))</f>
        <v/>
      </c>
      <c r="D29" s="20" t="str">
        <f aca="false">IF(A29="","",IF(F29="Off",0,SUMIFS('Diet Support'!$K$2:$K$501,'Diet Support'!$F$2:$F$501,$A29,'Diet Support'!$A$2:$A$501,"&gt;="&amp;$B$2,'Diet Support'!$A$2:$A$501,"&lt;="&amp;$D$2)+SUMIFS('Diet Support'!$L$2:$L$501,'Diet Support'!$G$2:$G$501,$A29,'Diet Support'!$A$2:$A$501,"&gt;="&amp;$B$2,'Diet Support'!$A$2:$A$501,"&lt;="&amp;$D$2)))</f>
        <v/>
      </c>
      <c r="E29" s="20" t="str">
        <f aca="false">IF(A29="","",SUM(B29:D29))</f>
        <v/>
      </c>
      <c r="F29" s="21" t="str">
        <f aca="false">IF(A29="","",IF(Team!E26="","On",Team!E26))</f>
        <v/>
      </c>
    </row>
    <row r="30" customFormat="false" ht="15" hidden="false" customHeight="false" outlineLevel="0" collapsed="false">
      <c r="A30" s="21" t="str">
        <f aca="false">IF(Team!A27="","",Team!A27)</f>
        <v/>
      </c>
      <c r="B30" s="20" t="str">
        <f aca="false">IF(A30="","",IF(F30="Off",0,SUMIFS('Injection Sales'!$M$2:$M$501,'Injection Sales'!$H$2:$H$501,$A30,'Injection Sales'!$A$2:$A$501,"&gt;="&amp;$B$2,'Injection Sales'!$A$2:$A$501,"&lt;="&amp;$D$2)+SUMIFS('Injection Sales'!$N$2:$N$501,'Injection Sales'!$I$2:$I$501,$A30,'Injection Sales'!$A$2:$A$501,"&gt;="&amp;$B$2,'Injection Sales'!$A$2:$A$501,"&lt;="&amp;$D$2)))</f>
        <v/>
      </c>
      <c r="C30" s="20" t="str">
        <f aca="false">IF(A30="","",IF(F30="Off",0,SUMIFS('Protein Sales'!$K$2:$K$501,'Protein Sales'!$G$2:$G$501,$A30,'Protein Sales'!$A$2:$A$501,"&gt;="&amp;$B$2,'Protein Sales'!$A$2:$A$501,"&lt;="&amp;$D$2)+SUMIFS('Protein Sales'!$L$2:$L$501,'Protein Sales'!$H$2:$H$501,$A30,'Protein Sales'!$A$2:$A$501,"&gt;="&amp;$B$2,'Protein Sales'!$A$2:$A$501,"&lt;="&amp;$D$2)))</f>
        <v/>
      </c>
      <c r="D30" s="20" t="str">
        <f aca="false">IF(A30="","",IF(F30="Off",0,SUMIFS('Diet Support'!$K$2:$K$501,'Diet Support'!$F$2:$F$501,$A30,'Diet Support'!$A$2:$A$501,"&gt;="&amp;$B$2,'Diet Support'!$A$2:$A$501,"&lt;="&amp;$D$2)+SUMIFS('Diet Support'!$L$2:$L$501,'Diet Support'!$G$2:$G$501,$A30,'Diet Support'!$A$2:$A$501,"&gt;="&amp;$B$2,'Diet Support'!$A$2:$A$501,"&lt;="&amp;$D$2)))</f>
        <v/>
      </c>
      <c r="E30" s="20" t="str">
        <f aca="false">IF(A30="","",SUM(B30:D30))</f>
        <v/>
      </c>
      <c r="F30" s="21" t="str">
        <f aca="false">IF(A30="","",IF(Team!E27="","On",Team!E27))</f>
        <v/>
      </c>
    </row>
    <row r="31" customFormat="false" ht="15" hidden="false" customHeight="false" outlineLevel="0" collapsed="false">
      <c r="A31" s="21" t="str">
        <f aca="false">IF(Team!A28="","",Team!A28)</f>
        <v/>
      </c>
      <c r="B31" s="20" t="str">
        <f aca="false">IF(A31="","",IF(F31="Off",0,SUMIFS('Injection Sales'!$M$2:$M$501,'Injection Sales'!$H$2:$H$501,$A31,'Injection Sales'!$A$2:$A$501,"&gt;="&amp;$B$2,'Injection Sales'!$A$2:$A$501,"&lt;="&amp;$D$2)+SUMIFS('Injection Sales'!$N$2:$N$501,'Injection Sales'!$I$2:$I$501,$A31,'Injection Sales'!$A$2:$A$501,"&gt;="&amp;$B$2,'Injection Sales'!$A$2:$A$501,"&lt;="&amp;$D$2)))</f>
        <v/>
      </c>
      <c r="C31" s="20" t="str">
        <f aca="false">IF(A31="","",IF(F31="Off",0,SUMIFS('Protein Sales'!$K$2:$K$501,'Protein Sales'!$G$2:$G$501,$A31,'Protein Sales'!$A$2:$A$501,"&gt;="&amp;$B$2,'Protein Sales'!$A$2:$A$501,"&lt;="&amp;$D$2)+SUMIFS('Protein Sales'!$L$2:$L$501,'Protein Sales'!$H$2:$H$501,$A31,'Protein Sales'!$A$2:$A$501,"&gt;="&amp;$B$2,'Protein Sales'!$A$2:$A$501,"&lt;="&amp;$D$2)))</f>
        <v/>
      </c>
      <c r="D31" s="20" t="str">
        <f aca="false">IF(A31="","",IF(F31="Off",0,SUMIFS('Diet Support'!$K$2:$K$501,'Diet Support'!$F$2:$F$501,$A31,'Diet Support'!$A$2:$A$501,"&gt;="&amp;$B$2,'Diet Support'!$A$2:$A$501,"&lt;="&amp;$D$2)+SUMIFS('Diet Support'!$L$2:$L$501,'Diet Support'!$G$2:$G$501,$A31,'Diet Support'!$A$2:$A$501,"&gt;="&amp;$B$2,'Diet Support'!$A$2:$A$501,"&lt;="&amp;$D$2)))</f>
        <v/>
      </c>
      <c r="E31" s="20" t="str">
        <f aca="false">IF(A31="","",SUM(B31:D31))</f>
        <v/>
      </c>
      <c r="F31" s="21" t="str">
        <f aca="false">IF(A31="","",IF(Team!E28="","On",Team!E28))</f>
        <v/>
      </c>
    </row>
    <row r="32" customFormat="false" ht="15" hidden="false" customHeight="false" outlineLevel="0" collapsed="false">
      <c r="A32" s="21" t="str">
        <f aca="false">IF(Team!A29="","",Team!A29)</f>
        <v/>
      </c>
      <c r="B32" s="20" t="str">
        <f aca="false">IF(A32="","",IF(F32="Off",0,SUMIFS('Injection Sales'!$M$2:$M$501,'Injection Sales'!$H$2:$H$501,$A32,'Injection Sales'!$A$2:$A$501,"&gt;="&amp;$B$2,'Injection Sales'!$A$2:$A$501,"&lt;="&amp;$D$2)+SUMIFS('Injection Sales'!$N$2:$N$501,'Injection Sales'!$I$2:$I$501,$A32,'Injection Sales'!$A$2:$A$501,"&gt;="&amp;$B$2,'Injection Sales'!$A$2:$A$501,"&lt;="&amp;$D$2)))</f>
        <v/>
      </c>
      <c r="C32" s="20" t="str">
        <f aca="false">IF(A32="","",IF(F32="Off",0,SUMIFS('Protein Sales'!$K$2:$K$501,'Protein Sales'!$G$2:$G$501,$A32,'Protein Sales'!$A$2:$A$501,"&gt;="&amp;$B$2,'Protein Sales'!$A$2:$A$501,"&lt;="&amp;$D$2)+SUMIFS('Protein Sales'!$L$2:$L$501,'Protein Sales'!$H$2:$H$501,$A32,'Protein Sales'!$A$2:$A$501,"&gt;="&amp;$B$2,'Protein Sales'!$A$2:$A$501,"&lt;="&amp;$D$2)))</f>
        <v/>
      </c>
      <c r="D32" s="20" t="str">
        <f aca="false">IF(A32="","",IF(F32="Off",0,SUMIFS('Diet Support'!$K$2:$K$501,'Diet Support'!$F$2:$F$501,$A32,'Diet Support'!$A$2:$A$501,"&gt;="&amp;$B$2,'Diet Support'!$A$2:$A$501,"&lt;="&amp;$D$2)+SUMIFS('Diet Support'!$L$2:$L$501,'Diet Support'!$G$2:$G$501,$A32,'Diet Support'!$A$2:$A$501,"&gt;="&amp;$B$2,'Diet Support'!$A$2:$A$501,"&lt;="&amp;$D$2)))</f>
        <v/>
      </c>
      <c r="E32" s="20" t="str">
        <f aca="false">IF(A32="","",SUM(B32:D32))</f>
        <v/>
      </c>
      <c r="F32" s="21" t="str">
        <f aca="false">IF(A32="","",IF(Team!E29="","On",Team!E29))</f>
        <v/>
      </c>
    </row>
    <row r="33" customFormat="false" ht="15" hidden="false" customHeight="false" outlineLevel="0" collapsed="false">
      <c r="A33" s="21" t="str">
        <f aca="false">IF(Team!A30="","",Team!A30)</f>
        <v/>
      </c>
      <c r="B33" s="20" t="str">
        <f aca="false">IF(A33="","",IF(F33="Off",0,SUMIFS('Injection Sales'!$M$2:$M$501,'Injection Sales'!$H$2:$H$501,$A33,'Injection Sales'!$A$2:$A$501,"&gt;="&amp;$B$2,'Injection Sales'!$A$2:$A$501,"&lt;="&amp;$D$2)+SUMIFS('Injection Sales'!$N$2:$N$501,'Injection Sales'!$I$2:$I$501,$A33,'Injection Sales'!$A$2:$A$501,"&gt;="&amp;$B$2,'Injection Sales'!$A$2:$A$501,"&lt;="&amp;$D$2)))</f>
        <v/>
      </c>
      <c r="C33" s="20" t="str">
        <f aca="false">IF(A33="","",IF(F33="Off",0,SUMIFS('Protein Sales'!$K$2:$K$501,'Protein Sales'!$G$2:$G$501,$A33,'Protein Sales'!$A$2:$A$501,"&gt;="&amp;$B$2,'Protein Sales'!$A$2:$A$501,"&lt;="&amp;$D$2)+SUMIFS('Protein Sales'!$L$2:$L$501,'Protein Sales'!$H$2:$H$501,$A33,'Protein Sales'!$A$2:$A$501,"&gt;="&amp;$B$2,'Protein Sales'!$A$2:$A$501,"&lt;="&amp;$D$2)))</f>
        <v/>
      </c>
      <c r="D33" s="20" t="str">
        <f aca="false">IF(A33="","",IF(F33="Off",0,SUMIFS('Diet Support'!$K$2:$K$501,'Diet Support'!$F$2:$F$501,$A33,'Diet Support'!$A$2:$A$501,"&gt;="&amp;$B$2,'Diet Support'!$A$2:$A$501,"&lt;="&amp;$D$2)+SUMIFS('Diet Support'!$L$2:$L$501,'Diet Support'!$G$2:$G$501,$A33,'Diet Support'!$A$2:$A$501,"&gt;="&amp;$B$2,'Diet Support'!$A$2:$A$501,"&lt;="&amp;$D$2)))</f>
        <v/>
      </c>
      <c r="E33" s="20" t="str">
        <f aca="false">IF(A33="","",SUM(B33:D33))</f>
        <v/>
      </c>
      <c r="F33" s="21" t="str">
        <f aca="false">IF(A33="","",IF(Team!E30="","On",Team!E30))</f>
        <v/>
      </c>
    </row>
    <row r="34" customFormat="false" ht="15" hidden="false" customHeight="false" outlineLevel="0" collapsed="false">
      <c r="A34" s="21" t="str">
        <f aca="false">IF(Team!A31="","",Team!A31)</f>
        <v/>
      </c>
      <c r="B34" s="20" t="str">
        <f aca="false">IF(A34="","",IF(F34="Off",0,SUMIFS('Injection Sales'!$M$2:$M$501,'Injection Sales'!$H$2:$H$501,$A34,'Injection Sales'!$A$2:$A$501,"&gt;="&amp;$B$2,'Injection Sales'!$A$2:$A$501,"&lt;="&amp;$D$2)+SUMIFS('Injection Sales'!$N$2:$N$501,'Injection Sales'!$I$2:$I$501,$A34,'Injection Sales'!$A$2:$A$501,"&gt;="&amp;$B$2,'Injection Sales'!$A$2:$A$501,"&lt;="&amp;$D$2)))</f>
        <v/>
      </c>
      <c r="C34" s="20" t="str">
        <f aca="false">IF(A34="","",IF(F34="Off",0,SUMIFS('Protein Sales'!$K$2:$K$501,'Protein Sales'!$G$2:$G$501,$A34,'Protein Sales'!$A$2:$A$501,"&gt;="&amp;$B$2,'Protein Sales'!$A$2:$A$501,"&lt;="&amp;$D$2)+SUMIFS('Protein Sales'!$L$2:$L$501,'Protein Sales'!$H$2:$H$501,$A34,'Protein Sales'!$A$2:$A$501,"&gt;="&amp;$B$2,'Protein Sales'!$A$2:$A$501,"&lt;="&amp;$D$2)))</f>
        <v/>
      </c>
      <c r="D34" s="20" t="str">
        <f aca="false">IF(A34="","",IF(F34="Off",0,SUMIFS('Diet Support'!$K$2:$K$501,'Diet Support'!$F$2:$F$501,$A34,'Diet Support'!$A$2:$A$501,"&gt;="&amp;$B$2,'Diet Support'!$A$2:$A$501,"&lt;="&amp;$D$2)+SUMIFS('Diet Support'!$L$2:$L$501,'Diet Support'!$G$2:$G$501,$A34,'Diet Support'!$A$2:$A$501,"&gt;="&amp;$B$2,'Diet Support'!$A$2:$A$501,"&lt;="&amp;$D$2)))</f>
        <v/>
      </c>
      <c r="E34" s="20" t="str">
        <f aca="false">IF(A34="","",SUM(B34:D34))</f>
        <v/>
      </c>
      <c r="F34" s="21" t="str">
        <f aca="false">IF(A34="","",IF(Team!E31="","On",Team!E31))</f>
        <v/>
      </c>
    </row>
    <row r="35" customFormat="false" ht="15" hidden="false" customHeight="false" outlineLevel="0" collapsed="false">
      <c r="A35" s="21" t="str">
        <f aca="false">IF(Team!A32="","",Team!A32)</f>
        <v/>
      </c>
      <c r="B35" s="20" t="str">
        <f aca="false">IF(A35="","",IF(F35="Off",0,SUMIFS('Injection Sales'!$M$2:$M$501,'Injection Sales'!$H$2:$H$501,$A35,'Injection Sales'!$A$2:$A$501,"&gt;="&amp;$B$2,'Injection Sales'!$A$2:$A$501,"&lt;="&amp;$D$2)+SUMIFS('Injection Sales'!$N$2:$N$501,'Injection Sales'!$I$2:$I$501,$A35,'Injection Sales'!$A$2:$A$501,"&gt;="&amp;$B$2,'Injection Sales'!$A$2:$A$501,"&lt;="&amp;$D$2)))</f>
        <v/>
      </c>
      <c r="C35" s="20" t="str">
        <f aca="false">IF(A35="","",IF(F35="Off",0,SUMIFS('Protein Sales'!$K$2:$K$501,'Protein Sales'!$G$2:$G$501,$A35,'Protein Sales'!$A$2:$A$501,"&gt;="&amp;$B$2,'Protein Sales'!$A$2:$A$501,"&lt;="&amp;$D$2)+SUMIFS('Protein Sales'!$L$2:$L$501,'Protein Sales'!$H$2:$H$501,$A35,'Protein Sales'!$A$2:$A$501,"&gt;="&amp;$B$2,'Protein Sales'!$A$2:$A$501,"&lt;="&amp;$D$2)))</f>
        <v/>
      </c>
      <c r="D35" s="20" t="str">
        <f aca="false">IF(A35="","",IF(F35="Off",0,SUMIFS('Diet Support'!$K$2:$K$501,'Diet Support'!$F$2:$F$501,$A35,'Diet Support'!$A$2:$A$501,"&gt;="&amp;$B$2,'Diet Support'!$A$2:$A$501,"&lt;="&amp;$D$2)+SUMIFS('Diet Support'!$L$2:$L$501,'Diet Support'!$G$2:$G$501,$A35,'Diet Support'!$A$2:$A$501,"&gt;="&amp;$B$2,'Diet Support'!$A$2:$A$501,"&lt;="&amp;$D$2)))</f>
        <v/>
      </c>
      <c r="E35" s="20" t="str">
        <f aca="false">IF(A35="","",SUM(B35:D35))</f>
        <v/>
      </c>
      <c r="F35" s="21" t="str">
        <f aca="false">IF(A35="","",IF(Team!E32="","On",Team!E32))</f>
        <v/>
      </c>
    </row>
    <row r="36" customFormat="false" ht="15" hidden="false" customHeight="false" outlineLevel="0" collapsed="false">
      <c r="A36" s="21" t="str">
        <f aca="false">IF(Team!A33="","",Team!A33)</f>
        <v/>
      </c>
      <c r="B36" s="20" t="str">
        <f aca="false">IF(A36="","",IF(F36="Off",0,SUMIFS('Injection Sales'!$M$2:$M$501,'Injection Sales'!$H$2:$H$501,$A36,'Injection Sales'!$A$2:$A$501,"&gt;="&amp;$B$2,'Injection Sales'!$A$2:$A$501,"&lt;="&amp;$D$2)+SUMIFS('Injection Sales'!$N$2:$N$501,'Injection Sales'!$I$2:$I$501,$A36,'Injection Sales'!$A$2:$A$501,"&gt;="&amp;$B$2,'Injection Sales'!$A$2:$A$501,"&lt;="&amp;$D$2)))</f>
        <v/>
      </c>
      <c r="C36" s="20" t="str">
        <f aca="false">IF(A36="","",IF(F36="Off",0,SUMIFS('Protein Sales'!$K$2:$K$501,'Protein Sales'!$G$2:$G$501,$A36,'Protein Sales'!$A$2:$A$501,"&gt;="&amp;$B$2,'Protein Sales'!$A$2:$A$501,"&lt;="&amp;$D$2)+SUMIFS('Protein Sales'!$L$2:$L$501,'Protein Sales'!$H$2:$H$501,$A36,'Protein Sales'!$A$2:$A$501,"&gt;="&amp;$B$2,'Protein Sales'!$A$2:$A$501,"&lt;="&amp;$D$2)))</f>
        <v/>
      </c>
      <c r="D36" s="20" t="str">
        <f aca="false">IF(A36="","",IF(F36="Off",0,SUMIFS('Diet Support'!$K$2:$K$501,'Diet Support'!$F$2:$F$501,$A36,'Diet Support'!$A$2:$A$501,"&gt;="&amp;$B$2,'Diet Support'!$A$2:$A$501,"&lt;="&amp;$D$2)+SUMIFS('Diet Support'!$L$2:$L$501,'Diet Support'!$G$2:$G$501,$A36,'Diet Support'!$A$2:$A$501,"&gt;="&amp;$B$2,'Diet Support'!$A$2:$A$501,"&lt;="&amp;$D$2)))</f>
        <v/>
      </c>
      <c r="E36" s="20" t="str">
        <f aca="false">IF(A36="","",SUM(B36:D36))</f>
        <v/>
      </c>
      <c r="F36" s="21" t="str">
        <f aca="false">IF(A36="","",IF(Team!E33="","On",Team!E33))</f>
        <v/>
      </c>
    </row>
    <row r="37" customFormat="false" ht="15" hidden="false" customHeight="false" outlineLevel="0" collapsed="false">
      <c r="A37" s="21" t="str">
        <f aca="false">IF(Team!A34="","",Team!A34)</f>
        <v/>
      </c>
      <c r="B37" s="20" t="str">
        <f aca="false">IF(A37="","",IF(F37="Off",0,SUMIFS('Injection Sales'!$M$2:$M$501,'Injection Sales'!$H$2:$H$501,$A37,'Injection Sales'!$A$2:$A$501,"&gt;="&amp;$B$2,'Injection Sales'!$A$2:$A$501,"&lt;="&amp;$D$2)+SUMIFS('Injection Sales'!$N$2:$N$501,'Injection Sales'!$I$2:$I$501,$A37,'Injection Sales'!$A$2:$A$501,"&gt;="&amp;$B$2,'Injection Sales'!$A$2:$A$501,"&lt;="&amp;$D$2)))</f>
        <v/>
      </c>
      <c r="C37" s="20" t="str">
        <f aca="false">IF(A37="","",IF(F37="Off",0,SUMIFS('Protein Sales'!$K$2:$K$501,'Protein Sales'!$G$2:$G$501,$A37,'Protein Sales'!$A$2:$A$501,"&gt;="&amp;$B$2,'Protein Sales'!$A$2:$A$501,"&lt;="&amp;$D$2)+SUMIFS('Protein Sales'!$L$2:$L$501,'Protein Sales'!$H$2:$H$501,$A37,'Protein Sales'!$A$2:$A$501,"&gt;="&amp;$B$2,'Protein Sales'!$A$2:$A$501,"&lt;="&amp;$D$2)))</f>
        <v/>
      </c>
      <c r="D37" s="20" t="str">
        <f aca="false">IF(A37="","",IF(F37="Off",0,SUMIFS('Diet Support'!$K$2:$K$501,'Diet Support'!$F$2:$F$501,$A37,'Diet Support'!$A$2:$A$501,"&gt;="&amp;$B$2,'Diet Support'!$A$2:$A$501,"&lt;="&amp;$D$2)+SUMIFS('Diet Support'!$L$2:$L$501,'Diet Support'!$G$2:$G$501,$A37,'Diet Support'!$A$2:$A$501,"&gt;="&amp;$B$2,'Diet Support'!$A$2:$A$501,"&lt;="&amp;$D$2)))</f>
        <v/>
      </c>
      <c r="E37" s="20" t="str">
        <f aca="false">IF(A37="","",SUM(B37:D37))</f>
        <v/>
      </c>
      <c r="F37" s="21" t="str">
        <f aca="false">IF(A37="","",IF(Team!E34="","On",Team!E34))</f>
        <v/>
      </c>
    </row>
    <row r="38" customFormat="false" ht="15" hidden="false" customHeight="false" outlineLevel="0" collapsed="false">
      <c r="A38" s="21" t="str">
        <f aca="false">IF(Team!A35="","",Team!A35)</f>
        <v/>
      </c>
      <c r="B38" s="20" t="str">
        <f aca="false">IF(A38="","",IF(F38="Off",0,SUMIFS('Injection Sales'!$M$2:$M$501,'Injection Sales'!$H$2:$H$501,$A38,'Injection Sales'!$A$2:$A$501,"&gt;="&amp;$B$2,'Injection Sales'!$A$2:$A$501,"&lt;="&amp;$D$2)+SUMIFS('Injection Sales'!$N$2:$N$501,'Injection Sales'!$I$2:$I$501,$A38,'Injection Sales'!$A$2:$A$501,"&gt;="&amp;$B$2,'Injection Sales'!$A$2:$A$501,"&lt;="&amp;$D$2)))</f>
        <v/>
      </c>
      <c r="C38" s="20" t="str">
        <f aca="false">IF(A38="","",IF(F38="Off",0,SUMIFS('Protein Sales'!$K$2:$K$501,'Protein Sales'!$G$2:$G$501,$A38,'Protein Sales'!$A$2:$A$501,"&gt;="&amp;$B$2,'Protein Sales'!$A$2:$A$501,"&lt;="&amp;$D$2)+SUMIFS('Protein Sales'!$L$2:$L$501,'Protein Sales'!$H$2:$H$501,$A38,'Protein Sales'!$A$2:$A$501,"&gt;="&amp;$B$2,'Protein Sales'!$A$2:$A$501,"&lt;="&amp;$D$2)))</f>
        <v/>
      </c>
      <c r="D38" s="20" t="str">
        <f aca="false">IF(A38="","",IF(F38="Off",0,SUMIFS('Diet Support'!$K$2:$K$501,'Diet Support'!$F$2:$F$501,$A38,'Diet Support'!$A$2:$A$501,"&gt;="&amp;$B$2,'Diet Support'!$A$2:$A$501,"&lt;="&amp;$D$2)+SUMIFS('Diet Support'!$L$2:$L$501,'Diet Support'!$G$2:$G$501,$A38,'Diet Support'!$A$2:$A$501,"&gt;="&amp;$B$2,'Diet Support'!$A$2:$A$501,"&lt;="&amp;$D$2)))</f>
        <v/>
      </c>
      <c r="E38" s="20" t="str">
        <f aca="false">IF(A38="","",SUM(B38:D38))</f>
        <v/>
      </c>
      <c r="F38" s="21" t="str">
        <f aca="false">IF(A38="","",IF(Team!E35="","On",Team!E35))</f>
        <v/>
      </c>
    </row>
    <row r="39" customFormat="false" ht="15" hidden="false" customHeight="false" outlineLevel="0" collapsed="false">
      <c r="A39" s="21" t="str">
        <f aca="false">IF(Team!A36="","",Team!A36)</f>
        <v/>
      </c>
      <c r="B39" s="20" t="str">
        <f aca="false">IF(A39="","",IF(F39="Off",0,SUMIFS('Injection Sales'!$M$2:$M$501,'Injection Sales'!$H$2:$H$501,$A39,'Injection Sales'!$A$2:$A$501,"&gt;="&amp;$B$2,'Injection Sales'!$A$2:$A$501,"&lt;="&amp;$D$2)+SUMIFS('Injection Sales'!$N$2:$N$501,'Injection Sales'!$I$2:$I$501,$A39,'Injection Sales'!$A$2:$A$501,"&gt;="&amp;$B$2,'Injection Sales'!$A$2:$A$501,"&lt;="&amp;$D$2)))</f>
        <v/>
      </c>
      <c r="C39" s="20" t="str">
        <f aca="false">IF(A39="","",IF(F39="Off",0,SUMIFS('Protein Sales'!$K$2:$K$501,'Protein Sales'!$G$2:$G$501,$A39,'Protein Sales'!$A$2:$A$501,"&gt;="&amp;$B$2,'Protein Sales'!$A$2:$A$501,"&lt;="&amp;$D$2)+SUMIFS('Protein Sales'!$L$2:$L$501,'Protein Sales'!$H$2:$H$501,$A39,'Protein Sales'!$A$2:$A$501,"&gt;="&amp;$B$2,'Protein Sales'!$A$2:$A$501,"&lt;="&amp;$D$2)))</f>
        <v/>
      </c>
      <c r="D39" s="20" t="str">
        <f aca="false">IF(A39="","",IF(F39="Off",0,SUMIFS('Diet Support'!$K$2:$K$501,'Diet Support'!$F$2:$F$501,$A39,'Diet Support'!$A$2:$A$501,"&gt;="&amp;$B$2,'Diet Support'!$A$2:$A$501,"&lt;="&amp;$D$2)+SUMIFS('Diet Support'!$L$2:$L$501,'Diet Support'!$G$2:$G$501,$A39,'Diet Support'!$A$2:$A$501,"&gt;="&amp;$B$2,'Diet Support'!$A$2:$A$501,"&lt;="&amp;$D$2)))</f>
        <v/>
      </c>
      <c r="E39" s="20" t="str">
        <f aca="false">IF(A39="","",SUM(B39:D39))</f>
        <v/>
      </c>
      <c r="F39" s="21" t="str">
        <f aca="false">IF(A39="","",IF(Team!E36="","On",Team!E36))</f>
        <v/>
      </c>
    </row>
    <row r="40" customFormat="false" ht="15" hidden="false" customHeight="false" outlineLevel="0" collapsed="false">
      <c r="A40" s="21" t="str">
        <f aca="false">IF(Team!A37="","",Team!A37)</f>
        <v/>
      </c>
      <c r="B40" s="20" t="str">
        <f aca="false">IF(A40="","",IF(F40="Off",0,SUMIFS('Injection Sales'!$M$2:$M$501,'Injection Sales'!$H$2:$H$501,$A40,'Injection Sales'!$A$2:$A$501,"&gt;="&amp;$B$2,'Injection Sales'!$A$2:$A$501,"&lt;="&amp;$D$2)+SUMIFS('Injection Sales'!$N$2:$N$501,'Injection Sales'!$I$2:$I$501,$A40,'Injection Sales'!$A$2:$A$501,"&gt;="&amp;$B$2,'Injection Sales'!$A$2:$A$501,"&lt;="&amp;$D$2)))</f>
        <v/>
      </c>
      <c r="C40" s="20" t="str">
        <f aca="false">IF(A40="","",IF(F40="Off",0,SUMIFS('Protein Sales'!$K$2:$K$501,'Protein Sales'!$G$2:$G$501,$A40,'Protein Sales'!$A$2:$A$501,"&gt;="&amp;$B$2,'Protein Sales'!$A$2:$A$501,"&lt;="&amp;$D$2)+SUMIFS('Protein Sales'!$L$2:$L$501,'Protein Sales'!$H$2:$H$501,$A40,'Protein Sales'!$A$2:$A$501,"&gt;="&amp;$B$2,'Protein Sales'!$A$2:$A$501,"&lt;="&amp;$D$2)))</f>
        <v/>
      </c>
      <c r="D40" s="20" t="str">
        <f aca="false">IF(A40="","",IF(F40="Off",0,SUMIFS('Diet Support'!$K$2:$K$501,'Diet Support'!$F$2:$F$501,$A40,'Diet Support'!$A$2:$A$501,"&gt;="&amp;$B$2,'Diet Support'!$A$2:$A$501,"&lt;="&amp;$D$2)+SUMIFS('Diet Support'!$L$2:$L$501,'Diet Support'!$G$2:$G$501,$A40,'Diet Support'!$A$2:$A$501,"&gt;="&amp;$B$2,'Diet Support'!$A$2:$A$501,"&lt;="&amp;$D$2)))</f>
        <v/>
      </c>
      <c r="E40" s="20" t="str">
        <f aca="false">IF(A40="","",SUM(B40:D40))</f>
        <v/>
      </c>
      <c r="F40" s="21" t="str">
        <f aca="false">IF(A40="","",IF(Team!E37="","On",Team!E37))</f>
        <v/>
      </c>
    </row>
    <row r="41" customFormat="false" ht="15" hidden="false" customHeight="false" outlineLevel="0" collapsed="false">
      <c r="A41" s="21" t="str">
        <f aca="false">IF(Team!A38="","",Team!A38)</f>
        <v/>
      </c>
      <c r="B41" s="20" t="str">
        <f aca="false">IF(A41="","",IF(F41="Off",0,SUMIFS('Injection Sales'!$M$2:$M$501,'Injection Sales'!$H$2:$H$501,$A41,'Injection Sales'!$A$2:$A$501,"&gt;="&amp;$B$2,'Injection Sales'!$A$2:$A$501,"&lt;="&amp;$D$2)+SUMIFS('Injection Sales'!$N$2:$N$501,'Injection Sales'!$I$2:$I$501,$A41,'Injection Sales'!$A$2:$A$501,"&gt;="&amp;$B$2,'Injection Sales'!$A$2:$A$501,"&lt;="&amp;$D$2)))</f>
        <v/>
      </c>
      <c r="C41" s="20" t="str">
        <f aca="false">IF(A41="","",IF(F41="Off",0,SUMIFS('Protein Sales'!$K$2:$K$501,'Protein Sales'!$G$2:$G$501,$A41,'Protein Sales'!$A$2:$A$501,"&gt;="&amp;$B$2,'Protein Sales'!$A$2:$A$501,"&lt;="&amp;$D$2)+SUMIFS('Protein Sales'!$L$2:$L$501,'Protein Sales'!$H$2:$H$501,$A41,'Protein Sales'!$A$2:$A$501,"&gt;="&amp;$B$2,'Protein Sales'!$A$2:$A$501,"&lt;="&amp;$D$2)))</f>
        <v/>
      </c>
      <c r="D41" s="20" t="str">
        <f aca="false">IF(A41="","",IF(F41="Off",0,SUMIFS('Diet Support'!$K$2:$K$501,'Diet Support'!$F$2:$F$501,$A41,'Diet Support'!$A$2:$A$501,"&gt;="&amp;$B$2,'Diet Support'!$A$2:$A$501,"&lt;="&amp;$D$2)+SUMIFS('Diet Support'!$L$2:$L$501,'Diet Support'!$G$2:$G$501,$A41,'Diet Support'!$A$2:$A$501,"&gt;="&amp;$B$2,'Diet Support'!$A$2:$A$501,"&lt;="&amp;$D$2)))</f>
        <v/>
      </c>
      <c r="E41" s="20" t="str">
        <f aca="false">IF(A41="","",SUM(B41:D41))</f>
        <v/>
      </c>
      <c r="F41" s="21" t="str">
        <f aca="false">IF(A41="","",IF(Team!E38="","On",Team!E38))</f>
        <v/>
      </c>
    </row>
    <row r="42" customFormat="false" ht="15" hidden="false" customHeight="false" outlineLevel="0" collapsed="false">
      <c r="A42" s="21" t="str">
        <f aca="false">IF(Team!A39="","",Team!A39)</f>
        <v/>
      </c>
      <c r="B42" s="20" t="str">
        <f aca="false">IF(A42="","",IF(F42="Off",0,SUMIFS('Injection Sales'!$M$2:$M$501,'Injection Sales'!$H$2:$H$501,$A42,'Injection Sales'!$A$2:$A$501,"&gt;="&amp;$B$2,'Injection Sales'!$A$2:$A$501,"&lt;="&amp;$D$2)+SUMIFS('Injection Sales'!$N$2:$N$501,'Injection Sales'!$I$2:$I$501,$A42,'Injection Sales'!$A$2:$A$501,"&gt;="&amp;$B$2,'Injection Sales'!$A$2:$A$501,"&lt;="&amp;$D$2)))</f>
        <v/>
      </c>
      <c r="C42" s="20" t="str">
        <f aca="false">IF(A42="","",IF(F42="Off",0,SUMIFS('Protein Sales'!$K$2:$K$501,'Protein Sales'!$G$2:$G$501,$A42,'Protein Sales'!$A$2:$A$501,"&gt;="&amp;$B$2,'Protein Sales'!$A$2:$A$501,"&lt;="&amp;$D$2)+SUMIFS('Protein Sales'!$L$2:$L$501,'Protein Sales'!$H$2:$H$501,$A42,'Protein Sales'!$A$2:$A$501,"&gt;="&amp;$B$2,'Protein Sales'!$A$2:$A$501,"&lt;="&amp;$D$2)))</f>
        <v/>
      </c>
      <c r="D42" s="20" t="str">
        <f aca="false">IF(A42="","",IF(F42="Off",0,SUMIFS('Diet Support'!$K$2:$K$501,'Diet Support'!$F$2:$F$501,$A42,'Diet Support'!$A$2:$A$501,"&gt;="&amp;$B$2,'Diet Support'!$A$2:$A$501,"&lt;="&amp;$D$2)+SUMIFS('Diet Support'!$L$2:$L$501,'Diet Support'!$G$2:$G$501,$A42,'Diet Support'!$A$2:$A$501,"&gt;="&amp;$B$2,'Diet Support'!$A$2:$A$501,"&lt;="&amp;$D$2)))</f>
        <v/>
      </c>
      <c r="E42" s="20" t="str">
        <f aca="false">IF(A42="","",SUM(B42:D42))</f>
        <v/>
      </c>
      <c r="F42" s="21" t="str">
        <f aca="false">IF(A42="","",IF(Team!E39="","On",Team!E39))</f>
        <v/>
      </c>
    </row>
    <row r="43" customFormat="false" ht="15" hidden="false" customHeight="false" outlineLevel="0" collapsed="false">
      <c r="A43" s="21" t="str">
        <f aca="false">IF(Team!A40="","",Team!A40)</f>
        <v/>
      </c>
      <c r="B43" s="20" t="str">
        <f aca="false">IF(A43="","",IF(F43="Off",0,SUMIFS('Injection Sales'!$M$2:$M$501,'Injection Sales'!$H$2:$H$501,$A43,'Injection Sales'!$A$2:$A$501,"&gt;="&amp;$B$2,'Injection Sales'!$A$2:$A$501,"&lt;="&amp;$D$2)+SUMIFS('Injection Sales'!$N$2:$N$501,'Injection Sales'!$I$2:$I$501,$A43,'Injection Sales'!$A$2:$A$501,"&gt;="&amp;$B$2,'Injection Sales'!$A$2:$A$501,"&lt;="&amp;$D$2)))</f>
        <v/>
      </c>
      <c r="C43" s="20" t="str">
        <f aca="false">IF(A43="","",IF(F43="Off",0,SUMIFS('Protein Sales'!$K$2:$K$501,'Protein Sales'!$G$2:$G$501,$A43,'Protein Sales'!$A$2:$A$501,"&gt;="&amp;$B$2,'Protein Sales'!$A$2:$A$501,"&lt;="&amp;$D$2)+SUMIFS('Protein Sales'!$L$2:$L$501,'Protein Sales'!$H$2:$H$501,$A43,'Protein Sales'!$A$2:$A$501,"&gt;="&amp;$B$2,'Protein Sales'!$A$2:$A$501,"&lt;="&amp;$D$2)))</f>
        <v/>
      </c>
      <c r="D43" s="20" t="str">
        <f aca="false">IF(A43="","",IF(F43="Off",0,SUMIFS('Diet Support'!$K$2:$K$501,'Diet Support'!$F$2:$F$501,$A43,'Diet Support'!$A$2:$A$501,"&gt;="&amp;$B$2,'Diet Support'!$A$2:$A$501,"&lt;="&amp;$D$2)+SUMIFS('Diet Support'!$L$2:$L$501,'Diet Support'!$G$2:$G$501,$A43,'Diet Support'!$A$2:$A$501,"&gt;="&amp;$B$2,'Diet Support'!$A$2:$A$501,"&lt;="&amp;$D$2)))</f>
        <v/>
      </c>
      <c r="E43" s="20" t="str">
        <f aca="false">IF(A43="","",SUM(B43:D43))</f>
        <v/>
      </c>
      <c r="F43" s="21" t="str">
        <f aca="false">IF(A43="","",IF(Team!E40="","On",Team!E40))</f>
        <v/>
      </c>
    </row>
    <row r="44" customFormat="false" ht="15" hidden="false" customHeight="false" outlineLevel="0" collapsed="false">
      <c r="A44" s="21" t="str">
        <f aca="false">IF(Team!A41="","",Team!A41)</f>
        <v/>
      </c>
      <c r="B44" s="20" t="str">
        <f aca="false">IF(A44="","",IF(F44="Off",0,SUMIFS('Injection Sales'!$M$2:$M$501,'Injection Sales'!$H$2:$H$501,$A44,'Injection Sales'!$A$2:$A$501,"&gt;="&amp;$B$2,'Injection Sales'!$A$2:$A$501,"&lt;="&amp;$D$2)+SUMIFS('Injection Sales'!$N$2:$N$501,'Injection Sales'!$I$2:$I$501,$A44,'Injection Sales'!$A$2:$A$501,"&gt;="&amp;$B$2,'Injection Sales'!$A$2:$A$501,"&lt;="&amp;$D$2)))</f>
        <v/>
      </c>
      <c r="C44" s="20" t="str">
        <f aca="false">IF(A44="","",IF(F44="Off",0,SUMIFS('Protein Sales'!$K$2:$K$501,'Protein Sales'!$G$2:$G$501,$A44,'Protein Sales'!$A$2:$A$501,"&gt;="&amp;$B$2,'Protein Sales'!$A$2:$A$501,"&lt;="&amp;$D$2)+SUMIFS('Protein Sales'!$L$2:$L$501,'Protein Sales'!$H$2:$H$501,$A44,'Protein Sales'!$A$2:$A$501,"&gt;="&amp;$B$2,'Protein Sales'!$A$2:$A$501,"&lt;="&amp;$D$2)))</f>
        <v/>
      </c>
      <c r="D44" s="20" t="str">
        <f aca="false">IF(A44="","",IF(F44="Off",0,SUMIFS('Diet Support'!$K$2:$K$501,'Diet Support'!$F$2:$F$501,$A44,'Diet Support'!$A$2:$A$501,"&gt;="&amp;$B$2,'Diet Support'!$A$2:$A$501,"&lt;="&amp;$D$2)+SUMIFS('Diet Support'!$L$2:$L$501,'Diet Support'!$G$2:$G$501,$A44,'Diet Support'!$A$2:$A$501,"&gt;="&amp;$B$2,'Diet Support'!$A$2:$A$501,"&lt;="&amp;$D$2)))</f>
        <v/>
      </c>
      <c r="E44" s="20" t="str">
        <f aca="false">IF(A44="","",SUM(B44:D44))</f>
        <v/>
      </c>
      <c r="F44" s="21" t="str">
        <f aca="false">IF(A44="","",IF(Team!E41="","On",Team!E41))</f>
        <v/>
      </c>
    </row>
    <row r="45" customFormat="false" ht="15" hidden="false" customHeight="false" outlineLevel="0" collapsed="false">
      <c r="A45" s="21" t="str">
        <f aca="false">IF(Team!A42="","",Team!A42)</f>
        <v/>
      </c>
      <c r="B45" s="20" t="str">
        <f aca="false">IF(A45="","",IF(F45="Off",0,SUMIFS('Injection Sales'!$M$2:$M$501,'Injection Sales'!$H$2:$H$501,$A45,'Injection Sales'!$A$2:$A$501,"&gt;="&amp;$B$2,'Injection Sales'!$A$2:$A$501,"&lt;="&amp;$D$2)+SUMIFS('Injection Sales'!$N$2:$N$501,'Injection Sales'!$I$2:$I$501,$A45,'Injection Sales'!$A$2:$A$501,"&gt;="&amp;$B$2,'Injection Sales'!$A$2:$A$501,"&lt;="&amp;$D$2)))</f>
        <v/>
      </c>
      <c r="C45" s="20" t="str">
        <f aca="false">IF(A45="","",IF(F45="Off",0,SUMIFS('Protein Sales'!$K$2:$K$501,'Protein Sales'!$G$2:$G$501,$A45,'Protein Sales'!$A$2:$A$501,"&gt;="&amp;$B$2,'Protein Sales'!$A$2:$A$501,"&lt;="&amp;$D$2)+SUMIFS('Protein Sales'!$L$2:$L$501,'Protein Sales'!$H$2:$H$501,$A45,'Protein Sales'!$A$2:$A$501,"&gt;="&amp;$B$2,'Protein Sales'!$A$2:$A$501,"&lt;="&amp;$D$2)))</f>
        <v/>
      </c>
      <c r="D45" s="20" t="str">
        <f aca="false">IF(A45="","",IF(F45="Off",0,SUMIFS('Diet Support'!$K$2:$K$501,'Diet Support'!$F$2:$F$501,$A45,'Diet Support'!$A$2:$A$501,"&gt;="&amp;$B$2,'Diet Support'!$A$2:$A$501,"&lt;="&amp;$D$2)+SUMIFS('Diet Support'!$L$2:$L$501,'Diet Support'!$G$2:$G$501,$A45,'Diet Support'!$A$2:$A$501,"&gt;="&amp;$B$2,'Diet Support'!$A$2:$A$501,"&lt;="&amp;$D$2)))</f>
        <v/>
      </c>
      <c r="E45" s="20" t="str">
        <f aca="false">IF(A45="","",SUM(B45:D45))</f>
        <v/>
      </c>
      <c r="F45" s="21" t="str">
        <f aca="false">IF(A45="","",IF(Team!E42="","On",Team!E42))</f>
        <v/>
      </c>
    </row>
    <row r="46" customFormat="false" ht="15" hidden="false" customHeight="false" outlineLevel="0" collapsed="false">
      <c r="A46" s="21" t="str">
        <f aca="false">IF(Team!A43="","",Team!A43)</f>
        <v/>
      </c>
      <c r="B46" s="20" t="str">
        <f aca="false">IF(A46="","",IF(F46="Off",0,SUMIFS('Injection Sales'!$M$2:$M$501,'Injection Sales'!$H$2:$H$501,$A46,'Injection Sales'!$A$2:$A$501,"&gt;="&amp;$B$2,'Injection Sales'!$A$2:$A$501,"&lt;="&amp;$D$2)+SUMIFS('Injection Sales'!$N$2:$N$501,'Injection Sales'!$I$2:$I$501,$A46,'Injection Sales'!$A$2:$A$501,"&gt;="&amp;$B$2,'Injection Sales'!$A$2:$A$501,"&lt;="&amp;$D$2)))</f>
        <v/>
      </c>
      <c r="C46" s="20" t="str">
        <f aca="false">IF(A46="","",IF(F46="Off",0,SUMIFS('Protein Sales'!$K$2:$K$501,'Protein Sales'!$G$2:$G$501,$A46,'Protein Sales'!$A$2:$A$501,"&gt;="&amp;$B$2,'Protein Sales'!$A$2:$A$501,"&lt;="&amp;$D$2)+SUMIFS('Protein Sales'!$L$2:$L$501,'Protein Sales'!$H$2:$H$501,$A46,'Protein Sales'!$A$2:$A$501,"&gt;="&amp;$B$2,'Protein Sales'!$A$2:$A$501,"&lt;="&amp;$D$2)))</f>
        <v/>
      </c>
      <c r="D46" s="20" t="str">
        <f aca="false">IF(A46="","",IF(F46="Off",0,SUMIFS('Diet Support'!$K$2:$K$501,'Diet Support'!$F$2:$F$501,$A46,'Diet Support'!$A$2:$A$501,"&gt;="&amp;$B$2,'Diet Support'!$A$2:$A$501,"&lt;="&amp;$D$2)+SUMIFS('Diet Support'!$L$2:$L$501,'Diet Support'!$G$2:$G$501,$A46,'Diet Support'!$A$2:$A$501,"&gt;="&amp;$B$2,'Diet Support'!$A$2:$A$501,"&lt;="&amp;$D$2)))</f>
        <v/>
      </c>
      <c r="E46" s="20" t="str">
        <f aca="false">IF(A46="","",SUM(B46:D46))</f>
        <v/>
      </c>
      <c r="F46" s="21" t="str">
        <f aca="false">IF(A46="","",IF(Team!E43="","On",Team!E43))</f>
        <v/>
      </c>
    </row>
    <row r="47" customFormat="false" ht="15" hidden="false" customHeight="false" outlineLevel="0" collapsed="false">
      <c r="A47" s="21" t="str">
        <f aca="false">IF(Team!A44="","",Team!A44)</f>
        <v/>
      </c>
      <c r="B47" s="20" t="str">
        <f aca="false">IF(A47="","",IF(F47="Off",0,SUMIFS('Injection Sales'!$M$2:$M$501,'Injection Sales'!$H$2:$H$501,$A47,'Injection Sales'!$A$2:$A$501,"&gt;="&amp;$B$2,'Injection Sales'!$A$2:$A$501,"&lt;="&amp;$D$2)+SUMIFS('Injection Sales'!$N$2:$N$501,'Injection Sales'!$I$2:$I$501,$A47,'Injection Sales'!$A$2:$A$501,"&gt;="&amp;$B$2,'Injection Sales'!$A$2:$A$501,"&lt;="&amp;$D$2)))</f>
        <v/>
      </c>
      <c r="C47" s="20" t="str">
        <f aca="false">IF(A47="","",IF(F47="Off",0,SUMIFS('Protein Sales'!$K$2:$K$501,'Protein Sales'!$G$2:$G$501,$A47,'Protein Sales'!$A$2:$A$501,"&gt;="&amp;$B$2,'Protein Sales'!$A$2:$A$501,"&lt;="&amp;$D$2)+SUMIFS('Protein Sales'!$L$2:$L$501,'Protein Sales'!$H$2:$H$501,$A47,'Protein Sales'!$A$2:$A$501,"&gt;="&amp;$B$2,'Protein Sales'!$A$2:$A$501,"&lt;="&amp;$D$2)))</f>
        <v/>
      </c>
      <c r="D47" s="20" t="str">
        <f aca="false">IF(A47="","",IF(F47="Off",0,SUMIFS('Diet Support'!$K$2:$K$501,'Diet Support'!$F$2:$F$501,$A47,'Diet Support'!$A$2:$A$501,"&gt;="&amp;$B$2,'Diet Support'!$A$2:$A$501,"&lt;="&amp;$D$2)+SUMIFS('Diet Support'!$L$2:$L$501,'Diet Support'!$G$2:$G$501,$A47,'Diet Support'!$A$2:$A$501,"&gt;="&amp;$B$2,'Diet Support'!$A$2:$A$501,"&lt;="&amp;$D$2)))</f>
        <v/>
      </c>
      <c r="E47" s="20" t="str">
        <f aca="false">IF(A47="","",SUM(B47:D47))</f>
        <v/>
      </c>
      <c r="F47" s="21" t="str">
        <f aca="false">IF(A47="","",IF(Team!E44="","On",Team!E44))</f>
        <v/>
      </c>
    </row>
    <row r="48" customFormat="false" ht="15" hidden="false" customHeight="false" outlineLevel="0" collapsed="false">
      <c r="A48" s="21" t="str">
        <f aca="false">IF(Team!A45="","",Team!A45)</f>
        <v/>
      </c>
      <c r="B48" s="20" t="str">
        <f aca="false">IF(A48="","",IF(F48="Off",0,SUMIFS('Injection Sales'!$M$2:$M$501,'Injection Sales'!$H$2:$H$501,$A48,'Injection Sales'!$A$2:$A$501,"&gt;="&amp;$B$2,'Injection Sales'!$A$2:$A$501,"&lt;="&amp;$D$2)+SUMIFS('Injection Sales'!$N$2:$N$501,'Injection Sales'!$I$2:$I$501,$A48,'Injection Sales'!$A$2:$A$501,"&gt;="&amp;$B$2,'Injection Sales'!$A$2:$A$501,"&lt;="&amp;$D$2)))</f>
        <v/>
      </c>
      <c r="C48" s="20" t="str">
        <f aca="false">IF(A48="","",IF(F48="Off",0,SUMIFS('Protein Sales'!$K$2:$K$501,'Protein Sales'!$G$2:$G$501,$A48,'Protein Sales'!$A$2:$A$501,"&gt;="&amp;$B$2,'Protein Sales'!$A$2:$A$501,"&lt;="&amp;$D$2)+SUMIFS('Protein Sales'!$L$2:$L$501,'Protein Sales'!$H$2:$H$501,$A48,'Protein Sales'!$A$2:$A$501,"&gt;="&amp;$B$2,'Protein Sales'!$A$2:$A$501,"&lt;="&amp;$D$2)))</f>
        <v/>
      </c>
      <c r="D48" s="20" t="str">
        <f aca="false">IF(A48="","",IF(F48="Off",0,SUMIFS('Diet Support'!$K$2:$K$501,'Diet Support'!$F$2:$F$501,$A48,'Diet Support'!$A$2:$A$501,"&gt;="&amp;$B$2,'Diet Support'!$A$2:$A$501,"&lt;="&amp;$D$2)+SUMIFS('Diet Support'!$L$2:$L$501,'Diet Support'!$G$2:$G$501,$A48,'Diet Support'!$A$2:$A$501,"&gt;="&amp;$B$2,'Diet Support'!$A$2:$A$501,"&lt;="&amp;$D$2)))</f>
        <v/>
      </c>
      <c r="E48" s="20" t="str">
        <f aca="false">IF(A48="","",SUM(B48:D48))</f>
        <v/>
      </c>
      <c r="F48" s="21" t="str">
        <f aca="false">IF(A48="","",IF(Team!E45="","On",Team!E45))</f>
        <v/>
      </c>
    </row>
    <row r="49" customFormat="false" ht="15" hidden="false" customHeight="false" outlineLevel="0" collapsed="false">
      <c r="A49" s="21" t="str">
        <f aca="false">IF(Team!A46="","",Team!A46)</f>
        <v/>
      </c>
      <c r="B49" s="20" t="str">
        <f aca="false">IF(A49="","",IF(F49="Off",0,SUMIFS('Injection Sales'!$M$2:$M$501,'Injection Sales'!$H$2:$H$501,$A49,'Injection Sales'!$A$2:$A$501,"&gt;="&amp;$B$2,'Injection Sales'!$A$2:$A$501,"&lt;="&amp;$D$2)+SUMIFS('Injection Sales'!$N$2:$N$501,'Injection Sales'!$I$2:$I$501,$A49,'Injection Sales'!$A$2:$A$501,"&gt;="&amp;$B$2,'Injection Sales'!$A$2:$A$501,"&lt;="&amp;$D$2)))</f>
        <v/>
      </c>
      <c r="C49" s="20" t="str">
        <f aca="false">IF(A49="","",IF(F49="Off",0,SUMIFS('Protein Sales'!$K$2:$K$501,'Protein Sales'!$G$2:$G$501,$A49,'Protein Sales'!$A$2:$A$501,"&gt;="&amp;$B$2,'Protein Sales'!$A$2:$A$501,"&lt;="&amp;$D$2)+SUMIFS('Protein Sales'!$L$2:$L$501,'Protein Sales'!$H$2:$H$501,$A49,'Protein Sales'!$A$2:$A$501,"&gt;="&amp;$B$2,'Protein Sales'!$A$2:$A$501,"&lt;="&amp;$D$2)))</f>
        <v/>
      </c>
      <c r="D49" s="20" t="str">
        <f aca="false">IF(A49="","",IF(F49="Off",0,SUMIFS('Diet Support'!$K$2:$K$501,'Diet Support'!$F$2:$F$501,$A49,'Diet Support'!$A$2:$A$501,"&gt;="&amp;$B$2,'Diet Support'!$A$2:$A$501,"&lt;="&amp;$D$2)+SUMIFS('Diet Support'!$L$2:$L$501,'Diet Support'!$G$2:$G$501,$A49,'Diet Support'!$A$2:$A$501,"&gt;="&amp;$B$2,'Diet Support'!$A$2:$A$501,"&lt;="&amp;$D$2)))</f>
        <v/>
      </c>
      <c r="E49" s="20" t="str">
        <f aca="false">IF(A49="","",SUM(B49:D49))</f>
        <v/>
      </c>
      <c r="F49" s="21" t="str">
        <f aca="false">IF(A49="","",IF(Team!E46="","On",Team!E46))</f>
        <v/>
      </c>
    </row>
    <row r="50" customFormat="false" ht="15" hidden="false" customHeight="false" outlineLevel="0" collapsed="false">
      <c r="A50" s="21" t="str">
        <f aca="false">IF(Team!A47="","",Team!A47)</f>
        <v/>
      </c>
      <c r="B50" s="20" t="str">
        <f aca="false">IF(A50="","",IF(F50="Off",0,SUMIFS('Injection Sales'!$M$2:$M$501,'Injection Sales'!$H$2:$H$501,$A50,'Injection Sales'!$A$2:$A$501,"&gt;="&amp;$B$2,'Injection Sales'!$A$2:$A$501,"&lt;="&amp;$D$2)+SUMIFS('Injection Sales'!$N$2:$N$501,'Injection Sales'!$I$2:$I$501,$A50,'Injection Sales'!$A$2:$A$501,"&gt;="&amp;$B$2,'Injection Sales'!$A$2:$A$501,"&lt;="&amp;$D$2)))</f>
        <v/>
      </c>
      <c r="C50" s="20" t="str">
        <f aca="false">IF(A50="","",IF(F50="Off",0,SUMIFS('Protein Sales'!$K$2:$K$501,'Protein Sales'!$G$2:$G$501,$A50,'Protein Sales'!$A$2:$A$501,"&gt;="&amp;$B$2,'Protein Sales'!$A$2:$A$501,"&lt;="&amp;$D$2)+SUMIFS('Protein Sales'!$L$2:$L$501,'Protein Sales'!$H$2:$H$501,$A50,'Protein Sales'!$A$2:$A$501,"&gt;="&amp;$B$2,'Protein Sales'!$A$2:$A$501,"&lt;="&amp;$D$2)))</f>
        <v/>
      </c>
      <c r="D50" s="20" t="str">
        <f aca="false">IF(A50="","",IF(F50="Off",0,SUMIFS('Diet Support'!$K$2:$K$501,'Diet Support'!$F$2:$F$501,$A50,'Diet Support'!$A$2:$A$501,"&gt;="&amp;$B$2,'Diet Support'!$A$2:$A$501,"&lt;="&amp;$D$2)+SUMIFS('Diet Support'!$L$2:$L$501,'Diet Support'!$G$2:$G$501,$A50,'Diet Support'!$A$2:$A$501,"&gt;="&amp;$B$2,'Diet Support'!$A$2:$A$501,"&lt;="&amp;$D$2)))</f>
        <v/>
      </c>
      <c r="E50" s="20" t="str">
        <f aca="false">IF(A50="","",SUM(B50:D50))</f>
        <v/>
      </c>
      <c r="F50" s="21" t="str">
        <f aca="false">IF(A50="","",IF(Team!E47="","On",Team!E47))</f>
        <v/>
      </c>
    </row>
    <row r="51" customFormat="false" ht="15" hidden="false" customHeight="false" outlineLevel="0" collapsed="false">
      <c r="A51" s="21" t="str">
        <f aca="false">IF(Team!A48="","",Team!A48)</f>
        <v/>
      </c>
      <c r="B51" s="20" t="str">
        <f aca="false">IF(A51="","",IF(F51="Off",0,SUMIFS('Injection Sales'!$M$2:$M$501,'Injection Sales'!$H$2:$H$501,$A51,'Injection Sales'!$A$2:$A$501,"&gt;="&amp;$B$2,'Injection Sales'!$A$2:$A$501,"&lt;="&amp;$D$2)+SUMIFS('Injection Sales'!$N$2:$N$501,'Injection Sales'!$I$2:$I$501,$A51,'Injection Sales'!$A$2:$A$501,"&gt;="&amp;$B$2,'Injection Sales'!$A$2:$A$501,"&lt;="&amp;$D$2)))</f>
        <v/>
      </c>
      <c r="C51" s="20" t="str">
        <f aca="false">IF(A51="","",IF(F51="Off",0,SUMIFS('Protein Sales'!$K$2:$K$501,'Protein Sales'!$G$2:$G$501,$A51,'Protein Sales'!$A$2:$A$501,"&gt;="&amp;$B$2,'Protein Sales'!$A$2:$A$501,"&lt;="&amp;$D$2)+SUMIFS('Protein Sales'!$L$2:$L$501,'Protein Sales'!$H$2:$H$501,$A51,'Protein Sales'!$A$2:$A$501,"&gt;="&amp;$B$2,'Protein Sales'!$A$2:$A$501,"&lt;="&amp;$D$2)))</f>
        <v/>
      </c>
      <c r="D51" s="20" t="str">
        <f aca="false">IF(A51="","",IF(F51="Off",0,SUMIFS('Diet Support'!$K$2:$K$501,'Diet Support'!$F$2:$F$501,$A51,'Diet Support'!$A$2:$A$501,"&gt;="&amp;$B$2,'Diet Support'!$A$2:$A$501,"&lt;="&amp;$D$2)+SUMIFS('Diet Support'!$L$2:$L$501,'Diet Support'!$G$2:$G$501,$A51,'Diet Support'!$A$2:$A$501,"&gt;="&amp;$B$2,'Diet Support'!$A$2:$A$501,"&lt;="&amp;$D$2)))</f>
        <v/>
      </c>
      <c r="E51" s="20" t="str">
        <f aca="false">IF(A51="","",SUM(B51:D51))</f>
        <v/>
      </c>
      <c r="F51" s="21" t="str">
        <f aca="false">IF(A51="","",IF(Team!E48="","On",Team!E48))</f>
        <v/>
      </c>
    </row>
    <row r="52" customFormat="false" ht="15" hidden="false" customHeight="false" outlineLevel="0" collapsed="false">
      <c r="A52" s="21" t="str">
        <f aca="false">IF(Team!A49="","",Team!A49)</f>
        <v/>
      </c>
      <c r="B52" s="20" t="str">
        <f aca="false">IF(A52="","",IF(F52="Off",0,SUMIFS('Injection Sales'!$M$2:$M$501,'Injection Sales'!$H$2:$H$501,$A52,'Injection Sales'!$A$2:$A$501,"&gt;="&amp;$B$2,'Injection Sales'!$A$2:$A$501,"&lt;="&amp;$D$2)+SUMIFS('Injection Sales'!$N$2:$N$501,'Injection Sales'!$I$2:$I$501,$A52,'Injection Sales'!$A$2:$A$501,"&gt;="&amp;$B$2,'Injection Sales'!$A$2:$A$501,"&lt;="&amp;$D$2)))</f>
        <v/>
      </c>
      <c r="C52" s="20" t="str">
        <f aca="false">IF(A52="","",IF(F52="Off",0,SUMIFS('Protein Sales'!$K$2:$K$501,'Protein Sales'!$G$2:$G$501,$A52,'Protein Sales'!$A$2:$A$501,"&gt;="&amp;$B$2,'Protein Sales'!$A$2:$A$501,"&lt;="&amp;$D$2)+SUMIFS('Protein Sales'!$L$2:$L$501,'Protein Sales'!$H$2:$H$501,$A52,'Protein Sales'!$A$2:$A$501,"&gt;="&amp;$B$2,'Protein Sales'!$A$2:$A$501,"&lt;="&amp;$D$2)))</f>
        <v/>
      </c>
      <c r="D52" s="20" t="str">
        <f aca="false">IF(A52="","",IF(F52="Off",0,SUMIFS('Diet Support'!$K$2:$K$501,'Diet Support'!$F$2:$F$501,$A52,'Diet Support'!$A$2:$A$501,"&gt;="&amp;$B$2,'Diet Support'!$A$2:$A$501,"&lt;="&amp;$D$2)+SUMIFS('Diet Support'!$L$2:$L$501,'Diet Support'!$G$2:$G$501,$A52,'Diet Support'!$A$2:$A$501,"&gt;="&amp;$B$2,'Diet Support'!$A$2:$A$501,"&lt;="&amp;$D$2)))</f>
        <v/>
      </c>
      <c r="E52" s="20" t="str">
        <f aca="false">IF(A52="","",SUM(B52:D52))</f>
        <v/>
      </c>
      <c r="F52" s="21" t="str">
        <f aca="false">IF(A52="","",IF(Team!E49="","On",Team!E49))</f>
        <v/>
      </c>
    </row>
    <row r="53" customFormat="false" ht="15" hidden="false" customHeight="false" outlineLevel="0" collapsed="false">
      <c r="A53" s="21" t="str">
        <f aca="false">IF(Team!A50="","",Team!A50)</f>
        <v/>
      </c>
      <c r="B53" s="20" t="str">
        <f aca="false">IF(A53="","",IF(F53="Off",0,SUMIFS('Injection Sales'!$M$2:$M$501,'Injection Sales'!$H$2:$H$501,$A53,'Injection Sales'!$A$2:$A$501,"&gt;="&amp;$B$2,'Injection Sales'!$A$2:$A$501,"&lt;="&amp;$D$2)+SUMIFS('Injection Sales'!$N$2:$N$501,'Injection Sales'!$I$2:$I$501,$A53,'Injection Sales'!$A$2:$A$501,"&gt;="&amp;$B$2,'Injection Sales'!$A$2:$A$501,"&lt;="&amp;$D$2)))</f>
        <v/>
      </c>
      <c r="C53" s="20" t="str">
        <f aca="false">IF(A53="","",IF(F53="Off",0,SUMIFS('Protein Sales'!$K$2:$K$501,'Protein Sales'!$G$2:$G$501,$A53,'Protein Sales'!$A$2:$A$501,"&gt;="&amp;$B$2,'Protein Sales'!$A$2:$A$501,"&lt;="&amp;$D$2)+SUMIFS('Protein Sales'!$L$2:$L$501,'Protein Sales'!$H$2:$H$501,$A53,'Protein Sales'!$A$2:$A$501,"&gt;="&amp;$B$2,'Protein Sales'!$A$2:$A$501,"&lt;="&amp;$D$2)))</f>
        <v/>
      </c>
      <c r="D53" s="20" t="str">
        <f aca="false">IF(A53="","",IF(F53="Off",0,SUMIFS('Diet Support'!$K$2:$K$501,'Diet Support'!$F$2:$F$501,$A53,'Diet Support'!$A$2:$A$501,"&gt;="&amp;$B$2,'Diet Support'!$A$2:$A$501,"&lt;="&amp;$D$2)+SUMIFS('Diet Support'!$L$2:$L$501,'Diet Support'!$G$2:$G$501,$A53,'Diet Support'!$A$2:$A$501,"&gt;="&amp;$B$2,'Diet Support'!$A$2:$A$501,"&lt;="&amp;$D$2)))</f>
        <v/>
      </c>
      <c r="E53" s="20" t="str">
        <f aca="false">IF(A53="","",SUM(B53:D53))</f>
        <v/>
      </c>
      <c r="F53" s="21" t="str">
        <f aca="false">IF(A53="","",IF(Team!E50="","On",Team!E50))</f>
        <v/>
      </c>
    </row>
    <row r="54" customFormat="false" ht="15" hidden="false" customHeight="false" outlineLevel="0" collapsed="false">
      <c r="A54" s="21" t="str">
        <f aca="false">IF(Team!A51="","",Team!A51)</f>
        <v/>
      </c>
      <c r="B54" s="20" t="str">
        <f aca="false">IF(A54="","",IF(F54="Off",0,SUMIFS('Injection Sales'!$M$2:$M$501,'Injection Sales'!$H$2:$H$501,$A54,'Injection Sales'!$A$2:$A$501,"&gt;="&amp;$B$2,'Injection Sales'!$A$2:$A$501,"&lt;="&amp;$D$2)+SUMIFS('Injection Sales'!$N$2:$N$501,'Injection Sales'!$I$2:$I$501,$A54,'Injection Sales'!$A$2:$A$501,"&gt;="&amp;$B$2,'Injection Sales'!$A$2:$A$501,"&lt;="&amp;$D$2)))</f>
        <v/>
      </c>
      <c r="C54" s="20" t="str">
        <f aca="false">IF(A54="","",IF(F54="Off",0,SUMIFS('Protein Sales'!$K$2:$K$501,'Protein Sales'!$G$2:$G$501,$A54,'Protein Sales'!$A$2:$A$501,"&gt;="&amp;$B$2,'Protein Sales'!$A$2:$A$501,"&lt;="&amp;$D$2)+SUMIFS('Protein Sales'!$L$2:$L$501,'Protein Sales'!$H$2:$H$501,$A54,'Protein Sales'!$A$2:$A$501,"&gt;="&amp;$B$2,'Protein Sales'!$A$2:$A$501,"&lt;="&amp;$D$2)))</f>
        <v/>
      </c>
      <c r="D54" s="20" t="str">
        <f aca="false">IF(A54="","",IF(F54="Off",0,SUMIFS('Diet Support'!$K$2:$K$501,'Diet Support'!$F$2:$F$501,$A54,'Diet Support'!$A$2:$A$501,"&gt;="&amp;$B$2,'Diet Support'!$A$2:$A$501,"&lt;="&amp;$D$2)+SUMIFS('Diet Support'!$L$2:$L$501,'Diet Support'!$G$2:$G$501,$A54,'Diet Support'!$A$2:$A$501,"&gt;="&amp;$B$2,'Diet Support'!$A$2:$A$501,"&lt;="&amp;$D$2)))</f>
        <v/>
      </c>
      <c r="E54" s="20" t="str">
        <f aca="false">IF(A54="","",SUM(B54:D54))</f>
        <v/>
      </c>
      <c r="F54" s="21" t="str">
        <f aca="false">IF(A54="","",IF(Team!E51="","On",Team!E51))</f>
        <v/>
      </c>
    </row>
    <row r="55" customFormat="false" ht="15" hidden="false" customHeight="false" outlineLevel="0" collapsed="false">
      <c r="A55" s="12" t="s">
        <v>16</v>
      </c>
      <c r="B55" s="35" t="n">
        <f aca="false">SUM(B5:B54)</f>
        <v>1000</v>
      </c>
      <c r="C55" s="35" t="n">
        <f aca="false">SUM(C5:C54)</f>
        <v>500</v>
      </c>
      <c r="D55" s="35" t="n">
        <f aca="false">SUM(D5:D54)</f>
        <v>2000</v>
      </c>
      <c r="E55" s="35" t="n">
        <f aca="false">SUM(E5:E54)</f>
        <v>3500</v>
      </c>
      <c r="F5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33" t="s">
        <v>124</v>
      </c>
      <c r="B1" s="1"/>
      <c r="C1" s="1"/>
      <c r="D1" s="1"/>
      <c r="E1" s="1"/>
    </row>
    <row r="2" customFormat="false" ht="15" hidden="false" customHeight="false" outlineLevel="0" collapsed="false">
      <c r="A2" s="1" t="s">
        <v>125</v>
      </c>
      <c r="B2" s="36" t="n">
        <f aca="true">DATE(YEAR(TODAY()),MONTH(TODAY()),1)</f>
        <v>46266</v>
      </c>
      <c r="C2" s="27" t="n">
        <f aca="false">DATE(YEAR(B2),MONTH(B2),1)</f>
        <v>46266</v>
      </c>
      <c r="D2" s="27" t="n">
        <f aca="false">EOMONTH(B2,0)</f>
        <v>46295</v>
      </c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30" hidden="false" customHeight="true" outlineLevel="0" collapsed="false">
      <c r="A4" s="15" t="s">
        <v>126</v>
      </c>
      <c r="B4" s="15" t="s">
        <v>111</v>
      </c>
      <c r="C4" s="15" t="s">
        <v>127</v>
      </c>
      <c r="D4" s="15" t="s">
        <v>128</v>
      </c>
      <c r="E4" s="15" t="s">
        <v>129</v>
      </c>
    </row>
    <row r="5" customFormat="false" ht="15" hidden="false" customHeight="false" outlineLevel="0" collapsed="false">
      <c r="A5" s="21" t="str">
        <f aca="false">IF(Team!A2="","",Team!A2)</f>
        <v>Murshida</v>
      </c>
      <c r="B5" s="21" t="str">
        <f aca="false">IF(A5="","",Team!B2&amp;"")</f>
        <v>Counsellor</v>
      </c>
      <c r="C5" s="20" t="n">
        <f aca="false">IF(A5="","",IF(OR(Team!G2="Disabled",AND(Team!F2&lt;&gt;"",Team!F2&gt;$D$2)),0,N(Team!D2)))</f>
        <v>25000</v>
      </c>
      <c r="D5" s="20" t="n">
        <f aca="false">IF(A5="","",IF(Team!E2="Off",0,SUMIFS('Injection Sales'!$M$2:$M$501,'Injection Sales'!$H$2:$H$501,$A5,'Injection Sales'!$A$2:$A$501,"&gt;="&amp;$C$2,'Injection Sales'!$A$2:$A$501,"&lt;="&amp;$D$2)+SUMIFS('Injection Sales'!$N$2:$N$501,'Injection Sales'!$I$2:$I$501,$A5,'Injection Sales'!$A$2:$A$501,"&gt;="&amp;$C$2,'Injection Sales'!$A$2:$A$501,"&lt;="&amp;$D$2)+SUMIFS('Protein Sales'!$K$2:$K$501,'Protein Sales'!$G$2:$G$501,$A5,'Protein Sales'!$A$2:$A$501,"&gt;="&amp;$C$2,'Protein Sales'!$A$2:$A$501,"&lt;="&amp;$D$2)+SUMIFS('Protein Sales'!$L$2:$L$501,'Protein Sales'!$H$2:$H$501,$A5,'Protein Sales'!$A$2:$A$501,"&gt;="&amp;$C$2,'Protein Sales'!$A$2:$A$501,"&lt;="&amp;$D$2)+SUMIFS('Diet Support'!$K$2:$K$501,'Diet Support'!$F$2:$F$501,$A5,'Diet Support'!$A$2:$A$501,"&gt;="&amp;$C$2,'Diet Support'!$A$2:$A$501,"&lt;="&amp;$D$2)+SUMIFS('Diet Support'!$L$2:$L$501,'Diet Support'!$G$2:$G$501,$A5,'Diet Support'!$A$2:$A$501,"&gt;="&amp;$C$2,'Diet Support'!$A$2:$A$501,"&lt;="&amp;$D$2)))</f>
        <v>3500</v>
      </c>
      <c r="E5" s="20" t="n">
        <f aca="false">IF(A5="","",C5+D5)</f>
        <v>28500</v>
      </c>
    </row>
    <row r="6" customFormat="false" ht="15" hidden="false" customHeight="false" outlineLevel="0" collapsed="false">
      <c r="A6" s="21" t="str">
        <f aca="false">IF(Team!A3="","",Team!A3)</f>
        <v/>
      </c>
      <c r="B6" s="21" t="str">
        <f aca="false">IF(A6="","",Team!B3&amp;"")</f>
        <v/>
      </c>
      <c r="C6" s="20" t="str">
        <f aca="false">IF(A6="","",IF(OR(Team!G3="Disabled",AND(Team!F3&lt;&gt;"",Team!F3&gt;$D$2)),0,N(Team!D3)))</f>
        <v/>
      </c>
      <c r="D6" s="20" t="str">
        <f aca="false">IF(A6="","",IF(Team!E3="Off",0,SUMIFS('Injection Sales'!$M$2:$M$501,'Injection Sales'!$H$2:$H$501,$A6,'Injection Sales'!$A$2:$A$501,"&gt;="&amp;$C$2,'Injection Sales'!$A$2:$A$501,"&lt;="&amp;$D$2)+SUMIFS('Injection Sales'!$N$2:$N$501,'Injection Sales'!$I$2:$I$501,$A6,'Injection Sales'!$A$2:$A$501,"&gt;="&amp;$C$2,'Injection Sales'!$A$2:$A$501,"&lt;="&amp;$D$2)+SUMIFS('Protein Sales'!$K$2:$K$501,'Protein Sales'!$G$2:$G$501,$A6,'Protein Sales'!$A$2:$A$501,"&gt;="&amp;$C$2,'Protein Sales'!$A$2:$A$501,"&lt;="&amp;$D$2)+SUMIFS('Protein Sales'!$L$2:$L$501,'Protein Sales'!$H$2:$H$501,$A6,'Protein Sales'!$A$2:$A$501,"&gt;="&amp;$C$2,'Protein Sales'!$A$2:$A$501,"&lt;="&amp;$D$2)+SUMIFS('Diet Support'!$K$2:$K$501,'Diet Support'!$F$2:$F$501,$A6,'Diet Support'!$A$2:$A$501,"&gt;="&amp;$C$2,'Diet Support'!$A$2:$A$501,"&lt;="&amp;$D$2)+SUMIFS('Diet Support'!$L$2:$L$501,'Diet Support'!$G$2:$G$501,$A6,'Diet Support'!$A$2:$A$501,"&gt;="&amp;$C$2,'Diet Support'!$A$2:$A$501,"&lt;="&amp;$D$2)))</f>
        <v/>
      </c>
      <c r="E6" s="20" t="str">
        <f aca="false">IF(A6="","",C6+D6)</f>
        <v/>
      </c>
    </row>
    <row r="7" customFormat="false" ht="15" hidden="false" customHeight="false" outlineLevel="0" collapsed="false">
      <c r="A7" s="21" t="str">
        <f aca="false">IF(Team!A4="","",Team!A4)</f>
        <v/>
      </c>
      <c r="B7" s="21" t="str">
        <f aca="false">IF(A7="","",Team!B4&amp;"")</f>
        <v/>
      </c>
      <c r="C7" s="20" t="str">
        <f aca="false">IF(A7="","",IF(OR(Team!G4="Disabled",AND(Team!F4&lt;&gt;"",Team!F4&gt;$D$2)),0,N(Team!D4)))</f>
        <v/>
      </c>
      <c r="D7" s="20" t="str">
        <f aca="false">IF(A7="","",IF(Team!E4="Off",0,SUMIFS('Injection Sales'!$M$2:$M$501,'Injection Sales'!$H$2:$H$501,$A7,'Injection Sales'!$A$2:$A$501,"&gt;="&amp;$C$2,'Injection Sales'!$A$2:$A$501,"&lt;="&amp;$D$2)+SUMIFS('Injection Sales'!$N$2:$N$501,'Injection Sales'!$I$2:$I$501,$A7,'Injection Sales'!$A$2:$A$501,"&gt;="&amp;$C$2,'Injection Sales'!$A$2:$A$501,"&lt;="&amp;$D$2)+SUMIFS('Protein Sales'!$K$2:$K$501,'Protein Sales'!$G$2:$G$501,$A7,'Protein Sales'!$A$2:$A$501,"&gt;="&amp;$C$2,'Protein Sales'!$A$2:$A$501,"&lt;="&amp;$D$2)+SUMIFS('Protein Sales'!$L$2:$L$501,'Protein Sales'!$H$2:$H$501,$A7,'Protein Sales'!$A$2:$A$501,"&gt;="&amp;$C$2,'Protein Sales'!$A$2:$A$501,"&lt;="&amp;$D$2)+SUMIFS('Diet Support'!$K$2:$K$501,'Diet Support'!$F$2:$F$501,$A7,'Diet Support'!$A$2:$A$501,"&gt;="&amp;$C$2,'Diet Support'!$A$2:$A$501,"&lt;="&amp;$D$2)+SUMIFS('Diet Support'!$L$2:$L$501,'Diet Support'!$G$2:$G$501,$A7,'Diet Support'!$A$2:$A$501,"&gt;="&amp;$C$2,'Diet Support'!$A$2:$A$501,"&lt;="&amp;$D$2)))</f>
        <v/>
      </c>
      <c r="E7" s="20" t="str">
        <f aca="false">IF(A7="","",C7+D7)</f>
        <v/>
      </c>
    </row>
    <row r="8" customFormat="false" ht="15" hidden="false" customHeight="false" outlineLevel="0" collapsed="false">
      <c r="A8" s="21" t="str">
        <f aca="false">IF(Team!A5="","",Team!A5)</f>
        <v/>
      </c>
      <c r="B8" s="21" t="str">
        <f aca="false">IF(A8="","",Team!B5&amp;"")</f>
        <v/>
      </c>
      <c r="C8" s="20" t="str">
        <f aca="false">IF(A8="","",IF(OR(Team!G5="Disabled",AND(Team!F5&lt;&gt;"",Team!F5&gt;$D$2)),0,N(Team!D5)))</f>
        <v/>
      </c>
      <c r="D8" s="20" t="str">
        <f aca="false">IF(A8="","",IF(Team!E5="Off",0,SUMIFS('Injection Sales'!$M$2:$M$501,'Injection Sales'!$H$2:$H$501,$A8,'Injection Sales'!$A$2:$A$501,"&gt;="&amp;$C$2,'Injection Sales'!$A$2:$A$501,"&lt;="&amp;$D$2)+SUMIFS('Injection Sales'!$N$2:$N$501,'Injection Sales'!$I$2:$I$501,$A8,'Injection Sales'!$A$2:$A$501,"&gt;="&amp;$C$2,'Injection Sales'!$A$2:$A$501,"&lt;="&amp;$D$2)+SUMIFS('Protein Sales'!$K$2:$K$501,'Protein Sales'!$G$2:$G$501,$A8,'Protein Sales'!$A$2:$A$501,"&gt;="&amp;$C$2,'Protein Sales'!$A$2:$A$501,"&lt;="&amp;$D$2)+SUMIFS('Protein Sales'!$L$2:$L$501,'Protein Sales'!$H$2:$H$501,$A8,'Protein Sales'!$A$2:$A$501,"&gt;="&amp;$C$2,'Protein Sales'!$A$2:$A$501,"&lt;="&amp;$D$2)+SUMIFS('Diet Support'!$K$2:$K$501,'Diet Support'!$F$2:$F$501,$A8,'Diet Support'!$A$2:$A$501,"&gt;="&amp;$C$2,'Diet Support'!$A$2:$A$501,"&lt;="&amp;$D$2)+SUMIFS('Diet Support'!$L$2:$L$501,'Diet Support'!$G$2:$G$501,$A8,'Diet Support'!$A$2:$A$501,"&gt;="&amp;$C$2,'Diet Support'!$A$2:$A$501,"&lt;="&amp;$D$2)))</f>
        <v/>
      </c>
      <c r="E8" s="20" t="str">
        <f aca="false">IF(A8="","",C8+D8)</f>
        <v/>
      </c>
    </row>
    <row r="9" customFormat="false" ht="15" hidden="false" customHeight="false" outlineLevel="0" collapsed="false">
      <c r="A9" s="21" t="str">
        <f aca="false">IF(Team!A6="","",Team!A6)</f>
        <v/>
      </c>
      <c r="B9" s="21" t="str">
        <f aca="false">IF(A9="","",Team!B6&amp;"")</f>
        <v/>
      </c>
      <c r="C9" s="20" t="str">
        <f aca="false">IF(A9="","",IF(OR(Team!G6="Disabled",AND(Team!F6&lt;&gt;"",Team!F6&gt;$D$2)),0,N(Team!D6)))</f>
        <v/>
      </c>
      <c r="D9" s="20" t="str">
        <f aca="false">IF(A9="","",IF(Team!E6="Off",0,SUMIFS('Injection Sales'!$M$2:$M$501,'Injection Sales'!$H$2:$H$501,$A9,'Injection Sales'!$A$2:$A$501,"&gt;="&amp;$C$2,'Injection Sales'!$A$2:$A$501,"&lt;="&amp;$D$2)+SUMIFS('Injection Sales'!$N$2:$N$501,'Injection Sales'!$I$2:$I$501,$A9,'Injection Sales'!$A$2:$A$501,"&gt;="&amp;$C$2,'Injection Sales'!$A$2:$A$501,"&lt;="&amp;$D$2)+SUMIFS('Protein Sales'!$K$2:$K$501,'Protein Sales'!$G$2:$G$501,$A9,'Protein Sales'!$A$2:$A$501,"&gt;="&amp;$C$2,'Protein Sales'!$A$2:$A$501,"&lt;="&amp;$D$2)+SUMIFS('Protein Sales'!$L$2:$L$501,'Protein Sales'!$H$2:$H$501,$A9,'Protein Sales'!$A$2:$A$501,"&gt;="&amp;$C$2,'Protein Sales'!$A$2:$A$501,"&lt;="&amp;$D$2)+SUMIFS('Diet Support'!$K$2:$K$501,'Diet Support'!$F$2:$F$501,$A9,'Diet Support'!$A$2:$A$501,"&gt;="&amp;$C$2,'Diet Support'!$A$2:$A$501,"&lt;="&amp;$D$2)+SUMIFS('Diet Support'!$L$2:$L$501,'Diet Support'!$G$2:$G$501,$A9,'Diet Support'!$A$2:$A$501,"&gt;="&amp;$C$2,'Diet Support'!$A$2:$A$501,"&lt;="&amp;$D$2)))</f>
        <v/>
      </c>
      <c r="E9" s="20" t="str">
        <f aca="false">IF(A9="","",C9+D9)</f>
        <v/>
      </c>
    </row>
    <row r="10" customFormat="false" ht="15" hidden="false" customHeight="false" outlineLevel="0" collapsed="false">
      <c r="A10" s="21" t="str">
        <f aca="false">IF(Team!A7="","",Team!A7)</f>
        <v/>
      </c>
      <c r="B10" s="21" t="str">
        <f aca="false">IF(A10="","",Team!B7&amp;"")</f>
        <v/>
      </c>
      <c r="C10" s="20" t="str">
        <f aca="false">IF(A10="","",IF(OR(Team!G7="Disabled",AND(Team!F7&lt;&gt;"",Team!F7&gt;$D$2)),0,N(Team!D7)))</f>
        <v/>
      </c>
      <c r="D10" s="20" t="str">
        <f aca="false">IF(A10="","",IF(Team!E7="Off",0,SUMIFS('Injection Sales'!$M$2:$M$501,'Injection Sales'!$H$2:$H$501,$A10,'Injection Sales'!$A$2:$A$501,"&gt;="&amp;$C$2,'Injection Sales'!$A$2:$A$501,"&lt;="&amp;$D$2)+SUMIFS('Injection Sales'!$N$2:$N$501,'Injection Sales'!$I$2:$I$501,$A10,'Injection Sales'!$A$2:$A$501,"&gt;="&amp;$C$2,'Injection Sales'!$A$2:$A$501,"&lt;="&amp;$D$2)+SUMIFS('Protein Sales'!$K$2:$K$501,'Protein Sales'!$G$2:$G$501,$A10,'Protein Sales'!$A$2:$A$501,"&gt;="&amp;$C$2,'Protein Sales'!$A$2:$A$501,"&lt;="&amp;$D$2)+SUMIFS('Protein Sales'!$L$2:$L$501,'Protein Sales'!$H$2:$H$501,$A10,'Protein Sales'!$A$2:$A$501,"&gt;="&amp;$C$2,'Protein Sales'!$A$2:$A$501,"&lt;="&amp;$D$2)+SUMIFS('Diet Support'!$K$2:$K$501,'Diet Support'!$F$2:$F$501,$A10,'Diet Support'!$A$2:$A$501,"&gt;="&amp;$C$2,'Diet Support'!$A$2:$A$501,"&lt;="&amp;$D$2)+SUMIFS('Diet Support'!$L$2:$L$501,'Diet Support'!$G$2:$G$501,$A10,'Diet Support'!$A$2:$A$501,"&gt;="&amp;$C$2,'Diet Support'!$A$2:$A$501,"&lt;="&amp;$D$2)))</f>
        <v/>
      </c>
      <c r="E10" s="20" t="str">
        <f aca="false">IF(A10="","",C10+D10)</f>
        <v/>
      </c>
    </row>
    <row r="11" customFormat="false" ht="15" hidden="false" customHeight="false" outlineLevel="0" collapsed="false">
      <c r="A11" s="21" t="str">
        <f aca="false">IF(Team!A8="","",Team!A8)</f>
        <v/>
      </c>
      <c r="B11" s="21" t="str">
        <f aca="false">IF(A11="","",Team!B8&amp;"")</f>
        <v/>
      </c>
      <c r="C11" s="20" t="str">
        <f aca="false">IF(A11="","",IF(OR(Team!G8="Disabled",AND(Team!F8&lt;&gt;"",Team!F8&gt;$D$2)),0,N(Team!D8)))</f>
        <v/>
      </c>
      <c r="D11" s="20" t="str">
        <f aca="false">IF(A11="","",IF(Team!E8="Off",0,SUMIFS('Injection Sales'!$M$2:$M$501,'Injection Sales'!$H$2:$H$501,$A11,'Injection Sales'!$A$2:$A$501,"&gt;="&amp;$C$2,'Injection Sales'!$A$2:$A$501,"&lt;="&amp;$D$2)+SUMIFS('Injection Sales'!$N$2:$N$501,'Injection Sales'!$I$2:$I$501,$A11,'Injection Sales'!$A$2:$A$501,"&gt;="&amp;$C$2,'Injection Sales'!$A$2:$A$501,"&lt;="&amp;$D$2)+SUMIFS('Protein Sales'!$K$2:$K$501,'Protein Sales'!$G$2:$G$501,$A11,'Protein Sales'!$A$2:$A$501,"&gt;="&amp;$C$2,'Protein Sales'!$A$2:$A$501,"&lt;="&amp;$D$2)+SUMIFS('Protein Sales'!$L$2:$L$501,'Protein Sales'!$H$2:$H$501,$A11,'Protein Sales'!$A$2:$A$501,"&gt;="&amp;$C$2,'Protein Sales'!$A$2:$A$501,"&lt;="&amp;$D$2)+SUMIFS('Diet Support'!$K$2:$K$501,'Diet Support'!$F$2:$F$501,$A11,'Diet Support'!$A$2:$A$501,"&gt;="&amp;$C$2,'Diet Support'!$A$2:$A$501,"&lt;="&amp;$D$2)+SUMIFS('Diet Support'!$L$2:$L$501,'Diet Support'!$G$2:$G$501,$A11,'Diet Support'!$A$2:$A$501,"&gt;="&amp;$C$2,'Diet Support'!$A$2:$A$501,"&lt;="&amp;$D$2)))</f>
        <v/>
      </c>
      <c r="E11" s="20" t="str">
        <f aca="false">IF(A11="","",C11+D11)</f>
        <v/>
      </c>
    </row>
    <row r="12" customFormat="false" ht="15" hidden="false" customHeight="false" outlineLevel="0" collapsed="false">
      <c r="A12" s="21" t="str">
        <f aca="false">IF(Team!A9="","",Team!A9)</f>
        <v/>
      </c>
      <c r="B12" s="21" t="str">
        <f aca="false">IF(A12="","",Team!B9&amp;"")</f>
        <v/>
      </c>
      <c r="C12" s="20" t="str">
        <f aca="false">IF(A12="","",IF(OR(Team!G9="Disabled",AND(Team!F9&lt;&gt;"",Team!F9&gt;$D$2)),0,N(Team!D9)))</f>
        <v/>
      </c>
      <c r="D12" s="20" t="str">
        <f aca="false">IF(A12="","",IF(Team!E9="Off",0,SUMIFS('Injection Sales'!$M$2:$M$501,'Injection Sales'!$H$2:$H$501,$A12,'Injection Sales'!$A$2:$A$501,"&gt;="&amp;$C$2,'Injection Sales'!$A$2:$A$501,"&lt;="&amp;$D$2)+SUMIFS('Injection Sales'!$N$2:$N$501,'Injection Sales'!$I$2:$I$501,$A12,'Injection Sales'!$A$2:$A$501,"&gt;="&amp;$C$2,'Injection Sales'!$A$2:$A$501,"&lt;="&amp;$D$2)+SUMIFS('Protein Sales'!$K$2:$K$501,'Protein Sales'!$G$2:$G$501,$A12,'Protein Sales'!$A$2:$A$501,"&gt;="&amp;$C$2,'Protein Sales'!$A$2:$A$501,"&lt;="&amp;$D$2)+SUMIFS('Protein Sales'!$L$2:$L$501,'Protein Sales'!$H$2:$H$501,$A12,'Protein Sales'!$A$2:$A$501,"&gt;="&amp;$C$2,'Protein Sales'!$A$2:$A$501,"&lt;="&amp;$D$2)+SUMIFS('Diet Support'!$K$2:$K$501,'Diet Support'!$F$2:$F$501,$A12,'Diet Support'!$A$2:$A$501,"&gt;="&amp;$C$2,'Diet Support'!$A$2:$A$501,"&lt;="&amp;$D$2)+SUMIFS('Diet Support'!$L$2:$L$501,'Diet Support'!$G$2:$G$501,$A12,'Diet Support'!$A$2:$A$501,"&gt;="&amp;$C$2,'Diet Support'!$A$2:$A$501,"&lt;="&amp;$D$2)))</f>
        <v/>
      </c>
      <c r="E12" s="20" t="str">
        <f aca="false">IF(A12="","",C12+D12)</f>
        <v/>
      </c>
    </row>
    <row r="13" customFormat="false" ht="15" hidden="false" customHeight="false" outlineLevel="0" collapsed="false">
      <c r="A13" s="21" t="str">
        <f aca="false">IF(Team!A10="","",Team!A10)</f>
        <v/>
      </c>
      <c r="B13" s="21" t="str">
        <f aca="false">IF(A13="","",Team!B10&amp;"")</f>
        <v/>
      </c>
      <c r="C13" s="20" t="str">
        <f aca="false">IF(A13="","",IF(OR(Team!G10="Disabled",AND(Team!F10&lt;&gt;"",Team!F10&gt;$D$2)),0,N(Team!D10)))</f>
        <v/>
      </c>
      <c r="D13" s="20" t="str">
        <f aca="false">IF(A13="","",IF(Team!E10="Off",0,SUMIFS('Injection Sales'!$M$2:$M$501,'Injection Sales'!$H$2:$H$501,$A13,'Injection Sales'!$A$2:$A$501,"&gt;="&amp;$C$2,'Injection Sales'!$A$2:$A$501,"&lt;="&amp;$D$2)+SUMIFS('Injection Sales'!$N$2:$N$501,'Injection Sales'!$I$2:$I$501,$A13,'Injection Sales'!$A$2:$A$501,"&gt;="&amp;$C$2,'Injection Sales'!$A$2:$A$501,"&lt;="&amp;$D$2)+SUMIFS('Protein Sales'!$K$2:$K$501,'Protein Sales'!$G$2:$G$501,$A13,'Protein Sales'!$A$2:$A$501,"&gt;="&amp;$C$2,'Protein Sales'!$A$2:$A$501,"&lt;="&amp;$D$2)+SUMIFS('Protein Sales'!$L$2:$L$501,'Protein Sales'!$H$2:$H$501,$A13,'Protein Sales'!$A$2:$A$501,"&gt;="&amp;$C$2,'Protein Sales'!$A$2:$A$501,"&lt;="&amp;$D$2)+SUMIFS('Diet Support'!$K$2:$K$501,'Diet Support'!$F$2:$F$501,$A13,'Diet Support'!$A$2:$A$501,"&gt;="&amp;$C$2,'Diet Support'!$A$2:$A$501,"&lt;="&amp;$D$2)+SUMIFS('Diet Support'!$L$2:$L$501,'Diet Support'!$G$2:$G$501,$A13,'Diet Support'!$A$2:$A$501,"&gt;="&amp;$C$2,'Diet Support'!$A$2:$A$501,"&lt;="&amp;$D$2)))</f>
        <v/>
      </c>
      <c r="E13" s="20" t="str">
        <f aca="false">IF(A13="","",C13+D13)</f>
        <v/>
      </c>
    </row>
    <row r="14" customFormat="false" ht="15" hidden="false" customHeight="false" outlineLevel="0" collapsed="false">
      <c r="A14" s="21" t="str">
        <f aca="false">IF(Team!A11="","",Team!A11)</f>
        <v/>
      </c>
      <c r="B14" s="21" t="str">
        <f aca="false">IF(A14="","",Team!B11&amp;"")</f>
        <v/>
      </c>
      <c r="C14" s="20" t="str">
        <f aca="false">IF(A14="","",IF(OR(Team!G11="Disabled",AND(Team!F11&lt;&gt;"",Team!F11&gt;$D$2)),0,N(Team!D11)))</f>
        <v/>
      </c>
      <c r="D14" s="20" t="str">
        <f aca="false">IF(A14="","",IF(Team!E11="Off",0,SUMIFS('Injection Sales'!$M$2:$M$501,'Injection Sales'!$H$2:$H$501,$A14,'Injection Sales'!$A$2:$A$501,"&gt;="&amp;$C$2,'Injection Sales'!$A$2:$A$501,"&lt;="&amp;$D$2)+SUMIFS('Injection Sales'!$N$2:$N$501,'Injection Sales'!$I$2:$I$501,$A14,'Injection Sales'!$A$2:$A$501,"&gt;="&amp;$C$2,'Injection Sales'!$A$2:$A$501,"&lt;="&amp;$D$2)+SUMIFS('Protein Sales'!$K$2:$K$501,'Protein Sales'!$G$2:$G$501,$A14,'Protein Sales'!$A$2:$A$501,"&gt;="&amp;$C$2,'Protein Sales'!$A$2:$A$501,"&lt;="&amp;$D$2)+SUMIFS('Protein Sales'!$L$2:$L$501,'Protein Sales'!$H$2:$H$501,$A14,'Protein Sales'!$A$2:$A$501,"&gt;="&amp;$C$2,'Protein Sales'!$A$2:$A$501,"&lt;="&amp;$D$2)+SUMIFS('Diet Support'!$K$2:$K$501,'Diet Support'!$F$2:$F$501,$A14,'Diet Support'!$A$2:$A$501,"&gt;="&amp;$C$2,'Diet Support'!$A$2:$A$501,"&lt;="&amp;$D$2)+SUMIFS('Diet Support'!$L$2:$L$501,'Diet Support'!$G$2:$G$501,$A14,'Diet Support'!$A$2:$A$501,"&gt;="&amp;$C$2,'Diet Support'!$A$2:$A$501,"&lt;="&amp;$D$2)))</f>
        <v/>
      </c>
      <c r="E14" s="20" t="str">
        <f aca="false">IF(A14="","",C14+D14)</f>
        <v/>
      </c>
    </row>
    <row r="15" customFormat="false" ht="15" hidden="false" customHeight="false" outlineLevel="0" collapsed="false">
      <c r="A15" s="21" t="str">
        <f aca="false">IF(Team!A12="","",Team!A12)</f>
        <v/>
      </c>
      <c r="B15" s="21" t="str">
        <f aca="false">IF(A15="","",Team!B12&amp;"")</f>
        <v/>
      </c>
      <c r="C15" s="20" t="str">
        <f aca="false">IF(A15="","",IF(OR(Team!G12="Disabled",AND(Team!F12&lt;&gt;"",Team!F12&gt;$D$2)),0,N(Team!D12)))</f>
        <v/>
      </c>
      <c r="D15" s="20" t="str">
        <f aca="false">IF(A15="","",IF(Team!E12="Off",0,SUMIFS('Injection Sales'!$M$2:$M$501,'Injection Sales'!$H$2:$H$501,$A15,'Injection Sales'!$A$2:$A$501,"&gt;="&amp;$C$2,'Injection Sales'!$A$2:$A$501,"&lt;="&amp;$D$2)+SUMIFS('Injection Sales'!$N$2:$N$501,'Injection Sales'!$I$2:$I$501,$A15,'Injection Sales'!$A$2:$A$501,"&gt;="&amp;$C$2,'Injection Sales'!$A$2:$A$501,"&lt;="&amp;$D$2)+SUMIFS('Protein Sales'!$K$2:$K$501,'Protein Sales'!$G$2:$G$501,$A15,'Protein Sales'!$A$2:$A$501,"&gt;="&amp;$C$2,'Protein Sales'!$A$2:$A$501,"&lt;="&amp;$D$2)+SUMIFS('Protein Sales'!$L$2:$L$501,'Protein Sales'!$H$2:$H$501,$A15,'Protein Sales'!$A$2:$A$501,"&gt;="&amp;$C$2,'Protein Sales'!$A$2:$A$501,"&lt;="&amp;$D$2)+SUMIFS('Diet Support'!$K$2:$K$501,'Diet Support'!$F$2:$F$501,$A15,'Diet Support'!$A$2:$A$501,"&gt;="&amp;$C$2,'Diet Support'!$A$2:$A$501,"&lt;="&amp;$D$2)+SUMIFS('Diet Support'!$L$2:$L$501,'Diet Support'!$G$2:$G$501,$A15,'Diet Support'!$A$2:$A$501,"&gt;="&amp;$C$2,'Diet Support'!$A$2:$A$501,"&lt;="&amp;$D$2)))</f>
        <v/>
      </c>
      <c r="E15" s="20" t="str">
        <f aca="false">IF(A15="","",C15+D15)</f>
        <v/>
      </c>
    </row>
    <row r="16" customFormat="false" ht="15" hidden="false" customHeight="false" outlineLevel="0" collapsed="false">
      <c r="A16" s="21" t="str">
        <f aca="false">IF(Team!A13="","",Team!A13)</f>
        <v/>
      </c>
      <c r="B16" s="21" t="str">
        <f aca="false">IF(A16="","",Team!B13&amp;"")</f>
        <v/>
      </c>
      <c r="C16" s="20" t="str">
        <f aca="false">IF(A16="","",IF(OR(Team!G13="Disabled",AND(Team!F13&lt;&gt;"",Team!F13&gt;$D$2)),0,N(Team!D13)))</f>
        <v/>
      </c>
      <c r="D16" s="20" t="str">
        <f aca="false">IF(A16="","",IF(Team!E13="Off",0,SUMIFS('Injection Sales'!$M$2:$M$501,'Injection Sales'!$H$2:$H$501,$A16,'Injection Sales'!$A$2:$A$501,"&gt;="&amp;$C$2,'Injection Sales'!$A$2:$A$501,"&lt;="&amp;$D$2)+SUMIFS('Injection Sales'!$N$2:$N$501,'Injection Sales'!$I$2:$I$501,$A16,'Injection Sales'!$A$2:$A$501,"&gt;="&amp;$C$2,'Injection Sales'!$A$2:$A$501,"&lt;="&amp;$D$2)+SUMIFS('Protein Sales'!$K$2:$K$501,'Protein Sales'!$G$2:$G$501,$A16,'Protein Sales'!$A$2:$A$501,"&gt;="&amp;$C$2,'Protein Sales'!$A$2:$A$501,"&lt;="&amp;$D$2)+SUMIFS('Protein Sales'!$L$2:$L$501,'Protein Sales'!$H$2:$H$501,$A16,'Protein Sales'!$A$2:$A$501,"&gt;="&amp;$C$2,'Protein Sales'!$A$2:$A$501,"&lt;="&amp;$D$2)+SUMIFS('Diet Support'!$K$2:$K$501,'Diet Support'!$F$2:$F$501,$A16,'Diet Support'!$A$2:$A$501,"&gt;="&amp;$C$2,'Diet Support'!$A$2:$A$501,"&lt;="&amp;$D$2)+SUMIFS('Diet Support'!$L$2:$L$501,'Diet Support'!$G$2:$G$501,$A16,'Diet Support'!$A$2:$A$501,"&gt;="&amp;$C$2,'Diet Support'!$A$2:$A$501,"&lt;="&amp;$D$2)))</f>
        <v/>
      </c>
      <c r="E16" s="20" t="str">
        <f aca="false">IF(A16="","",C16+D16)</f>
        <v/>
      </c>
    </row>
    <row r="17" customFormat="false" ht="15" hidden="false" customHeight="false" outlineLevel="0" collapsed="false">
      <c r="A17" s="21" t="str">
        <f aca="false">IF(Team!A14="","",Team!A14)</f>
        <v/>
      </c>
      <c r="B17" s="21" t="str">
        <f aca="false">IF(A17="","",Team!B14&amp;"")</f>
        <v/>
      </c>
      <c r="C17" s="20" t="str">
        <f aca="false">IF(A17="","",IF(OR(Team!G14="Disabled",AND(Team!F14&lt;&gt;"",Team!F14&gt;$D$2)),0,N(Team!D14)))</f>
        <v/>
      </c>
      <c r="D17" s="20" t="str">
        <f aca="false">IF(A17="","",IF(Team!E14="Off",0,SUMIFS('Injection Sales'!$M$2:$M$501,'Injection Sales'!$H$2:$H$501,$A17,'Injection Sales'!$A$2:$A$501,"&gt;="&amp;$C$2,'Injection Sales'!$A$2:$A$501,"&lt;="&amp;$D$2)+SUMIFS('Injection Sales'!$N$2:$N$501,'Injection Sales'!$I$2:$I$501,$A17,'Injection Sales'!$A$2:$A$501,"&gt;="&amp;$C$2,'Injection Sales'!$A$2:$A$501,"&lt;="&amp;$D$2)+SUMIFS('Protein Sales'!$K$2:$K$501,'Protein Sales'!$G$2:$G$501,$A17,'Protein Sales'!$A$2:$A$501,"&gt;="&amp;$C$2,'Protein Sales'!$A$2:$A$501,"&lt;="&amp;$D$2)+SUMIFS('Protein Sales'!$L$2:$L$501,'Protein Sales'!$H$2:$H$501,$A17,'Protein Sales'!$A$2:$A$501,"&gt;="&amp;$C$2,'Protein Sales'!$A$2:$A$501,"&lt;="&amp;$D$2)+SUMIFS('Diet Support'!$K$2:$K$501,'Diet Support'!$F$2:$F$501,$A17,'Diet Support'!$A$2:$A$501,"&gt;="&amp;$C$2,'Diet Support'!$A$2:$A$501,"&lt;="&amp;$D$2)+SUMIFS('Diet Support'!$L$2:$L$501,'Diet Support'!$G$2:$G$501,$A17,'Diet Support'!$A$2:$A$501,"&gt;="&amp;$C$2,'Diet Support'!$A$2:$A$501,"&lt;="&amp;$D$2)))</f>
        <v/>
      </c>
      <c r="E17" s="20" t="str">
        <f aca="false">IF(A17="","",C17+D17)</f>
        <v/>
      </c>
    </row>
    <row r="18" customFormat="false" ht="15" hidden="false" customHeight="false" outlineLevel="0" collapsed="false">
      <c r="A18" s="21" t="str">
        <f aca="false">IF(Team!A15="","",Team!A15)</f>
        <v/>
      </c>
      <c r="B18" s="21" t="str">
        <f aca="false">IF(A18="","",Team!B15&amp;"")</f>
        <v/>
      </c>
      <c r="C18" s="20" t="str">
        <f aca="false">IF(A18="","",IF(OR(Team!G15="Disabled",AND(Team!F15&lt;&gt;"",Team!F15&gt;$D$2)),0,N(Team!D15)))</f>
        <v/>
      </c>
      <c r="D18" s="20" t="str">
        <f aca="false">IF(A18="","",IF(Team!E15="Off",0,SUMIFS('Injection Sales'!$M$2:$M$501,'Injection Sales'!$H$2:$H$501,$A18,'Injection Sales'!$A$2:$A$501,"&gt;="&amp;$C$2,'Injection Sales'!$A$2:$A$501,"&lt;="&amp;$D$2)+SUMIFS('Injection Sales'!$N$2:$N$501,'Injection Sales'!$I$2:$I$501,$A18,'Injection Sales'!$A$2:$A$501,"&gt;="&amp;$C$2,'Injection Sales'!$A$2:$A$501,"&lt;="&amp;$D$2)+SUMIFS('Protein Sales'!$K$2:$K$501,'Protein Sales'!$G$2:$G$501,$A18,'Protein Sales'!$A$2:$A$501,"&gt;="&amp;$C$2,'Protein Sales'!$A$2:$A$501,"&lt;="&amp;$D$2)+SUMIFS('Protein Sales'!$L$2:$L$501,'Protein Sales'!$H$2:$H$501,$A18,'Protein Sales'!$A$2:$A$501,"&gt;="&amp;$C$2,'Protein Sales'!$A$2:$A$501,"&lt;="&amp;$D$2)+SUMIFS('Diet Support'!$K$2:$K$501,'Diet Support'!$F$2:$F$501,$A18,'Diet Support'!$A$2:$A$501,"&gt;="&amp;$C$2,'Diet Support'!$A$2:$A$501,"&lt;="&amp;$D$2)+SUMIFS('Diet Support'!$L$2:$L$501,'Diet Support'!$G$2:$G$501,$A18,'Diet Support'!$A$2:$A$501,"&gt;="&amp;$C$2,'Diet Support'!$A$2:$A$501,"&lt;="&amp;$D$2)))</f>
        <v/>
      </c>
      <c r="E18" s="20" t="str">
        <f aca="false">IF(A18="","",C18+D18)</f>
        <v/>
      </c>
    </row>
    <row r="19" customFormat="false" ht="15" hidden="false" customHeight="false" outlineLevel="0" collapsed="false">
      <c r="A19" s="21" t="str">
        <f aca="false">IF(Team!A16="","",Team!A16)</f>
        <v/>
      </c>
      <c r="B19" s="21" t="str">
        <f aca="false">IF(A19="","",Team!B16&amp;"")</f>
        <v/>
      </c>
      <c r="C19" s="20" t="str">
        <f aca="false">IF(A19="","",IF(OR(Team!G16="Disabled",AND(Team!F16&lt;&gt;"",Team!F16&gt;$D$2)),0,N(Team!D16)))</f>
        <v/>
      </c>
      <c r="D19" s="20" t="str">
        <f aca="false">IF(A19="","",IF(Team!E16="Off",0,SUMIFS('Injection Sales'!$M$2:$M$501,'Injection Sales'!$H$2:$H$501,$A19,'Injection Sales'!$A$2:$A$501,"&gt;="&amp;$C$2,'Injection Sales'!$A$2:$A$501,"&lt;="&amp;$D$2)+SUMIFS('Injection Sales'!$N$2:$N$501,'Injection Sales'!$I$2:$I$501,$A19,'Injection Sales'!$A$2:$A$501,"&gt;="&amp;$C$2,'Injection Sales'!$A$2:$A$501,"&lt;="&amp;$D$2)+SUMIFS('Protein Sales'!$K$2:$K$501,'Protein Sales'!$G$2:$G$501,$A19,'Protein Sales'!$A$2:$A$501,"&gt;="&amp;$C$2,'Protein Sales'!$A$2:$A$501,"&lt;="&amp;$D$2)+SUMIFS('Protein Sales'!$L$2:$L$501,'Protein Sales'!$H$2:$H$501,$A19,'Protein Sales'!$A$2:$A$501,"&gt;="&amp;$C$2,'Protein Sales'!$A$2:$A$501,"&lt;="&amp;$D$2)+SUMIFS('Diet Support'!$K$2:$K$501,'Diet Support'!$F$2:$F$501,$A19,'Diet Support'!$A$2:$A$501,"&gt;="&amp;$C$2,'Diet Support'!$A$2:$A$501,"&lt;="&amp;$D$2)+SUMIFS('Diet Support'!$L$2:$L$501,'Diet Support'!$G$2:$G$501,$A19,'Diet Support'!$A$2:$A$501,"&gt;="&amp;$C$2,'Diet Support'!$A$2:$A$501,"&lt;="&amp;$D$2)))</f>
        <v/>
      </c>
      <c r="E19" s="20" t="str">
        <f aca="false">IF(A19="","",C19+D19)</f>
        <v/>
      </c>
    </row>
    <row r="20" customFormat="false" ht="15" hidden="false" customHeight="false" outlineLevel="0" collapsed="false">
      <c r="A20" s="21" t="str">
        <f aca="false">IF(Team!A17="","",Team!A17)</f>
        <v/>
      </c>
      <c r="B20" s="21" t="str">
        <f aca="false">IF(A20="","",Team!B17&amp;"")</f>
        <v/>
      </c>
      <c r="C20" s="20" t="str">
        <f aca="false">IF(A20="","",IF(OR(Team!G17="Disabled",AND(Team!F17&lt;&gt;"",Team!F17&gt;$D$2)),0,N(Team!D17)))</f>
        <v/>
      </c>
      <c r="D20" s="20" t="str">
        <f aca="false">IF(A20="","",IF(Team!E17="Off",0,SUMIFS('Injection Sales'!$M$2:$M$501,'Injection Sales'!$H$2:$H$501,$A20,'Injection Sales'!$A$2:$A$501,"&gt;="&amp;$C$2,'Injection Sales'!$A$2:$A$501,"&lt;="&amp;$D$2)+SUMIFS('Injection Sales'!$N$2:$N$501,'Injection Sales'!$I$2:$I$501,$A20,'Injection Sales'!$A$2:$A$501,"&gt;="&amp;$C$2,'Injection Sales'!$A$2:$A$501,"&lt;="&amp;$D$2)+SUMIFS('Protein Sales'!$K$2:$K$501,'Protein Sales'!$G$2:$G$501,$A20,'Protein Sales'!$A$2:$A$501,"&gt;="&amp;$C$2,'Protein Sales'!$A$2:$A$501,"&lt;="&amp;$D$2)+SUMIFS('Protein Sales'!$L$2:$L$501,'Protein Sales'!$H$2:$H$501,$A20,'Protein Sales'!$A$2:$A$501,"&gt;="&amp;$C$2,'Protein Sales'!$A$2:$A$501,"&lt;="&amp;$D$2)+SUMIFS('Diet Support'!$K$2:$K$501,'Diet Support'!$F$2:$F$501,$A20,'Diet Support'!$A$2:$A$501,"&gt;="&amp;$C$2,'Diet Support'!$A$2:$A$501,"&lt;="&amp;$D$2)+SUMIFS('Diet Support'!$L$2:$L$501,'Diet Support'!$G$2:$G$501,$A20,'Diet Support'!$A$2:$A$501,"&gt;="&amp;$C$2,'Diet Support'!$A$2:$A$501,"&lt;="&amp;$D$2)))</f>
        <v/>
      </c>
      <c r="E20" s="20" t="str">
        <f aca="false">IF(A20="","",C20+D20)</f>
        <v/>
      </c>
    </row>
    <row r="21" customFormat="false" ht="15" hidden="false" customHeight="false" outlineLevel="0" collapsed="false">
      <c r="A21" s="21" t="str">
        <f aca="false">IF(Team!A18="","",Team!A18)</f>
        <v/>
      </c>
      <c r="B21" s="21" t="str">
        <f aca="false">IF(A21="","",Team!B18&amp;"")</f>
        <v/>
      </c>
      <c r="C21" s="20" t="str">
        <f aca="false">IF(A21="","",IF(OR(Team!G18="Disabled",AND(Team!F18&lt;&gt;"",Team!F18&gt;$D$2)),0,N(Team!D18)))</f>
        <v/>
      </c>
      <c r="D21" s="20" t="str">
        <f aca="false">IF(A21="","",IF(Team!E18="Off",0,SUMIFS('Injection Sales'!$M$2:$M$501,'Injection Sales'!$H$2:$H$501,$A21,'Injection Sales'!$A$2:$A$501,"&gt;="&amp;$C$2,'Injection Sales'!$A$2:$A$501,"&lt;="&amp;$D$2)+SUMIFS('Injection Sales'!$N$2:$N$501,'Injection Sales'!$I$2:$I$501,$A21,'Injection Sales'!$A$2:$A$501,"&gt;="&amp;$C$2,'Injection Sales'!$A$2:$A$501,"&lt;="&amp;$D$2)+SUMIFS('Protein Sales'!$K$2:$K$501,'Protein Sales'!$G$2:$G$501,$A21,'Protein Sales'!$A$2:$A$501,"&gt;="&amp;$C$2,'Protein Sales'!$A$2:$A$501,"&lt;="&amp;$D$2)+SUMIFS('Protein Sales'!$L$2:$L$501,'Protein Sales'!$H$2:$H$501,$A21,'Protein Sales'!$A$2:$A$501,"&gt;="&amp;$C$2,'Protein Sales'!$A$2:$A$501,"&lt;="&amp;$D$2)+SUMIFS('Diet Support'!$K$2:$K$501,'Diet Support'!$F$2:$F$501,$A21,'Diet Support'!$A$2:$A$501,"&gt;="&amp;$C$2,'Diet Support'!$A$2:$A$501,"&lt;="&amp;$D$2)+SUMIFS('Diet Support'!$L$2:$L$501,'Diet Support'!$G$2:$G$501,$A21,'Diet Support'!$A$2:$A$501,"&gt;="&amp;$C$2,'Diet Support'!$A$2:$A$501,"&lt;="&amp;$D$2)))</f>
        <v/>
      </c>
      <c r="E21" s="20" t="str">
        <f aca="false">IF(A21="","",C21+D21)</f>
        <v/>
      </c>
    </row>
    <row r="22" customFormat="false" ht="15" hidden="false" customHeight="false" outlineLevel="0" collapsed="false">
      <c r="A22" s="21" t="str">
        <f aca="false">IF(Team!A19="","",Team!A19)</f>
        <v/>
      </c>
      <c r="B22" s="21" t="str">
        <f aca="false">IF(A22="","",Team!B19&amp;"")</f>
        <v/>
      </c>
      <c r="C22" s="20" t="str">
        <f aca="false">IF(A22="","",IF(OR(Team!G19="Disabled",AND(Team!F19&lt;&gt;"",Team!F19&gt;$D$2)),0,N(Team!D19)))</f>
        <v/>
      </c>
      <c r="D22" s="20" t="str">
        <f aca="false">IF(A22="","",IF(Team!E19="Off",0,SUMIFS('Injection Sales'!$M$2:$M$501,'Injection Sales'!$H$2:$H$501,$A22,'Injection Sales'!$A$2:$A$501,"&gt;="&amp;$C$2,'Injection Sales'!$A$2:$A$501,"&lt;="&amp;$D$2)+SUMIFS('Injection Sales'!$N$2:$N$501,'Injection Sales'!$I$2:$I$501,$A22,'Injection Sales'!$A$2:$A$501,"&gt;="&amp;$C$2,'Injection Sales'!$A$2:$A$501,"&lt;="&amp;$D$2)+SUMIFS('Protein Sales'!$K$2:$K$501,'Protein Sales'!$G$2:$G$501,$A22,'Protein Sales'!$A$2:$A$501,"&gt;="&amp;$C$2,'Protein Sales'!$A$2:$A$501,"&lt;="&amp;$D$2)+SUMIFS('Protein Sales'!$L$2:$L$501,'Protein Sales'!$H$2:$H$501,$A22,'Protein Sales'!$A$2:$A$501,"&gt;="&amp;$C$2,'Protein Sales'!$A$2:$A$501,"&lt;="&amp;$D$2)+SUMIFS('Diet Support'!$K$2:$K$501,'Diet Support'!$F$2:$F$501,$A22,'Diet Support'!$A$2:$A$501,"&gt;="&amp;$C$2,'Diet Support'!$A$2:$A$501,"&lt;="&amp;$D$2)+SUMIFS('Diet Support'!$L$2:$L$501,'Diet Support'!$G$2:$G$501,$A22,'Diet Support'!$A$2:$A$501,"&gt;="&amp;$C$2,'Diet Support'!$A$2:$A$501,"&lt;="&amp;$D$2)))</f>
        <v/>
      </c>
      <c r="E22" s="20" t="str">
        <f aca="false">IF(A22="","",C22+D22)</f>
        <v/>
      </c>
    </row>
    <row r="23" customFormat="false" ht="15" hidden="false" customHeight="false" outlineLevel="0" collapsed="false">
      <c r="A23" s="21" t="str">
        <f aca="false">IF(Team!A20="","",Team!A20)</f>
        <v/>
      </c>
      <c r="B23" s="21" t="str">
        <f aca="false">IF(A23="","",Team!B20&amp;"")</f>
        <v/>
      </c>
      <c r="C23" s="20" t="str">
        <f aca="false">IF(A23="","",IF(OR(Team!G20="Disabled",AND(Team!F20&lt;&gt;"",Team!F20&gt;$D$2)),0,N(Team!D20)))</f>
        <v/>
      </c>
      <c r="D23" s="20" t="str">
        <f aca="false">IF(A23="","",IF(Team!E20="Off",0,SUMIFS('Injection Sales'!$M$2:$M$501,'Injection Sales'!$H$2:$H$501,$A23,'Injection Sales'!$A$2:$A$501,"&gt;="&amp;$C$2,'Injection Sales'!$A$2:$A$501,"&lt;="&amp;$D$2)+SUMIFS('Injection Sales'!$N$2:$N$501,'Injection Sales'!$I$2:$I$501,$A23,'Injection Sales'!$A$2:$A$501,"&gt;="&amp;$C$2,'Injection Sales'!$A$2:$A$501,"&lt;="&amp;$D$2)+SUMIFS('Protein Sales'!$K$2:$K$501,'Protein Sales'!$G$2:$G$501,$A23,'Protein Sales'!$A$2:$A$501,"&gt;="&amp;$C$2,'Protein Sales'!$A$2:$A$501,"&lt;="&amp;$D$2)+SUMIFS('Protein Sales'!$L$2:$L$501,'Protein Sales'!$H$2:$H$501,$A23,'Protein Sales'!$A$2:$A$501,"&gt;="&amp;$C$2,'Protein Sales'!$A$2:$A$501,"&lt;="&amp;$D$2)+SUMIFS('Diet Support'!$K$2:$K$501,'Diet Support'!$F$2:$F$501,$A23,'Diet Support'!$A$2:$A$501,"&gt;="&amp;$C$2,'Diet Support'!$A$2:$A$501,"&lt;="&amp;$D$2)+SUMIFS('Diet Support'!$L$2:$L$501,'Diet Support'!$G$2:$G$501,$A23,'Diet Support'!$A$2:$A$501,"&gt;="&amp;$C$2,'Diet Support'!$A$2:$A$501,"&lt;="&amp;$D$2)))</f>
        <v/>
      </c>
      <c r="E23" s="20" t="str">
        <f aca="false">IF(A23="","",C23+D23)</f>
        <v/>
      </c>
    </row>
    <row r="24" customFormat="false" ht="15" hidden="false" customHeight="false" outlineLevel="0" collapsed="false">
      <c r="A24" s="21" t="str">
        <f aca="false">IF(Team!A21="","",Team!A21)</f>
        <v/>
      </c>
      <c r="B24" s="21" t="str">
        <f aca="false">IF(A24="","",Team!B21&amp;"")</f>
        <v/>
      </c>
      <c r="C24" s="20" t="str">
        <f aca="false">IF(A24="","",IF(OR(Team!G21="Disabled",AND(Team!F21&lt;&gt;"",Team!F21&gt;$D$2)),0,N(Team!D21)))</f>
        <v/>
      </c>
      <c r="D24" s="20" t="str">
        <f aca="false">IF(A24="","",IF(Team!E21="Off",0,SUMIFS('Injection Sales'!$M$2:$M$501,'Injection Sales'!$H$2:$H$501,$A24,'Injection Sales'!$A$2:$A$501,"&gt;="&amp;$C$2,'Injection Sales'!$A$2:$A$501,"&lt;="&amp;$D$2)+SUMIFS('Injection Sales'!$N$2:$N$501,'Injection Sales'!$I$2:$I$501,$A24,'Injection Sales'!$A$2:$A$501,"&gt;="&amp;$C$2,'Injection Sales'!$A$2:$A$501,"&lt;="&amp;$D$2)+SUMIFS('Protein Sales'!$K$2:$K$501,'Protein Sales'!$G$2:$G$501,$A24,'Protein Sales'!$A$2:$A$501,"&gt;="&amp;$C$2,'Protein Sales'!$A$2:$A$501,"&lt;="&amp;$D$2)+SUMIFS('Protein Sales'!$L$2:$L$501,'Protein Sales'!$H$2:$H$501,$A24,'Protein Sales'!$A$2:$A$501,"&gt;="&amp;$C$2,'Protein Sales'!$A$2:$A$501,"&lt;="&amp;$D$2)+SUMIFS('Diet Support'!$K$2:$K$501,'Diet Support'!$F$2:$F$501,$A24,'Diet Support'!$A$2:$A$501,"&gt;="&amp;$C$2,'Diet Support'!$A$2:$A$501,"&lt;="&amp;$D$2)+SUMIFS('Diet Support'!$L$2:$L$501,'Diet Support'!$G$2:$G$501,$A24,'Diet Support'!$A$2:$A$501,"&gt;="&amp;$C$2,'Diet Support'!$A$2:$A$501,"&lt;="&amp;$D$2)))</f>
        <v/>
      </c>
      <c r="E24" s="20" t="str">
        <f aca="false">IF(A24="","",C24+D24)</f>
        <v/>
      </c>
    </row>
    <row r="25" customFormat="false" ht="15" hidden="false" customHeight="false" outlineLevel="0" collapsed="false">
      <c r="A25" s="21" t="str">
        <f aca="false">IF(Team!A22="","",Team!A22)</f>
        <v/>
      </c>
      <c r="B25" s="21" t="str">
        <f aca="false">IF(A25="","",Team!B22&amp;"")</f>
        <v/>
      </c>
      <c r="C25" s="20" t="str">
        <f aca="false">IF(A25="","",IF(OR(Team!G22="Disabled",AND(Team!F22&lt;&gt;"",Team!F22&gt;$D$2)),0,N(Team!D22)))</f>
        <v/>
      </c>
      <c r="D25" s="20" t="str">
        <f aca="false">IF(A25="","",IF(Team!E22="Off",0,SUMIFS('Injection Sales'!$M$2:$M$501,'Injection Sales'!$H$2:$H$501,$A25,'Injection Sales'!$A$2:$A$501,"&gt;="&amp;$C$2,'Injection Sales'!$A$2:$A$501,"&lt;="&amp;$D$2)+SUMIFS('Injection Sales'!$N$2:$N$501,'Injection Sales'!$I$2:$I$501,$A25,'Injection Sales'!$A$2:$A$501,"&gt;="&amp;$C$2,'Injection Sales'!$A$2:$A$501,"&lt;="&amp;$D$2)+SUMIFS('Protein Sales'!$K$2:$K$501,'Protein Sales'!$G$2:$G$501,$A25,'Protein Sales'!$A$2:$A$501,"&gt;="&amp;$C$2,'Protein Sales'!$A$2:$A$501,"&lt;="&amp;$D$2)+SUMIFS('Protein Sales'!$L$2:$L$501,'Protein Sales'!$H$2:$H$501,$A25,'Protein Sales'!$A$2:$A$501,"&gt;="&amp;$C$2,'Protein Sales'!$A$2:$A$501,"&lt;="&amp;$D$2)+SUMIFS('Diet Support'!$K$2:$K$501,'Diet Support'!$F$2:$F$501,$A25,'Diet Support'!$A$2:$A$501,"&gt;="&amp;$C$2,'Diet Support'!$A$2:$A$501,"&lt;="&amp;$D$2)+SUMIFS('Diet Support'!$L$2:$L$501,'Diet Support'!$G$2:$G$501,$A25,'Diet Support'!$A$2:$A$501,"&gt;="&amp;$C$2,'Diet Support'!$A$2:$A$501,"&lt;="&amp;$D$2)))</f>
        <v/>
      </c>
      <c r="E25" s="20" t="str">
        <f aca="false">IF(A25="","",C25+D25)</f>
        <v/>
      </c>
    </row>
    <row r="26" customFormat="false" ht="15" hidden="false" customHeight="false" outlineLevel="0" collapsed="false">
      <c r="A26" s="21" t="str">
        <f aca="false">IF(Team!A23="","",Team!A23)</f>
        <v/>
      </c>
      <c r="B26" s="21" t="str">
        <f aca="false">IF(A26="","",Team!B23&amp;"")</f>
        <v/>
      </c>
      <c r="C26" s="20" t="str">
        <f aca="false">IF(A26="","",IF(OR(Team!G23="Disabled",AND(Team!F23&lt;&gt;"",Team!F23&gt;$D$2)),0,N(Team!D23)))</f>
        <v/>
      </c>
      <c r="D26" s="20" t="str">
        <f aca="false">IF(A26="","",IF(Team!E23="Off",0,SUMIFS('Injection Sales'!$M$2:$M$501,'Injection Sales'!$H$2:$H$501,$A26,'Injection Sales'!$A$2:$A$501,"&gt;="&amp;$C$2,'Injection Sales'!$A$2:$A$501,"&lt;="&amp;$D$2)+SUMIFS('Injection Sales'!$N$2:$N$501,'Injection Sales'!$I$2:$I$501,$A26,'Injection Sales'!$A$2:$A$501,"&gt;="&amp;$C$2,'Injection Sales'!$A$2:$A$501,"&lt;="&amp;$D$2)+SUMIFS('Protein Sales'!$K$2:$K$501,'Protein Sales'!$G$2:$G$501,$A26,'Protein Sales'!$A$2:$A$501,"&gt;="&amp;$C$2,'Protein Sales'!$A$2:$A$501,"&lt;="&amp;$D$2)+SUMIFS('Protein Sales'!$L$2:$L$501,'Protein Sales'!$H$2:$H$501,$A26,'Protein Sales'!$A$2:$A$501,"&gt;="&amp;$C$2,'Protein Sales'!$A$2:$A$501,"&lt;="&amp;$D$2)+SUMIFS('Diet Support'!$K$2:$K$501,'Diet Support'!$F$2:$F$501,$A26,'Diet Support'!$A$2:$A$501,"&gt;="&amp;$C$2,'Diet Support'!$A$2:$A$501,"&lt;="&amp;$D$2)+SUMIFS('Diet Support'!$L$2:$L$501,'Diet Support'!$G$2:$G$501,$A26,'Diet Support'!$A$2:$A$501,"&gt;="&amp;$C$2,'Diet Support'!$A$2:$A$501,"&lt;="&amp;$D$2)))</f>
        <v/>
      </c>
      <c r="E26" s="20" t="str">
        <f aca="false">IF(A26="","",C26+D26)</f>
        <v/>
      </c>
    </row>
    <row r="27" customFormat="false" ht="15" hidden="false" customHeight="false" outlineLevel="0" collapsed="false">
      <c r="A27" s="21" t="str">
        <f aca="false">IF(Team!A24="","",Team!A24)</f>
        <v/>
      </c>
      <c r="B27" s="21" t="str">
        <f aca="false">IF(A27="","",Team!B24&amp;"")</f>
        <v/>
      </c>
      <c r="C27" s="20" t="str">
        <f aca="false">IF(A27="","",IF(OR(Team!G24="Disabled",AND(Team!F24&lt;&gt;"",Team!F24&gt;$D$2)),0,N(Team!D24)))</f>
        <v/>
      </c>
      <c r="D27" s="20" t="str">
        <f aca="false">IF(A27="","",IF(Team!E24="Off",0,SUMIFS('Injection Sales'!$M$2:$M$501,'Injection Sales'!$H$2:$H$501,$A27,'Injection Sales'!$A$2:$A$501,"&gt;="&amp;$C$2,'Injection Sales'!$A$2:$A$501,"&lt;="&amp;$D$2)+SUMIFS('Injection Sales'!$N$2:$N$501,'Injection Sales'!$I$2:$I$501,$A27,'Injection Sales'!$A$2:$A$501,"&gt;="&amp;$C$2,'Injection Sales'!$A$2:$A$501,"&lt;="&amp;$D$2)+SUMIFS('Protein Sales'!$K$2:$K$501,'Protein Sales'!$G$2:$G$501,$A27,'Protein Sales'!$A$2:$A$501,"&gt;="&amp;$C$2,'Protein Sales'!$A$2:$A$501,"&lt;="&amp;$D$2)+SUMIFS('Protein Sales'!$L$2:$L$501,'Protein Sales'!$H$2:$H$501,$A27,'Protein Sales'!$A$2:$A$501,"&gt;="&amp;$C$2,'Protein Sales'!$A$2:$A$501,"&lt;="&amp;$D$2)+SUMIFS('Diet Support'!$K$2:$K$501,'Diet Support'!$F$2:$F$501,$A27,'Diet Support'!$A$2:$A$501,"&gt;="&amp;$C$2,'Diet Support'!$A$2:$A$501,"&lt;="&amp;$D$2)+SUMIFS('Diet Support'!$L$2:$L$501,'Diet Support'!$G$2:$G$501,$A27,'Diet Support'!$A$2:$A$501,"&gt;="&amp;$C$2,'Diet Support'!$A$2:$A$501,"&lt;="&amp;$D$2)))</f>
        <v/>
      </c>
      <c r="E27" s="20" t="str">
        <f aca="false">IF(A27="","",C27+D27)</f>
        <v/>
      </c>
    </row>
    <row r="28" customFormat="false" ht="15" hidden="false" customHeight="false" outlineLevel="0" collapsed="false">
      <c r="A28" s="21" t="str">
        <f aca="false">IF(Team!A25="","",Team!A25)</f>
        <v/>
      </c>
      <c r="B28" s="21" t="str">
        <f aca="false">IF(A28="","",Team!B25&amp;"")</f>
        <v/>
      </c>
      <c r="C28" s="20" t="str">
        <f aca="false">IF(A28="","",IF(OR(Team!G25="Disabled",AND(Team!F25&lt;&gt;"",Team!F25&gt;$D$2)),0,N(Team!D25)))</f>
        <v/>
      </c>
      <c r="D28" s="20" t="str">
        <f aca="false">IF(A28="","",IF(Team!E25="Off",0,SUMIFS('Injection Sales'!$M$2:$M$501,'Injection Sales'!$H$2:$H$501,$A28,'Injection Sales'!$A$2:$A$501,"&gt;="&amp;$C$2,'Injection Sales'!$A$2:$A$501,"&lt;="&amp;$D$2)+SUMIFS('Injection Sales'!$N$2:$N$501,'Injection Sales'!$I$2:$I$501,$A28,'Injection Sales'!$A$2:$A$501,"&gt;="&amp;$C$2,'Injection Sales'!$A$2:$A$501,"&lt;="&amp;$D$2)+SUMIFS('Protein Sales'!$K$2:$K$501,'Protein Sales'!$G$2:$G$501,$A28,'Protein Sales'!$A$2:$A$501,"&gt;="&amp;$C$2,'Protein Sales'!$A$2:$A$501,"&lt;="&amp;$D$2)+SUMIFS('Protein Sales'!$L$2:$L$501,'Protein Sales'!$H$2:$H$501,$A28,'Protein Sales'!$A$2:$A$501,"&gt;="&amp;$C$2,'Protein Sales'!$A$2:$A$501,"&lt;="&amp;$D$2)+SUMIFS('Diet Support'!$K$2:$K$501,'Diet Support'!$F$2:$F$501,$A28,'Diet Support'!$A$2:$A$501,"&gt;="&amp;$C$2,'Diet Support'!$A$2:$A$501,"&lt;="&amp;$D$2)+SUMIFS('Diet Support'!$L$2:$L$501,'Diet Support'!$G$2:$G$501,$A28,'Diet Support'!$A$2:$A$501,"&gt;="&amp;$C$2,'Diet Support'!$A$2:$A$501,"&lt;="&amp;$D$2)))</f>
        <v/>
      </c>
      <c r="E28" s="20" t="str">
        <f aca="false">IF(A28="","",C28+D28)</f>
        <v/>
      </c>
    </row>
    <row r="29" customFormat="false" ht="15" hidden="false" customHeight="false" outlineLevel="0" collapsed="false">
      <c r="A29" s="21" t="str">
        <f aca="false">IF(Team!A26="","",Team!A26)</f>
        <v/>
      </c>
      <c r="B29" s="21" t="str">
        <f aca="false">IF(A29="","",Team!B26&amp;"")</f>
        <v/>
      </c>
      <c r="C29" s="20" t="str">
        <f aca="false">IF(A29="","",IF(OR(Team!G26="Disabled",AND(Team!F26&lt;&gt;"",Team!F26&gt;$D$2)),0,N(Team!D26)))</f>
        <v/>
      </c>
      <c r="D29" s="20" t="str">
        <f aca="false">IF(A29="","",IF(Team!E26="Off",0,SUMIFS('Injection Sales'!$M$2:$M$501,'Injection Sales'!$H$2:$H$501,$A29,'Injection Sales'!$A$2:$A$501,"&gt;="&amp;$C$2,'Injection Sales'!$A$2:$A$501,"&lt;="&amp;$D$2)+SUMIFS('Injection Sales'!$N$2:$N$501,'Injection Sales'!$I$2:$I$501,$A29,'Injection Sales'!$A$2:$A$501,"&gt;="&amp;$C$2,'Injection Sales'!$A$2:$A$501,"&lt;="&amp;$D$2)+SUMIFS('Protein Sales'!$K$2:$K$501,'Protein Sales'!$G$2:$G$501,$A29,'Protein Sales'!$A$2:$A$501,"&gt;="&amp;$C$2,'Protein Sales'!$A$2:$A$501,"&lt;="&amp;$D$2)+SUMIFS('Protein Sales'!$L$2:$L$501,'Protein Sales'!$H$2:$H$501,$A29,'Protein Sales'!$A$2:$A$501,"&gt;="&amp;$C$2,'Protein Sales'!$A$2:$A$501,"&lt;="&amp;$D$2)+SUMIFS('Diet Support'!$K$2:$K$501,'Diet Support'!$F$2:$F$501,$A29,'Diet Support'!$A$2:$A$501,"&gt;="&amp;$C$2,'Diet Support'!$A$2:$A$501,"&lt;="&amp;$D$2)+SUMIFS('Diet Support'!$L$2:$L$501,'Diet Support'!$G$2:$G$501,$A29,'Diet Support'!$A$2:$A$501,"&gt;="&amp;$C$2,'Diet Support'!$A$2:$A$501,"&lt;="&amp;$D$2)))</f>
        <v/>
      </c>
      <c r="E29" s="20" t="str">
        <f aca="false">IF(A29="","",C29+D29)</f>
        <v/>
      </c>
    </row>
    <row r="30" customFormat="false" ht="15" hidden="false" customHeight="false" outlineLevel="0" collapsed="false">
      <c r="A30" s="21" t="str">
        <f aca="false">IF(Team!A27="","",Team!A27)</f>
        <v/>
      </c>
      <c r="B30" s="21" t="str">
        <f aca="false">IF(A30="","",Team!B27&amp;"")</f>
        <v/>
      </c>
      <c r="C30" s="20" t="str">
        <f aca="false">IF(A30="","",IF(OR(Team!G27="Disabled",AND(Team!F27&lt;&gt;"",Team!F27&gt;$D$2)),0,N(Team!D27)))</f>
        <v/>
      </c>
      <c r="D30" s="20" t="str">
        <f aca="false">IF(A30="","",IF(Team!E27="Off",0,SUMIFS('Injection Sales'!$M$2:$M$501,'Injection Sales'!$H$2:$H$501,$A30,'Injection Sales'!$A$2:$A$501,"&gt;="&amp;$C$2,'Injection Sales'!$A$2:$A$501,"&lt;="&amp;$D$2)+SUMIFS('Injection Sales'!$N$2:$N$501,'Injection Sales'!$I$2:$I$501,$A30,'Injection Sales'!$A$2:$A$501,"&gt;="&amp;$C$2,'Injection Sales'!$A$2:$A$501,"&lt;="&amp;$D$2)+SUMIFS('Protein Sales'!$K$2:$K$501,'Protein Sales'!$G$2:$G$501,$A30,'Protein Sales'!$A$2:$A$501,"&gt;="&amp;$C$2,'Protein Sales'!$A$2:$A$501,"&lt;="&amp;$D$2)+SUMIFS('Protein Sales'!$L$2:$L$501,'Protein Sales'!$H$2:$H$501,$A30,'Protein Sales'!$A$2:$A$501,"&gt;="&amp;$C$2,'Protein Sales'!$A$2:$A$501,"&lt;="&amp;$D$2)+SUMIFS('Diet Support'!$K$2:$K$501,'Diet Support'!$F$2:$F$501,$A30,'Diet Support'!$A$2:$A$501,"&gt;="&amp;$C$2,'Diet Support'!$A$2:$A$501,"&lt;="&amp;$D$2)+SUMIFS('Diet Support'!$L$2:$L$501,'Diet Support'!$G$2:$G$501,$A30,'Diet Support'!$A$2:$A$501,"&gt;="&amp;$C$2,'Diet Support'!$A$2:$A$501,"&lt;="&amp;$D$2)))</f>
        <v/>
      </c>
      <c r="E30" s="20" t="str">
        <f aca="false">IF(A30="","",C30+D30)</f>
        <v/>
      </c>
    </row>
    <row r="31" customFormat="false" ht="15" hidden="false" customHeight="false" outlineLevel="0" collapsed="false">
      <c r="A31" s="21" t="str">
        <f aca="false">IF(Team!A28="","",Team!A28)</f>
        <v/>
      </c>
      <c r="B31" s="21" t="str">
        <f aca="false">IF(A31="","",Team!B28&amp;"")</f>
        <v/>
      </c>
      <c r="C31" s="20" t="str">
        <f aca="false">IF(A31="","",IF(OR(Team!G28="Disabled",AND(Team!F28&lt;&gt;"",Team!F28&gt;$D$2)),0,N(Team!D28)))</f>
        <v/>
      </c>
      <c r="D31" s="20" t="str">
        <f aca="false">IF(A31="","",IF(Team!E28="Off",0,SUMIFS('Injection Sales'!$M$2:$M$501,'Injection Sales'!$H$2:$H$501,$A31,'Injection Sales'!$A$2:$A$501,"&gt;="&amp;$C$2,'Injection Sales'!$A$2:$A$501,"&lt;="&amp;$D$2)+SUMIFS('Injection Sales'!$N$2:$N$501,'Injection Sales'!$I$2:$I$501,$A31,'Injection Sales'!$A$2:$A$501,"&gt;="&amp;$C$2,'Injection Sales'!$A$2:$A$501,"&lt;="&amp;$D$2)+SUMIFS('Protein Sales'!$K$2:$K$501,'Protein Sales'!$G$2:$G$501,$A31,'Protein Sales'!$A$2:$A$501,"&gt;="&amp;$C$2,'Protein Sales'!$A$2:$A$501,"&lt;="&amp;$D$2)+SUMIFS('Protein Sales'!$L$2:$L$501,'Protein Sales'!$H$2:$H$501,$A31,'Protein Sales'!$A$2:$A$501,"&gt;="&amp;$C$2,'Protein Sales'!$A$2:$A$501,"&lt;="&amp;$D$2)+SUMIFS('Diet Support'!$K$2:$K$501,'Diet Support'!$F$2:$F$501,$A31,'Diet Support'!$A$2:$A$501,"&gt;="&amp;$C$2,'Diet Support'!$A$2:$A$501,"&lt;="&amp;$D$2)+SUMIFS('Diet Support'!$L$2:$L$501,'Diet Support'!$G$2:$G$501,$A31,'Diet Support'!$A$2:$A$501,"&gt;="&amp;$C$2,'Diet Support'!$A$2:$A$501,"&lt;="&amp;$D$2)))</f>
        <v/>
      </c>
      <c r="E31" s="20" t="str">
        <f aca="false">IF(A31="","",C31+D31)</f>
        <v/>
      </c>
    </row>
    <row r="32" customFormat="false" ht="15" hidden="false" customHeight="false" outlineLevel="0" collapsed="false">
      <c r="A32" s="21" t="str">
        <f aca="false">IF(Team!A29="","",Team!A29)</f>
        <v/>
      </c>
      <c r="B32" s="21" t="str">
        <f aca="false">IF(A32="","",Team!B29&amp;"")</f>
        <v/>
      </c>
      <c r="C32" s="20" t="str">
        <f aca="false">IF(A32="","",IF(OR(Team!G29="Disabled",AND(Team!F29&lt;&gt;"",Team!F29&gt;$D$2)),0,N(Team!D29)))</f>
        <v/>
      </c>
      <c r="D32" s="20" t="str">
        <f aca="false">IF(A32="","",IF(Team!E29="Off",0,SUMIFS('Injection Sales'!$M$2:$M$501,'Injection Sales'!$H$2:$H$501,$A32,'Injection Sales'!$A$2:$A$501,"&gt;="&amp;$C$2,'Injection Sales'!$A$2:$A$501,"&lt;="&amp;$D$2)+SUMIFS('Injection Sales'!$N$2:$N$501,'Injection Sales'!$I$2:$I$501,$A32,'Injection Sales'!$A$2:$A$501,"&gt;="&amp;$C$2,'Injection Sales'!$A$2:$A$501,"&lt;="&amp;$D$2)+SUMIFS('Protein Sales'!$K$2:$K$501,'Protein Sales'!$G$2:$G$501,$A32,'Protein Sales'!$A$2:$A$501,"&gt;="&amp;$C$2,'Protein Sales'!$A$2:$A$501,"&lt;="&amp;$D$2)+SUMIFS('Protein Sales'!$L$2:$L$501,'Protein Sales'!$H$2:$H$501,$A32,'Protein Sales'!$A$2:$A$501,"&gt;="&amp;$C$2,'Protein Sales'!$A$2:$A$501,"&lt;="&amp;$D$2)+SUMIFS('Diet Support'!$K$2:$K$501,'Diet Support'!$F$2:$F$501,$A32,'Diet Support'!$A$2:$A$501,"&gt;="&amp;$C$2,'Diet Support'!$A$2:$A$501,"&lt;="&amp;$D$2)+SUMIFS('Diet Support'!$L$2:$L$501,'Diet Support'!$G$2:$G$501,$A32,'Diet Support'!$A$2:$A$501,"&gt;="&amp;$C$2,'Diet Support'!$A$2:$A$501,"&lt;="&amp;$D$2)))</f>
        <v/>
      </c>
      <c r="E32" s="20" t="str">
        <f aca="false">IF(A32="","",C32+D32)</f>
        <v/>
      </c>
    </row>
    <row r="33" customFormat="false" ht="15" hidden="false" customHeight="false" outlineLevel="0" collapsed="false">
      <c r="A33" s="21" t="str">
        <f aca="false">IF(Team!A30="","",Team!A30)</f>
        <v/>
      </c>
      <c r="B33" s="21" t="str">
        <f aca="false">IF(A33="","",Team!B30&amp;"")</f>
        <v/>
      </c>
      <c r="C33" s="20" t="str">
        <f aca="false">IF(A33="","",IF(OR(Team!G30="Disabled",AND(Team!F30&lt;&gt;"",Team!F30&gt;$D$2)),0,N(Team!D30)))</f>
        <v/>
      </c>
      <c r="D33" s="20" t="str">
        <f aca="false">IF(A33="","",IF(Team!E30="Off",0,SUMIFS('Injection Sales'!$M$2:$M$501,'Injection Sales'!$H$2:$H$501,$A33,'Injection Sales'!$A$2:$A$501,"&gt;="&amp;$C$2,'Injection Sales'!$A$2:$A$501,"&lt;="&amp;$D$2)+SUMIFS('Injection Sales'!$N$2:$N$501,'Injection Sales'!$I$2:$I$501,$A33,'Injection Sales'!$A$2:$A$501,"&gt;="&amp;$C$2,'Injection Sales'!$A$2:$A$501,"&lt;="&amp;$D$2)+SUMIFS('Protein Sales'!$K$2:$K$501,'Protein Sales'!$G$2:$G$501,$A33,'Protein Sales'!$A$2:$A$501,"&gt;="&amp;$C$2,'Protein Sales'!$A$2:$A$501,"&lt;="&amp;$D$2)+SUMIFS('Protein Sales'!$L$2:$L$501,'Protein Sales'!$H$2:$H$501,$A33,'Protein Sales'!$A$2:$A$501,"&gt;="&amp;$C$2,'Protein Sales'!$A$2:$A$501,"&lt;="&amp;$D$2)+SUMIFS('Diet Support'!$K$2:$K$501,'Diet Support'!$F$2:$F$501,$A33,'Diet Support'!$A$2:$A$501,"&gt;="&amp;$C$2,'Diet Support'!$A$2:$A$501,"&lt;="&amp;$D$2)+SUMIFS('Diet Support'!$L$2:$L$501,'Diet Support'!$G$2:$G$501,$A33,'Diet Support'!$A$2:$A$501,"&gt;="&amp;$C$2,'Diet Support'!$A$2:$A$501,"&lt;="&amp;$D$2)))</f>
        <v/>
      </c>
      <c r="E33" s="20" t="str">
        <f aca="false">IF(A33="","",C33+D33)</f>
        <v/>
      </c>
    </row>
    <row r="34" customFormat="false" ht="15" hidden="false" customHeight="false" outlineLevel="0" collapsed="false">
      <c r="A34" s="21" t="str">
        <f aca="false">IF(Team!A31="","",Team!A31)</f>
        <v/>
      </c>
      <c r="B34" s="21" t="str">
        <f aca="false">IF(A34="","",Team!B31&amp;"")</f>
        <v/>
      </c>
      <c r="C34" s="20" t="str">
        <f aca="false">IF(A34="","",IF(OR(Team!G31="Disabled",AND(Team!F31&lt;&gt;"",Team!F31&gt;$D$2)),0,N(Team!D31)))</f>
        <v/>
      </c>
      <c r="D34" s="20" t="str">
        <f aca="false">IF(A34="","",IF(Team!E31="Off",0,SUMIFS('Injection Sales'!$M$2:$M$501,'Injection Sales'!$H$2:$H$501,$A34,'Injection Sales'!$A$2:$A$501,"&gt;="&amp;$C$2,'Injection Sales'!$A$2:$A$501,"&lt;="&amp;$D$2)+SUMIFS('Injection Sales'!$N$2:$N$501,'Injection Sales'!$I$2:$I$501,$A34,'Injection Sales'!$A$2:$A$501,"&gt;="&amp;$C$2,'Injection Sales'!$A$2:$A$501,"&lt;="&amp;$D$2)+SUMIFS('Protein Sales'!$K$2:$K$501,'Protein Sales'!$G$2:$G$501,$A34,'Protein Sales'!$A$2:$A$501,"&gt;="&amp;$C$2,'Protein Sales'!$A$2:$A$501,"&lt;="&amp;$D$2)+SUMIFS('Protein Sales'!$L$2:$L$501,'Protein Sales'!$H$2:$H$501,$A34,'Protein Sales'!$A$2:$A$501,"&gt;="&amp;$C$2,'Protein Sales'!$A$2:$A$501,"&lt;="&amp;$D$2)+SUMIFS('Diet Support'!$K$2:$K$501,'Diet Support'!$F$2:$F$501,$A34,'Diet Support'!$A$2:$A$501,"&gt;="&amp;$C$2,'Diet Support'!$A$2:$A$501,"&lt;="&amp;$D$2)+SUMIFS('Diet Support'!$L$2:$L$501,'Diet Support'!$G$2:$G$501,$A34,'Diet Support'!$A$2:$A$501,"&gt;="&amp;$C$2,'Diet Support'!$A$2:$A$501,"&lt;="&amp;$D$2)))</f>
        <v/>
      </c>
      <c r="E34" s="20" t="str">
        <f aca="false">IF(A34="","",C34+D34)</f>
        <v/>
      </c>
    </row>
    <row r="35" customFormat="false" ht="15" hidden="false" customHeight="false" outlineLevel="0" collapsed="false">
      <c r="A35" s="21" t="str">
        <f aca="false">IF(Team!A32="","",Team!A32)</f>
        <v/>
      </c>
      <c r="B35" s="21" t="str">
        <f aca="false">IF(A35="","",Team!B32&amp;"")</f>
        <v/>
      </c>
      <c r="C35" s="20" t="str">
        <f aca="false">IF(A35="","",IF(OR(Team!G32="Disabled",AND(Team!F32&lt;&gt;"",Team!F32&gt;$D$2)),0,N(Team!D32)))</f>
        <v/>
      </c>
      <c r="D35" s="20" t="str">
        <f aca="false">IF(A35="","",IF(Team!E32="Off",0,SUMIFS('Injection Sales'!$M$2:$M$501,'Injection Sales'!$H$2:$H$501,$A35,'Injection Sales'!$A$2:$A$501,"&gt;="&amp;$C$2,'Injection Sales'!$A$2:$A$501,"&lt;="&amp;$D$2)+SUMIFS('Injection Sales'!$N$2:$N$501,'Injection Sales'!$I$2:$I$501,$A35,'Injection Sales'!$A$2:$A$501,"&gt;="&amp;$C$2,'Injection Sales'!$A$2:$A$501,"&lt;="&amp;$D$2)+SUMIFS('Protein Sales'!$K$2:$K$501,'Protein Sales'!$G$2:$G$501,$A35,'Protein Sales'!$A$2:$A$501,"&gt;="&amp;$C$2,'Protein Sales'!$A$2:$A$501,"&lt;="&amp;$D$2)+SUMIFS('Protein Sales'!$L$2:$L$501,'Protein Sales'!$H$2:$H$501,$A35,'Protein Sales'!$A$2:$A$501,"&gt;="&amp;$C$2,'Protein Sales'!$A$2:$A$501,"&lt;="&amp;$D$2)+SUMIFS('Diet Support'!$K$2:$K$501,'Diet Support'!$F$2:$F$501,$A35,'Diet Support'!$A$2:$A$501,"&gt;="&amp;$C$2,'Diet Support'!$A$2:$A$501,"&lt;="&amp;$D$2)+SUMIFS('Diet Support'!$L$2:$L$501,'Diet Support'!$G$2:$G$501,$A35,'Diet Support'!$A$2:$A$501,"&gt;="&amp;$C$2,'Diet Support'!$A$2:$A$501,"&lt;="&amp;$D$2)))</f>
        <v/>
      </c>
      <c r="E35" s="20" t="str">
        <f aca="false">IF(A35="","",C35+D35)</f>
        <v/>
      </c>
    </row>
    <row r="36" customFormat="false" ht="15" hidden="false" customHeight="false" outlineLevel="0" collapsed="false">
      <c r="A36" s="21" t="str">
        <f aca="false">IF(Team!A33="","",Team!A33)</f>
        <v/>
      </c>
      <c r="B36" s="21" t="str">
        <f aca="false">IF(A36="","",Team!B33&amp;"")</f>
        <v/>
      </c>
      <c r="C36" s="20" t="str">
        <f aca="false">IF(A36="","",IF(OR(Team!G33="Disabled",AND(Team!F33&lt;&gt;"",Team!F33&gt;$D$2)),0,N(Team!D33)))</f>
        <v/>
      </c>
      <c r="D36" s="20" t="str">
        <f aca="false">IF(A36="","",IF(Team!E33="Off",0,SUMIFS('Injection Sales'!$M$2:$M$501,'Injection Sales'!$H$2:$H$501,$A36,'Injection Sales'!$A$2:$A$501,"&gt;="&amp;$C$2,'Injection Sales'!$A$2:$A$501,"&lt;="&amp;$D$2)+SUMIFS('Injection Sales'!$N$2:$N$501,'Injection Sales'!$I$2:$I$501,$A36,'Injection Sales'!$A$2:$A$501,"&gt;="&amp;$C$2,'Injection Sales'!$A$2:$A$501,"&lt;="&amp;$D$2)+SUMIFS('Protein Sales'!$K$2:$K$501,'Protein Sales'!$G$2:$G$501,$A36,'Protein Sales'!$A$2:$A$501,"&gt;="&amp;$C$2,'Protein Sales'!$A$2:$A$501,"&lt;="&amp;$D$2)+SUMIFS('Protein Sales'!$L$2:$L$501,'Protein Sales'!$H$2:$H$501,$A36,'Protein Sales'!$A$2:$A$501,"&gt;="&amp;$C$2,'Protein Sales'!$A$2:$A$501,"&lt;="&amp;$D$2)+SUMIFS('Diet Support'!$K$2:$K$501,'Diet Support'!$F$2:$F$501,$A36,'Diet Support'!$A$2:$A$501,"&gt;="&amp;$C$2,'Diet Support'!$A$2:$A$501,"&lt;="&amp;$D$2)+SUMIFS('Diet Support'!$L$2:$L$501,'Diet Support'!$G$2:$G$501,$A36,'Diet Support'!$A$2:$A$501,"&gt;="&amp;$C$2,'Diet Support'!$A$2:$A$501,"&lt;="&amp;$D$2)))</f>
        <v/>
      </c>
      <c r="E36" s="20" t="str">
        <f aca="false">IF(A36="","",C36+D36)</f>
        <v/>
      </c>
    </row>
    <row r="37" customFormat="false" ht="15" hidden="false" customHeight="false" outlineLevel="0" collapsed="false">
      <c r="A37" s="21" t="str">
        <f aca="false">IF(Team!A34="","",Team!A34)</f>
        <v/>
      </c>
      <c r="B37" s="21" t="str">
        <f aca="false">IF(A37="","",Team!B34&amp;"")</f>
        <v/>
      </c>
      <c r="C37" s="20" t="str">
        <f aca="false">IF(A37="","",IF(OR(Team!G34="Disabled",AND(Team!F34&lt;&gt;"",Team!F34&gt;$D$2)),0,N(Team!D34)))</f>
        <v/>
      </c>
      <c r="D37" s="20" t="str">
        <f aca="false">IF(A37="","",IF(Team!E34="Off",0,SUMIFS('Injection Sales'!$M$2:$M$501,'Injection Sales'!$H$2:$H$501,$A37,'Injection Sales'!$A$2:$A$501,"&gt;="&amp;$C$2,'Injection Sales'!$A$2:$A$501,"&lt;="&amp;$D$2)+SUMIFS('Injection Sales'!$N$2:$N$501,'Injection Sales'!$I$2:$I$501,$A37,'Injection Sales'!$A$2:$A$501,"&gt;="&amp;$C$2,'Injection Sales'!$A$2:$A$501,"&lt;="&amp;$D$2)+SUMIFS('Protein Sales'!$K$2:$K$501,'Protein Sales'!$G$2:$G$501,$A37,'Protein Sales'!$A$2:$A$501,"&gt;="&amp;$C$2,'Protein Sales'!$A$2:$A$501,"&lt;="&amp;$D$2)+SUMIFS('Protein Sales'!$L$2:$L$501,'Protein Sales'!$H$2:$H$501,$A37,'Protein Sales'!$A$2:$A$501,"&gt;="&amp;$C$2,'Protein Sales'!$A$2:$A$501,"&lt;="&amp;$D$2)+SUMIFS('Diet Support'!$K$2:$K$501,'Diet Support'!$F$2:$F$501,$A37,'Diet Support'!$A$2:$A$501,"&gt;="&amp;$C$2,'Diet Support'!$A$2:$A$501,"&lt;="&amp;$D$2)+SUMIFS('Diet Support'!$L$2:$L$501,'Diet Support'!$G$2:$G$501,$A37,'Diet Support'!$A$2:$A$501,"&gt;="&amp;$C$2,'Diet Support'!$A$2:$A$501,"&lt;="&amp;$D$2)))</f>
        <v/>
      </c>
      <c r="E37" s="20" t="str">
        <f aca="false">IF(A37="","",C37+D37)</f>
        <v/>
      </c>
    </row>
    <row r="38" customFormat="false" ht="15" hidden="false" customHeight="false" outlineLevel="0" collapsed="false">
      <c r="A38" s="21" t="str">
        <f aca="false">IF(Team!A35="","",Team!A35)</f>
        <v/>
      </c>
      <c r="B38" s="21" t="str">
        <f aca="false">IF(A38="","",Team!B35&amp;"")</f>
        <v/>
      </c>
      <c r="C38" s="20" t="str">
        <f aca="false">IF(A38="","",IF(OR(Team!G35="Disabled",AND(Team!F35&lt;&gt;"",Team!F35&gt;$D$2)),0,N(Team!D35)))</f>
        <v/>
      </c>
      <c r="D38" s="20" t="str">
        <f aca="false">IF(A38="","",IF(Team!E35="Off",0,SUMIFS('Injection Sales'!$M$2:$M$501,'Injection Sales'!$H$2:$H$501,$A38,'Injection Sales'!$A$2:$A$501,"&gt;="&amp;$C$2,'Injection Sales'!$A$2:$A$501,"&lt;="&amp;$D$2)+SUMIFS('Injection Sales'!$N$2:$N$501,'Injection Sales'!$I$2:$I$501,$A38,'Injection Sales'!$A$2:$A$501,"&gt;="&amp;$C$2,'Injection Sales'!$A$2:$A$501,"&lt;="&amp;$D$2)+SUMIFS('Protein Sales'!$K$2:$K$501,'Protein Sales'!$G$2:$G$501,$A38,'Protein Sales'!$A$2:$A$501,"&gt;="&amp;$C$2,'Protein Sales'!$A$2:$A$501,"&lt;="&amp;$D$2)+SUMIFS('Protein Sales'!$L$2:$L$501,'Protein Sales'!$H$2:$H$501,$A38,'Protein Sales'!$A$2:$A$501,"&gt;="&amp;$C$2,'Protein Sales'!$A$2:$A$501,"&lt;="&amp;$D$2)+SUMIFS('Diet Support'!$K$2:$K$501,'Diet Support'!$F$2:$F$501,$A38,'Diet Support'!$A$2:$A$501,"&gt;="&amp;$C$2,'Diet Support'!$A$2:$A$501,"&lt;="&amp;$D$2)+SUMIFS('Diet Support'!$L$2:$L$501,'Diet Support'!$G$2:$G$501,$A38,'Diet Support'!$A$2:$A$501,"&gt;="&amp;$C$2,'Diet Support'!$A$2:$A$501,"&lt;="&amp;$D$2)))</f>
        <v/>
      </c>
      <c r="E38" s="20" t="str">
        <f aca="false">IF(A38="","",C38+D38)</f>
        <v/>
      </c>
    </row>
    <row r="39" customFormat="false" ht="15" hidden="false" customHeight="false" outlineLevel="0" collapsed="false">
      <c r="A39" s="21" t="str">
        <f aca="false">IF(Team!A36="","",Team!A36)</f>
        <v/>
      </c>
      <c r="B39" s="21" t="str">
        <f aca="false">IF(A39="","",Team!B36&amp;"")</f>
        <v/>
      </c>
      <c r="C39" s="20" t="str">
        <f aca="false">IF(A39="","",IF(OR(Team!G36="Disabled",AND(Team!F36&lt;&gt;"",Team!F36&gt;$D$2)),0,N(Team!D36)))</f>
        <v/>
      </c>
      <c r="D39" s="20" t="str">
        <f aca="false">IF(A39="","",IF(Team!E36="Off",0,SUMIFS('Injection Sales'!$M$2:$M$501,'Injection Sales'!$H$2:$H$501,$A39,'Injection Sales'!$A$2:$A$501,"&gt;="&amp;$C$2,'Injection Sales'!$A$2:$A$501,"&lt;="&amp;$D$2)+SUMIFS('Injection Sales'!$N$2:$N$501,'Injection Sales'!$I$2:$I$501,$A39,'Injection Sales'!$A$2:$A$501,"&gt;="&amp;$C$2,'Injection Sales'!$A$2:$A$501,"&lt;="&amp;$D$2)+SUMIFS('Protein Sales'!$K$2:$K$501,'Protein Sales'!$G$2:$G$501,$A39,'Protein Sales'!$A$2:$A$501,"&gt;="&amp;$C$2,'Protein Sales'!$A$2:$A$501,"&lt;="&amp;$D$2)+SUMIFS('Protein Sales'!$L$2:$L$501,'Protein Sales'!$H$2:$H$501,$A39,'Protein Sales'!$A$2:$A$501,"&gt;="&amp;$C$2,'Protein Sales'!$A$2:$A$501,"&lt;="&amp;$D$2)+SUMIFS('Diet Support'!$K$2:$K$501,'Diet Support'!$F$2:$F$501,$A39,'Diet Support'!$A$2:$A$501,"&gt;="&amp;$C$2,'Diet Support'!$A$2:$A$501,"&lt;="&amp;$D$2)+SUMIFS('Diet Support'!$L$2:$L$501,'Diet Support'!$G$2:$G$501,$A39,'Diet Support'!$A$2:$A$501,"&gt;="&amp;$C$2,'Diet Support'!$A$2:$A$501,"&lt;="&amp;$D$2)))</f>
        <v/>
      </c>
      <c r="E39" s="20" t="str">
        <f aca="false">IF(A39="","",C39+D39)</f>
        <v/>
      </c>
    </row>
    <row r="40" customFormat="false" ht="15" hidden="false" customHeight="false" outlineLevel="0" collapsed="false">
      <c r="A40" s="21" t="str">
        <f aca="false">IF(Team!A37="","",Team!A37)</f>
        <v/>
      </c>
      <c r="B40" s="21" t="str">
        <f aca="false">IF(A40="","",Team!B37&amp;"")</f>
        <v/>
      </c>
      <c r="C40" s="20" t="str">
        <f aca="false">IF(A40="","",IF(OR(Team!G37="Disabled",AND(Team!F37&lt;&gt;"",Team!F37&gt;$D$2)),0,N(Team!D37)))</f>
        <v/>
      </c>
      <c r="D40" s="20" t="str">
        <f aca="false">IF(A40="","",IF(Team!E37="Off",0,SUMIFS('Injection Sales'!$M$2:$M$501,'Injection Sales'!$H$2:$H$501,$A40,'Injection Sales'!$A$2:$A$501,"&gt;="&amp;$C$2,'Injection Sales'!$A$2:$A$501,"&lt;="&amp;$D$2)+SUMIFS('Injection Sales'!$N$2:$N$501,'Injection Sales'!$I$2:$I$501,$A40,'Injection Sales'!$A$2:$A$501,"&gt;="&amp;$C$2,'Injection Sales'!$A$2:$A$501,"&lt;="&amp;$D$2)+SUMIFS('Protein Sales'!$K$2:$K$501,'Protein Sales'!$G$2:$G$501,$A40,'Protein Sales'!$A$2:$A$501,"&gt;="&amp;$C$2,'Protein Sales'!$A$2:$A$501,"&lt;="&amp;$D$2)+SUMIFS('Protein Sales'!$L$2:$L$501,'Protein Sales'!$H$2:$H$501,$A40,'Protein Sales'!$A$2:$A$501,"&gt;="&amp;$C$2,'Protein Sales'!$A$2:$A$501,"&lt;="&amp;$D$2)+SUMIFS('Diet Support'!$K$2:$K$501,'Diet Support'!$F$2:$F$501,$A40,'Diet Support'!$A$2:$A$501,"&gt;="&amp;$C$2,'Diet Support'!$A$2:$A$501,"&lt;="&amp;$D$2)+SUMIFS('Diet Support'!$L$2:$L$501,'Diet Support'!$G$2:$G$501,$A40,'Diet Support'!$A$2:$A$501,"&gt;="&amp;$C$2,'Diet Support'!$A$2:$A$501,"&lt;="&amp;$D$2)))</f>
        <v/>
      </c>
      <c r="E40" s="20" t="str">
        <f aca="false">IF(A40="","",C40+D40)</f>
        <v/>
      </c>
    </row>
    <row r="41" customFormat="false" ht="15" hidden="false" customHeight="false" outlineLevel="0" collapsed="false">
      <c r="A41" s="21" t="str">
        <f aca="false">IF(Team!A38="","",Team!A38)</f>
        <v/>
      </c>
      <c r="B41" s="21" t="str">
        <f aca="false">IF(A41="","",Team!B38&amp;"")</f>
        <v/>
      </c>
      <c r="C41" s="20" t="str">
        <f aca="false">IF(A41="","",IF(OR(Team!G38="Disabled",AND(Team!F38&lt;&gt;"",Team!F38&gt;$D$2)),0,N(Team!D38)))</f>
        <v/>
      </c>
      <c r="D41" s="20" t="str">
        <f aca="false">IF(A41="","",IF(Team!E38="Off",0,SUMIFS('Injection Sales'!$M$2:$M$501,'Injection Sales'!$H$2:$H$501,$A41,'Injection Sales'!$A$2:$A$501,"&gt;="&amp;$C$2,'Injection Sales'!$A$2:$A$501,"&lt;="&amp;$D$2)+SUMIFS('Injection Sales'!$N$2:$N$501,'Injection Sales'!$I$2:$I$501,$A41,'Injection Sales'!$A$2:$A$501,"&gt;="&amp;$C$2,'Injection Sales'!$A$2:$A$501,"&lt;="&amp;$D$2)+SUMIFS('Protein Sales'!$K$2:$K$501,'Protein Sales'!$G$2:$G$501,$A41,'Protein Sales'!$A$2:$A$501,"&gt;="&amp;$C$2,'Protein Sales'!$A$2:$A$501,"&lt;="&amp;$D$2)+SUMIFS('Protein Sales'!$L$2:$L$501,'Protein Sales'!$H$2:$H$501,$A41,'Protein Sales'!$A$2:$A$501,"&gt;="&amp;$C$2,'Protein Sales'!$A$2:$A$501,"&lt;="&amp;$D$2)+SUMIFS('Diet Support'!$K$2:$K$501,'Diet Support'!$F$2:$F$501,$A41,'Diet Support'!$A$2:$A$501,"&gt;="&amp;$C$2,'Diet Support'!$A$2:$A$501,"&lt;="&amp;$D$2)+SUMIFS('Diet Support'!$L$2:$L$501,'Diet Support'!$G$2:$G$501,$A41,'Diet Support'!$A$2:$A$501,"&gt;="&amp;$C$2,'Diet Support'!$A$2:$A$501,"&lt;="&amp;$D$2)))</f>
        <v/>
      </c>
      <c r="E41" s="20" t="str">
        <f aca="false">IF(A41="","",C41+D41)</f>
        <v/>
      </c>
    </row>
    <row r="42" customFormat="false" ht="15" hidden="false" customHeight="false" outlineLevel="0" collapsed="false">
      <c r="A42" s="21" t="str">
        <f aca="false">IF(Team!A39="","",Team!A39)</f>
        <v/>
      </c>
      <c r="B42" s="21" t="str">
        <f aca="false">IF(A42="","",Team!B39&amp;"")</f>
        <v/>
      </c>
      <c r="C42" s="20" t="str">
        <f aca="false">IF(A42="","",IF(OR(Team!G39="Disabled",AND(Team!F39&lt;&gt;"",Team!F39&gt;$D$2)),0,N(Team!D39)))</f>
        <v/>
      </c>
      <c r="D42" s="20" t="str">
        <f aca="false">IF(A42="","",IF(Team!E39="Off",0,SUMIFS('Injection Sales'!$M$2:$M$501,'Injection Sales'!$H$2:$H$501,$A42,'Injection Sales'!$A$2:$A$501,"&gt;="&amp;$C$2,'Injection Sales'!$A$2:$A$501,"&lt;="&amp;$D$2)+SUMIFS('Injection Sales'!$N$2:$N$501,'Injection Sales'!$I$2:$I$501,$A42,'Injection Sales'!$A$2:$A$501,"&gt;="&amp;$C$2,'Injection Sales'!$A$2:$A$501,"&lt;="&amp;$D$2)+SUMIFS('Protein Sales'!$K$2:$K$501,'Protein Sales'!$G$2:$G$501,$A42,'Protein Sales'!$A$2:$A$501,"&gt;="&amp;$C$2,'Protein Sales'!$A$2:$A$501,"&lt;="&amp;$D$2)+SUMIFS('Protein Sales'!$L$2:$L$501,'Protein Sales'!$H$2:$H$501,$A42,'Protein Sales'!$A$2:$A$501,"&gt;="&amp;$C$2,'Protein Sales'!$A$2:$A$501,"&lt;="&amp;$D$2)+SUMIFS('Diet Support'!$K$2:$K$501,'Diet Support'!$F$2:$F$501,$A42,'Diet Support'!$A$2:$A$501,"&gt;="&amp;$C$2,'Diet Support'!$A$2:$A$501,"&lt;="&amp;$D$2)+SUMIFS('Diet Support'!$L$2:$L$501,'Diet Support'!$G$2:$G$501,$A42,'Diet Support'!$A$2:$A$501,"&gt;="&amp;$C$2,'Diet Support'!$A$2:$A$501,"&lt;="&amp;$D$2)))</f>
        <v/>
      </c>
      <c r="E42" s="20" t="str">
        <f aca="false">IF(A42="","",C42+D42)</f>
        <v/>
      </c>
    </row>
    <row r="43" customFormat="false" ht="15" hidden="false" customHeight="false" outlineLevel="0" collapsed="false">
      <c r="A43" s="21" t="str">
        <f aca="false">IF(Team!A40="","",Team!A40)</f>
        <v/>
      </c>
      <c r="B43" s="21" t="str">
        <f aca="false">IF(A43="","",Team!B40&amp;"")</f>
        <v/>
      </c>
      <c r="C43" s="20" t="str">
        <f aca="false">IF(A43="","",IF(OR(Team!G40="Disabled",AND(Team!F40&lt;&gt;"",Team!F40&gt;$D$2)),0,N(Team!D40)))</f>
        <v/>
      </c>
      <c r="D43" s="20" t="str">
        <f aca="false">IF(A43="","",IF(Team!E40="Off",0,SUMIFS('Injection Sales'!$M$2:$M$501,'Injection Sales'!$H$2:$H$501,$A43,'Injection Sales'!$A$2:$A$501,"&gt;="&amp;$C$2,'Injection Sales'!$A$2:$A$501,"&lt;="&amp;$D$2)+SUMIFS('Injection Sales'!$N$2:$N$501,'Injection Sales'!$I$2:$I$501,$A43,'Injection Sales'!$A$2:$A$501,"&gt;="&amp;$C$2,'Injection Sales'!$A$2:$A$501,"&lt;="&amp;$D$2)+SUMIFS('Protein Sales'!$K$2:$K$501,'Protein Sales'!$G$2:$G$501,$A43,'Protein Sales'!$A$2:$A$501,"&gt;="&amp;$C$2,'Protein Sales'!$A$2:$A$501,"&lt;="&amp;$D$2)+SUMIFS('Protein Sales'!$L$2:$L$501,'Protein Sales'!$H$2:$H$501,$A43,'Protein Sales'!$A$2:$A$501,"&gt;="&amp;$C$2,'Protein Sales'!$A$2:$A$501,"&lt;="&amp;$D$2)+SUMIFS('Diet Support'!$K$2:$K$501,'Diet Support'!$F$2:$F$501,$A43,'Diet Support'!$A$2:$A$501,"&gt;="&amp;$C$2,'Diet Support'!$A$2:$A$501,"&lt;="&amp;$D$2)+SUMIFS('Diet Support'!$L$2:$L$501,'Diet Support'!$G$2:$G$501,$A43,'Diet Support'!$A$2:$A$501,"&gt;="&amp;$C$2,'Diet Support'!$A$2:$A$501,"&lt;="&amp;$D$2)))</f>
        <v/>
      </c>
      <c r="E43" s="20" t="str">
        <f aca="false">IF(A43="","",C43+D43)</f>
        <v/>
      </c>
    </row>
    <row r="44" customFormat="false" ht="15" hidden="false" customHeight="false" outlineLevel="0" collapsed="false">
      <c r="A44" s="21" t="str">
        <f aca="false">IF(Team!A41="","",Team!A41)</f>
        <v/>
      </c>
      <c r="B44" s="21" t="str">
        <f aca="false">IF(A44="","",Team!B41&amp;"")</f>
        <v/>
      </c>
      <c r="C44" s="20" t="str">
        <f aca="false">IF(A44="","",IF(OR(Team!G41="Disabled",AND(Team!F41&lt;&gt;"",Team!F41&gt;$D$2)),0,N(Team!D41)))</f>
        <v/>
      </c>
      <c r="D44" s="20" t="str">
        <f aca="false">IF(A44="","",IF(Team!E41="Off",0,SUMIFS('Injection Sales'!$M$2:$M$501,'Injection Sales'!$H$2:$H$501,$A44,'Injection Sales'!$A$2:$A$501,"&gt;="&amp;$C$2,'Injection Sales'!$A$2:$A$501,"&lt;="&amp;$D$2)+SUMIFS('Injection Sales'!$N$2:$N$501,'Injection Sales'!$I$2:$I$501,$A44,'Injection Sales'!$A$2:$A$501,"&gt;="&amp;$C$2,'Injection Sales'!$A$2:$A$501,"&lt;="&amp;$D$2)+SUMIFS('Protein Sales'!$K$2:$K$501,'Protein Sales'!$G$2:$G$501,$A44,'Protein Sales'!$A$2:$A$501,"&gt;="&amp;$C$2,'Protein Sales'!$A$2:$A$501,"&lt;="&amp;$D$2)+SUMIFS('Protein Sales'!$L$2:$L$501,'Protein Sales'!$H$2:$H$501,$A44,'Protein Sales'!$A$2:$A$501,"&gt;="&amp;$C$2,'Protein Sales'!$A$2:$A$501,"&lt;="&amp;$D$2)+SUMIFS('Diet Support'!$K$2:$K$501,'Diet Support'!$F$2:$F$501,$A44,'Diet Support'!$A$2:$A$501,"&gt;="&amp;$C$2,'Diet Support'!$A$2:$A$501,"&lt;="&amp;$D$2)+SUMIFS('Diet Support'!$L$2:$L$501,'Diet Support'!$G$2:$G$501,$A44,'Diet Support'!$A$2:$A$501,"&gt;="&amp;$C$2,'Diet Support'!$A$2:$A$501,"&lt;="&amp;$D$2)))</f>
        <v/>
      </c>
      <c r="E44" s="20" t="str">
        <f aca="false">IF(A44="","",C44+D44)</f>
        <v/>
      </c>
    </row>
    <row r="45" customFormat="false" ht="15" hidden="false" customHeight="false" outlineLevel="0" collapsed="false">
      <c r="A45" s="21" t="str">
        <f aca="false">IF(Team!A42="","",Team!A42)</f>
        <v/>
      </c>
      <c r="B45" s="21" t="str">
        <f aca="false">IF(A45="","",Team!B42&amp;"")</f>
        <v/>
      </c>
      <c r="C45" s="20" t="str">
        <f aca="false">IF(A45="","",IF(OR(Team!G42="Disabled",AND(Team!F42&lt;&gt;"",Team!F42&gt;$D$2)),0,N(Team!D42)))</f>
        <v/>
      </c>
      <c r="D45" s="20" t="str">
        <f aca="false">IF(A45="","",IF(Team!E42="Off",0,SUMIFS('Injection Sales'!$M$2:$M$501,'Injection Sales'!$H$2:$H$501,$A45,'Injection Sales'!$A$2:$A$501,"&gt;="&amp;$C$2,'Injection Sales'!$A$2:$A$501,"&lt;="&amp;$D$2)+SUMIFS('Injection Sales'!$N$2:$N$501,'Injection Sales'!$I$2:$I$501,$A45,'Injection Sales'!$A$2:$A$501,"&gt;="&amp;$C$2,'Injection Sales'!$A$2:$A$501,"&lt;="&amp;$D$2)+SUMIFS('Protein Sales'!$K$2:$K$501,'Protein Sales'!$G$2:$G$501,$A45,'Protein Sales'!$A$2:$A$501,"&gt;="&amp;$C$2,'Protein Sales'!$A$2:$A$501,"&lt;="&amp;$D$2)+SUMIFS('Protein Sales'!$L$2:$L$501,'Protein Sales'!$H$2:$H$501,$A45,'Protein Sales'!$A$2:$A$501,"&gt;="&amp;$C$2,'Protein Sales'!$A$2:$A$501,"&lt;="&amp;$D$2)+SUMIFS('Diet Support'!$K$2:$K$501,'Diet Support'!$F$2:$F$501,$A45,'Diet Support'!$A$2:$A$501,"&gt;="&amp;$C$2,'Diet Support'!$A$2:$A$501,"&lt;="&amp;$D$2)+SUMIFS('Diet Support'!$L$2:$L$501,'Diet Support'!$G$2:$G$501,$A45,'Diet Support'!$A$2:$A$501,"&gt;="&amp;$C$2,'Diet Support'!$A$2:$A$501,"&lt;="&amp;$D$2)))</f>
        <v/>
      </c>
      <c r="E45" s="20" t="str">
        <f aca="false">IF(A45="","",C45+D45)</f>
        <v/>
      </c>
    </row>
    <row r="46" customFormat="false" ht="15" hidden="false" customHeight="false" outlineLevel="0" collapsed="false">
      <c r="A46" s="21" t="str">
        <f aca="false">IF(Team!A43="","",Team!A43)</f>
        <v/>
      </c>
      <c r="B46" s="21" t="str">
        <f aca="false">IF(A46="","",Team!B43&amp;"")</f>
        <v/>
      </c>
      <c r="C46" s="20" t="str">
        <f aca="false">IF(A46="","",IF(OR(Team!G43="Disabled",AND(Team!F43&lt;&gt;"",Team!F43&gt;$D$2)),0,N(Team!D43)))</f>
        <v/>
      </c>
      <c r="D46" s="20" t="str">
        <f aca="false">IF(A46="","",IF(Team!E43="Off",0,SUMIFS('Injection Sales'!$M$2:$M$501,'Injection Sales'!$H$2:$H$501,$A46,'Injection Sales'!$A$2:$A$501,"&gt;="&amp;$C$2,'Injection Sales'!$A$2:$A$501,"&lt;="&amp;$D$2)+SUMIFS('Injection Sales'!$N$2:$N$501,'Injection Sales'!$I$2:$I$501,$A46,'Injection Sales'!$A$2:$A$501,"&gt;="&amp;$C$2,'Injection Sales'!$A$2:$A$501,"&lt;="&amp;$D$2)+SUMIFS('Protein Sales'!$K$2:$K$501,'Protein Sales'!$G$2:$G$501,$A46,'Protein Sales'!$A$2:$A$501,"&gt;="&amp;$C$2,'Protein Sales'!$A$2:$A$501,"&lt;="&amp;$D$2)+SUMIFS('Protein Sales'!$L$2:$L$501,'Protein Sales'!$H$2:$H$501,$A46,'Protein Sales'!$A$2:$A$501,"&gt;="&amp;$C$2,'Protein Sales'!$A$2:$A$501,"&lt;="&amp;$D$2)+SUMIFS('Diet Support'!$K$2:$K$501,'Diet Support'!$F$2:$F$501,$A46,'Diet Support'!$A$2:$A$501,"&gt;="&amp;$C$2,'Diet Support'!$A$2:$A$501,"&lt;="&amp;$D$2)+SUMIFS('Diet Support'!$L$2:$L$501,'Diet Support'!$G$2:$G$501,$A46,'Diet Support'!$A$2:$A$501,"&gt;="&amp;$C$2,'Diet Support'!$A$2:$A$501,"&lt;="&amp;$D$2)))</f>
        <v/>
      </c>
      <c r="E46" s="20" t="str">
        <f aca="false">IF(A46="","",C46+D46)</f>
        <v/>
      </c>
    </row>
    <row r="47" customFormat="false" ht="15" hidden="false" customHeight="false" outlineLevel="0" collapsed="false">
      <c r="A47" s="21" t="str">
        <f aca="false">IF(Team!A44="","",Team!A44)</f>
        <v/>
      </c>
      <c r="B47" s="21" t="str">
        <f aca="false">IF(A47="","",Team!B44&amp;"")</f>
        <v/>
      </c>
      <c r="C47" s="20" t="str">
        <f aca="false">IF(A47="","",IF(OR(Team!G44="Disabled",AND(Team!F44&lt;&gt;"",Team!F44&gt;$D$2)),0,N(Team!D44)))</f>
        <v/>
      </c>
      <c r="D47" s="20" t="str">
        <f aca="false">IF(A47="","",IF(Team!E44="Off",0,SUMIFS('Injection Sales'!$M$2:$M$501,'Injection Sales'!$H$2:$H$501,$A47,'Injection Sales'!$A$2:$A$501,"&gt;="&amp;$C$2,'Injection Sales'!$A$2:$A$501,"&lt;="&amp;$D$2)+SUMIFS('Injection Sales'!$N$2:$N$501,'Injection Sales'!$I$2:$I$501,$A47,'Injection Sales'!$A$2:$A$501,"&gt;="&amp;$C$2,'Injection Sales'!$A$2:$A$501,"&lt;="&amp;$D$2)+SUMIFS('Protein Sales'!$K$2:$K$501,'Protein Sales'!$G$2:$G$501,$A47,'Protein Sales'!$A$2:$A$501,"&gt;="&amp;$C$2,'Protein Sales'!$A$2:$A$501,"&lt;="&amp;$D$2)+SUMIFS('Protein Sales'!$L$2:$L$501,'Protein Sales'!$H$2:$H$501,$A47,'Protein Sales'!$A$2:$A$501,"&gt;="&amp;$C$2,'Protein Sales'!$A$2:$A$501,"&lt;="&amp;$D$2)+SUMIFS('Diet Support'!$K$2:$K$501,'Diet Support'!$F$2:$F$501,$A47,'Diet Support'!$A$2:$A$501,"&gt;="&amp;$C$2,'Diet Support'!$A$2:$A$501,"&lt;="&amp;$D$2)+SUMIFS('Diet Support'!$L$2:$L$501,'Diet Support'!$G$2:$G$501,$A47,'Diet Support'!$A$2:$A$501,"&gt;="&amp;$C$2,'Diet Support'!$A$2:$A$501,"&lt;="&amp;$D$2)))</f>
        <v/>
      </c>
      <c r="E47" s="20" t="str">
        <f aca="false">IF(A47="","",C47+D47)</f>
        <v/>
      </c>
    </row>
    <row r="48" customFormat="false" ht="15" hidden="false" customHeight="false" outlineLevel="0" collapsed="false">
      <c r="A48" s="21" t="str">
        <f aca="false">IF(Team!A45="","",Team!A45)</f>
        <v/>
      </c>
      <c r="B48" s="21" t="str">
        <f aca="false">IF(A48="","",Team!B45&amp;"")</f>
        <v/>
      </c>
      <c r="C48" s="20" t="str">
        <f aca="false">IF(A48="","",IF(OR(Team!G45="Disabled",AND(Team!F45&lt;&gt;"",Team!F45&gt;$D$2)),0,N(Team!D45)))</f>
        <v/>
      </c>
      <c r="D48" s="20" t="str">
        <f aca="false">IF(A48="","",IF(Team!E45="Off",0,SUMIFS('Injection Sales'!$M$2:$M$501,'Injection Sales'!$H$2:$H$501,$A48,'Injection Sales'!$A$2:$A$501,"&gt;="&amp;$C$2,'Injection Sales'!$A$2:$A$501,"&lt;="&amp;$D$2)+SUMIFS('Injection Sales'!$N$2:$N$501,'Injection Sales'!$I$2:$I$501,$A48,'Injection Sales'!$A$2:$A$501,"&gt;="&amp;$C$2,'Injection Sales'!$A$2:$A$501,"&lt;="&amp;$D$2)+SUMIFS('Protein Sales'!$K$2:$K$501,'Protein Sales'!$G$2:$G$501,$A48,'Protein Sales'!$A$2:$A$501,"&gt;="&amp;$C$2,'Protein Sales'!$A$2:$A$501,"&lt;="&amp;$D$2)+SUMIFS('Protein Sales'!$L$2:$L$501,'Protein Sales'!$H$2:$H$501,$A48,'Protein Sales'!$A$2:$A$501,"&gt;="&amp;$C$2,'Protein Sales'!$A$2:$A$501,"&lt;="&amp;$D$2)+SUMIFS('Diet Support'!$K$2:$K$501,'Diet Support'!$F$2:$F$501,$A48,'Diet Support'!$A$2:$A$501,"&gt;="&amp;$C$2,'Diet Support'!$A$2:$A$501,"&lt;="&amp;$D$2)+SUMIFS('Diet Support'!$L$2:$L$501,'Diet Support'!$G$2:$G$501,$A48,'Diet Support'!$A$2:$A$501,"&gt;="&amp;$C$2,'Diet Support'!$A$2:$A$501,"&lt;="&amp;$D$2)))</f>
        <v/>
      </c>
      <c r="E48" s="20" t="str">
        <f aca="false">IF(A48="","",C48+D48)</f>
        <v/>
      </c>
    </row>
    <row r="49" customFormat="false" ht="15" hidden="false" customHeight="false" outlineLevel="0" collapsed="false">
      <c r="A49" s="21" t="str">
        <f aca="false">IF(Team!A46="","",Team!A46)</f>
        <v/>
      </c>
      <c r="B49" s="21" t="str">
        <f aca="false">IF(A49="","",Team!B46&amp;"")</f>
        <v/>
      </c>
      <c r="C49" s="20" t="str">
        <f aca="false">IF(A49="","",IF(OR(Team!G46="Disabled",AND(Team!F46&lt;&gt;"",Team!F46&gt;$D$2)),0,N(Team!D46)))</f>
        <v/>
      </c>
      <c r="D49" s="20" t="str">
        <f aca="false">IF(A49="","",IF(Team!E46="Off",0,SUMIFS('Injection Sales'!$M$2:$M$501,'Injection Sales'!$H$2:$H$501,$A49,'Injection Sales'!$A$2:$A$501,"&gt;="&amp;$C$2,'Injection Sales'!$A$2:$A$501,"&lt;="&amp;$D$2)+SUMIFS('Injection Sales'!$N$2:$N$501,'Injection Sales'!$I$2:$I$501,$A49,'Injection Sales'!$A$2:$A$501,"&gt;="&amp;$C$2,'Injection Sales'!$A$2:$A$501,"&lt;="&amp;$D$2)+SUMIFS('Protein Sales'!$K$2:$K$501,'Protein Sales'!$G$2:$G$501,$A49,'Protein Sales'!$A$2:$A$501,"&gt;="&amp;$C$2,'Protein Sales'!$A$2:$A$501,"&lt;="&amp;$D$2)+SUMIFS('Protein Sales'!$L$2:$L$501,'Protein Sales'!$H$2:$H$501,$A49,'Protein Sales'!$A$2:$A$501,"&gt;="&amp;$C$2,'Protein Sales'!$A$2:$A$501,"&lt;="&amp;$D$2)+SUMIFS('Diet Support'!$K$2:$K$501,'Diet Support'!$F$2:$F$501,$A49,'Diet Support'!$A$2:$A$501,"&gt;="&amp;$C$2,'Diet Support'!$A$2:$A$501,"&lt;="&amp;$D$2)+SUMIFS('Diet Support'!$L$2:$L$501,'Diet Support'!$G$2:$G$501,$A49,'Diet Support'!$A$2:$A$501,"&gt;="&amp;$C$2,'Diet Support'!$A$2:$A$501,"&lt;="&amp;$D$2)))</f>
        <v/>
      </c>
      <c r="E49" s="20" t="str">
        <f aca="false">IF(A49="","",C49+D49)</f>
        <v/>
      </c>
    </row>
    <row r="50" customFormat="false" ht="15" hidden="false" customHeight="false" outlineLevel="0" collapsed="false">
      <c r="A50" s="21" t="str">
        <f aca="false">IF(Team!A47="","",Team!A47)</f>
        <v/>
      </c>
      <c r="B50" s="21" t="str">
        <f aca="false">IF(A50="","",Team!B47&amp;"")</f>
        <v/>
      </c>
      <c r="C50" s="20" t="str">
        <f aca="false">IF(A50="","",IF(OR(Team!G47="Disabled",AND(Team!F47&lt;&gt;"",Team!F47&gt;$D$2)),0,N(Team!D47)))</f>
        <v/>
      </c>
      <c r="D50" s="20" t="str">
        <f aca="false">IF(A50="","",IF(Team!E47="Off",0,SUMIFS('Injection Sales'!$M$2:$M$501,'Injection Sales'!$H$2:$H$501,$A50,'Injection Sales'!$A$2:$A$501,"&gt;="&amp;$C$2,'Injection Sales'!$A$2:$A$501,"&lt;="&amp;$D$2)+SUMIFS('Injection Sales'!$N$2:$N$501,'Injection Sales'!$I$2:$I$501,$A50,'Injection Sales'!$A$2:$A$501,"&gt;="&amp;$C$2,'Injection Sales'!$A$2:$A$501,"&lt;="&amp;$D$2)+SUMIFS('Protein Sales'!$K$2:$K$501,'Protein Sales'!$G$2:$G$501,$A50,'Protein Sales'!$A$2:$A$501,"&gt;="&amp;$C$2,'Protein Sales'!$A$2:$A$501,"&lt;="&amp;$D$2)+SUMIFS('Protein Sales'!$L$2:$L$501,'Protein Sales'!$H$2:$H$501,$A50,'Protein Sales'!$A$2:$A$501,"&gt;="&amp;$C$2,'Protein Sales'!$A$2:$A$501,"&lt;="&amp;$D$2)+SUMIFS('Diet Support'!$K$2:$K$501,'Diet Support'!$F$2:$F$501,$A50,'Diet Support'!$A$2:$A$501,"&gt;="&amp;$C$2,'Diet Support'!$A$2:$A$501,"&lt;="&amp;$D$2)+SUMIFS('Diet Support'!$L$2:$L$501,'Diet Support'!$G$2:$G$501,$A50,'Diet Support'!$A$2:$A$501,"&gt;="&amp;$C$2,'Diet Support'!$A$2:$A$501,"&lt;="&amp;$D$2)))</f>
        <v/>
      </c>
      <c r="E50" s="20" t="str">
        <f aca="false">IF(A50="","",C50+D50)</f>
        <v/>
      </c>
    </row>
    <row r="51" customFormat="false" ht="15" hidden="false" customHeight="false" outlineLevel="0" collapsed="false">
      <c r="A51" s="21" t="str">
        <f aca="false">IF(Team!A48="","",Team!A48)</f>
        <v/>
      </c>
      <c r="B51" s="21" t="str">
        <f aca="false">IF(A51="","",Team!B48&amp;"")</f>
        <v/>
      </c>
      <c r="C51" s="20" t="str">
        <f aca="false">IF(A51="","",IF(OR(Team!G48="Disabled",AND(Team!F48&lt;&gt;"",Team!F48&gt;$D$2)),0,N(Team!D48)))</f>
        <v/>
      </c>
      <c r="D51" s="20" t="str">
        <f aca="false">IF(A51="","",IF(Team!E48="Off",0,SUMIFS('Injection Sales'!$M$2:$M$501,'Injection Sales'!$H$2:$H$501,$A51,'Injection Sales'!$A$2:$A$501,"&gt;="&amp;$C$2,'Injection Sales'!$A$2:$A$501,"&lt;="&amp;$D$2)+SUMIFS('Injection Sales'!$N$2:$N$501,'Injection Sales'!$I$2:$I$501,$A51,'Injection Sales'!$A$2:$A$501,"&gt;="&amp;$C$2,'Injection Sales'!$A$2:$A$501,"&lt;="&amp;$D$2)+SUMIFS('Protein Sales'!$K$2:$K$501,'Protein Sales'!$G$2:$G$501,$A51,'Protein Sales'!$A$2:$A$501,"&gt;="&amp;$C$2,'Protein Sales'!$A$2:$A$501,"&lt;="&amp;$D$2)+SUMIFS('Protein Sales'!$L$2:$L$501,'Protein Sales'!$H$2:$H$501,$A51,'Protein Sales'!$A$2:$A$501,"&gt;="&amp;$C$2,'Protein Sales'!$A$2:$A$501,"&lt;="&amp;$D$2)+SUMIFS('Diet Support'!$K$2:$K$501,'Diet Support'!$F$2:$F$501,$A51,'Diet Support'!$A$2:$A$501,"&gt;="&amp;$C$2,'Diet Support'!$A$2:$A$501,"&lt;="&amp;$D$2)+SUMIFS('Diet Support'!$L$2:$L$501,'Diet Support'!$G$2:$G$501,$A51,'Diet Support'!$A$2:$A$501,"&gt;="&amp;$C$2,'Diet Support'!$A$2:$A$501,"&lt;="&amp;$D$2)))</f>
        <v/>
      </c>
      <c r="E51" s="20" t="str">
        <f aca="false">IF(A51="","",C51+D51)</f>
        <v/>
      </c>
    </row>
    <row r="52" customFormat="false" ht="15" hidden="false" customHeight="false" outlineLevel="0" collapsed="false">
      <c r="A52" s="21" t="str">
        <f aca="false">IF(Team!A49="","",Team!A49)</f>
        <v/>
      </c>
      <c r="B52" s="21" t="str">
        <f aca="false">IF(A52="","",Team!B49&amp;"")</f>
        <v/>
      </c>
      <c r="C52" s="20" t="str">
        <f aca="false">IF(A52="","",IF(OR(Team!G49="Disabled",AND(Team!F49&lt;&gt;"",Team!F49&gt;$D$2)),0,N(Team!D49)))</f>
        <v/>
      </c>
      <c r="D52" s="20" t="str">
        <f aca="false">IF(A52="","",IF(Team!E49="Off",0,SUMIFS('Injection Sales'!$M$2:$M$501,'Injection Sales'!$H$2:$H$501,$A52,'Injection Sales'!$A$2:$A$501,"&gt;="&amp;$C$2,'Injection Sales'!$A$2:$A$501,"&lt;="&amp;$D$2)+SUMIFS('Injection Sales'!$N$2:$N$501,'Injection Sales'!$I$2:$I$501,$A52,'Injection Sales'!$A$2:$A$501,"&gt;="&amp;$C$2,'Injection Sales'!$A$2:$A$501,"&lt;="&amp;$D$2)+SUMIFS('Protein Sales'!$K$2:$K$501,'Protein Sales'!$G$2:$G$501,$A52,'Protein Sales'!$A$2:$A$501,"&gt;="&amp;$C$2,'Protein Sales'!$A$2:$A$501,"&lt;="&amp;$D$2)+SUMIFS('Protein Sales'!$L$2:$L$501,'Protein Sales'!$H$2:$H$501,$A52,'Protein Sales'!$A$2:$A$501,"&gt;="&amp;$C$2,'Protein Sales'!$A$2:$A$501,"&lt;="&amp;$D$2)+SUMIFS('Diet Support'!$K$2:$K$501,'Diet Support'!$F$2:$F$501,$A52,'Diet Support'!$A$2:$A$501,"&gt;="&amp;$C$2,'Diet Support'!$A$2:$A$501,"&lt;="&amp;$D$2)+SUMIFS('Diet Support'!$L$2:$L$501,'Diet Support'!$G$2:$G$501,$A52,'Diet Support'!$A$2:$A$501,"&gt;="&amp;$C$2,'Diet Support'!$A$2:$A$501,"&lt;="&amp;$D$2)))</f>
        <v/>
      </c>
      <c r="E52" s="20" t="str">
        <f aca="false">IF(A52="","",C52+D52)</f>
        <v/>
      </c>
    </row>
    <row r="53" customFormat="false" ht="15" hidden="false" customHeight="false" outlineLevel="0" collapsed="false">
      <c r="A53" s="21" t="str">
        <f aca="false">IF(Team!A50="","",Team!A50)</f>
        <v/>
      </c>
      <c r="B53" s="21" t="str">
        <f aca="false">IF(A53="","",Team!B50&amp;"")</f>
        <v/>
      </c>
      <c r="C53" s="20" t="str">
        <f aca="false">IF(A53="","",IF(OR(Team!G50="Disabled",AND(Team!F50&lt;&gt;"",Team!F50&gt;$D$2)),0,N(Team!D50)))</f>
        <v/>
      </c>
      <c r="D53" s="20" t="str">
        <f aca="false">IF(A53="","",IF(Team!E50="Off",0,SUMIFS('Injection Sales'!$M$2:$M$501,'Injection Sales'!$H$2:$H$501,$A53,'Injection Sales'!$A$2:$A$501,"&gt;="&amp;$C$2,'Injection Sales'!$A$2:$A$501,"&lt;="&amp;$D$2)+SUMIFS('Injection Sales'!$N$2:$N$501,'Injection Sales'!$I$2:$I$501,$A53,'Injection Sales'!$A$2:$A$501,"&gt;="&amp;$C$2,'Injection Sales'!$A$2:$A$501,"&lt;="&amp;$D$2)+SUMIFS('Protein Sales'!$K$2:$K$501,'Protein Sales'!$G$2:$G$501,$A53,'Protein Sales'!$A$2:$A$501,"&gt;="&amp;$C$2,'Protein Sales'!$A$2:$A$501,"&lt;="&amp;$D$2)+SUMIFS('Protein Sales'!$L$2:$L$501,'Protein Sales'!$H$2:$H$501,$A53,'Protein Sales'!$A$2:$A$501,"&gt;="&amp;$C$2,'Protein Sales'!$A$2:$A$501,"&lt;="&amp;$D$2)+SUMIFS('Diet Support'!$K$2:$K$501,'Diet Support'!$F$2:$F$501,$A53,'Diet Support'!$A$2:$A$501,"&gt;="&amp;$C$2,'Diet Support'!$A$2:$A$501,"&lt;="&amp;$D$2)+SUMIFS('Diet Support'!$L$2:$L$501,'Diet Support'!$G$2:$G$501,$A53,'Diet Support'!$A$2:$A$501,"&gt;="&amp;$C$2,'Diet Support'!$A$2:$A$501,"&lt;="&amp;$D$2)))</f>
        <v/>
      </c>
      <c r="E53" s="20" t="str">
        <f aca="false">IF(A53="","",C53+D53)</f>
        <v/>
      </c>
    </row>
    <row r="54" customFormat="false" ht="15" hidden="false" customHeight="false" outlineLevel="0" collapsed="false">
      <c r="A54" s="21" t="str">
        <f aca="false">IF(Team!A51="","",Team!A51)</f>
        <v/>
      </c>
      <c r="B54" s="21" t="str">
        <f aca="false">IF(A54="","",Team!B51&amp;"")</f>
        <v/>
      </c>
      <c r="C54" s="20" t="str">
        <f aca="false">IF(A54="","",IF(OR(Team!G51="Disabled",AND(Team!F51&lt;&gt;"",Team!F51&gt;$D$2)),0,N(Team!D51)))</f>
        <v/>
      </c>
      <c r="D54" s="20" t="str">
        <f aca="false">IF(A54="","",IF(Team!E51="Off",0,SUMIFS('Injection Sales'!$M$2:$M$501,'Injection Sales'!$H$2:$H$501,$A54,'Injection Sales'!$A$2:$A$501,"&gt;="&amp;$C$2,'Injection Sales'!$A$2:$A$501,"&lt;="&amp;$D$2)+SUMIFS('Injection Sales'!$N$2:$N$501,'Injection Sales'!$I$2:$I$501,$A54,'Injection Sales'!$A$2:$A$501,"&gt;="&amp;$C$2,'Injection Sales'!$A$2:$A$501,"&lt;="&amp;$D$2)+SUMIFS('Protein Sales'!$K$2:$K$501,'Protein Sales'!$G$2:$G$501,$A54,'Protein Sales'!$A$2:$A$501,"&gt;="&amp;$C$2,'Protein Sales'!$A$2:$A$501,"&lt;="&amp;$D$2)+SUMIFS('Protein Sales'!$L$2:$L$501,'Protein Sales'!$H$2:$H$501,$A54,'Protein Sales'!$A$2:$A$501,"&gt;="&amp;$C$2,'Protein Sales'!$A$2:$A$501,"&lt;="&amp;$D$2)+SUMIFS('Diet Support'!$K$2:$K$501,'Diet Support'!$F$2:$F$501,$A54,'Diet Support'!$A$2:$A$501,"&gt;="&amp;$C$2,'Diet Support'!$A$2:$A$501,"&lt;="&amp;$D$2)+SUMIFS('Diet Support'!$L$2:$L$501,'Diet Support'!$G$2:$G$501,$A54,'Diet Support'!$A$2:$A$501,"&gt;="&amp;$C$2,'Diet Support'!$A$2:$A$501,"&lt;="&amp;$D$2)))</f>
        <v/>
      </c>
      <c r="E54" s="20" t="str">
        <f aca="false">IF(A54="","",C54+D54)</f>
        <v/>
      </c>
    </row>
    <row r="55" customFormat="false" ht="15" hidden="false" customHeight="false" outlineLevel="0" collapsed="false">
      <c r="A55" s="12" t="s">
        <v>16</v>
      </c>
      <c r="B55" s="1"/>
      <c r="C55" s="35" t="n">
        <f aca="false">SUM(C5:C54)</f>
        <v>25000</v>
      </c>
      <c r="D55" s="35" t="n">
        <f aca="false">SUM(D5:D54)</f>
        <v>3500</v>
      </c>
      <c r="E55" s="35" t="n">
        <f aca="false">SUM(E5:E54)</f>
        <v>28500</v>
      </c>
    </row>
    <row r="56" customFormat="false" ht="15" hidden="false" customHeight="false" outlineLevel="0" collapsed="false">
      <c r="A56" s="1"/>
      <c r="B56" s="1"/>
      <c r="C56" s="1"/>
      <c r="D56" s="1"/>
      <c r="E56" s="1"/>
    </row>
    <row r="57" customFormat="false" ht="15" hidden="false" customHeight="false" outlineLevel="0" collapsed="false">
      <c r="A57" s="3" t="s">
        <v>130</v>
      </c>
      <c r="B57" s="1"/>
      <c r="C57" s="1"/>
      <c r="D57" s="1"/>
      <c r="E5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D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5" t="s">
        <v>64</v>
      </c>
      <c r="B1" s="15" t="s">
        <v>85</v>
      </c>
      <c r="C1" s="15" t="s">
        <v>6</v>
      </c>
      <c r="D1" s="15" t="s">
        <v>131</v>
      </c>
    </row>
    <row r="2" customFormat="false" ht="15" hidden="false" customHeight="false" outlineLevel="0" collapsed="false">
      <c r="A2" s="23" t="n">
        <v>46266</v>
      </c>
      <c r="B2" s="16" t="s">
        <v>132</v>
      </c>
      <c r="C2" s="25" t="n">
        <v>15000</v>
      </c>
      <c r="D2" s="16" t="s">
        <v>133</v>
      </c>
    </row>
    <row r="3" customFormat="false" ht="15" hidden="false" customHeight="false" outlineLevel="0" collapsed="false">
      <c r="A3" s="27"/>
      <c r="B3" s="1"/>
      <c r="C3" s="28"/>
      <c r="D3" s="1"/>
    </row>
    <row r="4" customFormat="false" ht="15" hidden="false" customHeight="false" outlineLevel="0" collapsed="false">
      <c r="A4" s="27"/>
      <c r="B4" s="1"/>
      <c r="C4" s="28"/>
      <c r="D4" s="1"/>
    </row>
    <row r="5" customFormat="false" ht="15" hidden="false" customHeight="false" outlineLevel="0" collapsed="false">
      <c r="A5" s="27"/>
      <c r="B5" s="1"/>
      <c r="C5" s="28"/>
      <c r="D5" s="1"/>
    </row>
    <row r="6" customFormat="false" ht="15" hidden="false" customHeight="false" outlineLevel="0" collapsed="false">
      <c r="A6" s="27"/>
      <c r="B6" s="1"/>
      <c r="C6" s="28"/>
      <c r="D6" s="1"/>
    </row>
    <row r="7" customFormat="false" ht="15" hidden="false" customHeight="false" outlineLevel="0" collapsed="false">
      <c r="A7" s="27"/>
      <c r="B7" s="1"/>
      <c r="C7" s="28"/>
      <c r="D7" s="1"/>
    </row>
    <row r="8" customFormat="false" ht="15" hidden="false" customHeight="false" outlineLevel="0" collapsed="false">
      <c r="A8" s="27"/>
      <c r="B8" s="1"/>
      <c r="C8" s="28"/>
      <c r="D8" s="1"/>
    </row>
    <row r="9" customFormat="false" ht="15" hidden="false" customHeight="false" outlineLevel="0" collapsed="false">
      <c r="A9" s="27"/>
      <c r="B9" s="1"/>
      <c r="C9" s="28"/>
      <c r="D9" s="1"/>
    </row>
    <row r="10" customFormat="false" ht="15" hidden="false" customHeight="false" outlineLevel="0" collapsed="false">
      <c r="A10" s="27"/>
      <c r="B10" s="1"/>
      <c r="C10" s="28"/>
      <c r="D10" s="1"/>
    </row>
    <row r="11" customFormat="false" ht="15" hidden="false" customHeight="false" outlineLevel="0" collapsed="false">
      <c r="A11" s="27"/>
      <c r="B11" s="1"/>
      <c r="C11" s="28"/>
      <c r="D11" s="1"/>
    </row>
    <row r="12" customFormat="false" ht="15" hidden="false" customHeight="false" outlineLevel="0" collapsed="false">
      <c r="A12" s="27"/>
      <c r="B12" s="1"/>
      <c r="C12" s="28"/>
      <c r="D12" s="1"/>
    </row>
    <row r="13" customFormat="false" ht="15" hidden="false" customHeight="false" outlineLevel="0" collapsed="false">
      <c r="A13" s="27"/>
      <c r="B13" s="1"/>
      <c r="C13" s="28"/>
      <c r="D13" s="1"/>
    </row>
    <row r="14" customFormat="false" ht="15" hidden="false" customHeight="false" outlineLevel="0" collapsed="false">
      <c r="A14" s="27"/>
      <c r="B14" s="1"/>
      <c r="C14" s="28"/>
      <c r="D14" s="1"/>
    </row>
    <row r="15" customFormat="false" ht="15" hidden="false" customHeight="false" outlineLevel="0" collapsed="false">
      <c r="A15" s="27"/>
      <c r="B15" s="1"/>
      <c r="C15" s="28"/>
      <c r="D15" s="1"/>
    </row>
    <row r="16" customFormat="false" ht="15" hidden="false" customHeight="false" outlineLevel="0" collapsed="false">
      <c r="A16" s="27"/>
      <c r="B16" s="1"/>
      <c r="C16" s="28"/>
      <c r="D16" s="1"/>
    </row>
    <row r="17" customFormat="false" ht="15" hidden="false" customHeight="false" outlineLevel="0" collapsed="false">
      <c r="A17" s="27"/>
      <c r="B17" s="1"/>
      <c r="C17" s="28"/>
      <c r="D17" s="1"/>
    </row>
    <row r="18" customFormat="false" ht="15" hidden="false" customHeight="false" outlineLevel="0" collapsed="false">
      <c r="A18" s="27"/>
      <c r="B18" s="1"/>
      <c r="C18" s="28"/>
      <c r="D18" s="1"/>
    </row>
    <row r="19" customFormat="false" ht="15" hidden="false" customHeight="false" outlineLevel="0" collapsed="false">
      <c r="A19" s="27"/>
      <c r="B19" s="1"/>
      <c r="C19" s="28"/>
      <c r="D19" s="1"/>
    </row>
    <row r="20" customFormat="false" ht="15" hidden="false" customHeight="false" outlineLevel="0" collapsed="false">
      <c r="A20" s="27"/>
      <c r="B20" s="1"/>
      <c r="C20" s="28"/>
      <c r="D20" s="1"/>
    </row>
    <row r="21" customFormat="false" ht="15" hidden="false" customHeight="false" outlineLevel="0" collapsed="false">
      <c r="A21" s="27"/>
      <c r="B21" s="1"/>
      <c r="C21" s="28"/>
      <c r="D21" s="1"/>
    </row>
    <row r="22" customFormat="false" ht="15" hidden="false" customHeight="false" outlineLevel="0" collapsed="false">
      <c r="A22" s="27"/>
      <c r="B22" s="1"/>
      <c r="C22" s="28"/>
      <c r="D22" s="1"/>
    </row>
    <row r="23" customFormat="false" ht="15" hidden="false" customHeight="false" outlineLevel="0" collapsed="false">
      <c r="A23" s="27"/>
      <c r="B23" s="1"/>
      <c r="C23" s="28"/>
      <c r="D23" s="1"/>
    </row>
    <row r="24" customFormat="false" ht="15" hidden="false" customHeight="false" outlineLevel="0" collapsed="false">
      <c r="A24" s="27"/>
      <c r="B24" s="1"/>
      <c r="C24" s="28"/>
      <c r="D24" s="1"/>
    </row>
    <row r="25" customFormat="false" ht="15" hidden="false" customHeight="false" outlineLevel="0" collapsed="false">
      <c r="A25" s="27"/>
      <c r="B25" s="1"/>
      <c r="C25" s="28"/>
      <c r="D25" s="1"/>
    </row>
    <row r="26" customFormat="false" ht="15" hidden="false" customHeight="false" outlineLevel="0" collapsed="false">
      <c r="A26" s="27"/>
      <c r="B26" s="1"/>
      <c r="C26" s="28"/>
      <c r="D26" s="1"/>
    </row>
    <row r="27" customFormat="false" ht="15" hidden="false" customHeight="false" outlineLevel="0" collapsed="false">
      <c r="A27" s="27"/>
      <c r="B27" s="1"/>
      <c r="C27" s="28"/>
      <c r="D27" s="1"/>
    </row>
    <row r="28" customFormat="false" ht="15" hidden="false" customHeight="false" outlineLevel="0" collapsed="false">
      <c r="A28" s="27"/>
      <c r="B28" s="1"/>
      <c r="C28" s="28"/>
      <c r="D28" s="1"/>
    </row>
    <row r="29" customFormat="false" ht="15" hidden="false" customHeight="false" outlineLevel="0" collapsed="false">
      <c r="A29" s="27"/>
      <c r="B29" s="1"/>
      <c r="C29" s="28"/>
      <c r="D29" s="1"/>
    </row>
    <row r="30" customFormat="false" ht="15" hidden="false" customHeight="false" outlineLevel="0" collapsed="false">
      <c r="A30" s="27"/>
      <c r="B30" s="1"/>
      <c r="C30" s="28"/>
      <c r="D30" s="1"/>
    </row>
    <row r="31" customFormat="false" ht="15" hidden="false" customHeight="false" outlineLevel="0" collapsed="false">
      <c r="A31" s="27"/>
      <c r="B31" s="1"/>
      <c r="C31" s="28"/>
      <c r="D31" s="1"/>
    </row>
    <row r="32" customFormat="false" ht="15" hidden="false" customHeight="false" outlineLevel="0" collapsed="false">
      <c r="A32" s="27"/>
      <c r="B32" s="1"/>
      <c r="C32" s="28"/>
      <c r="D32" s="1"/>
    </row>
    <row r="33" customFormat="false" ht="15" hidden="false" customHeight="false" outlineLevel="0" collapsed="false">
      <c r="A33" s="27"/>
      <c r="B33" s="1"/>
      <c r="C33" s="28"/>
      <c r="D33" s="1"/>
    </row>
    <row r="34" customFormat="false" ht="15" hidden="false" customHeight="false" outlineLevel="0" collapsed="false">
      <c r="A34" s="27"/>
      <c r="B34" s="1"/>
      <c r="C34" s="28"/>
      <c r="D34" s="1"/>
    </row>
    <row r="35" customFormat="false" ht="15" hidden="false" customHeight="false" outlineLevel="0" collapsed="false">
      <c r="A35" s="27"/>
      <c r="B35" s="1"/>
      <c r="C35" s="28"/>
      <c r="D35" s="1"/>
    </row>
    <row r="36" customFormat="false" ht="15" hidden="false" customHeight="false" outlineLevel="0" collapsed="false">
      <c r="A36" s="27"/>
      <c r="B36" s="1"/>
      <c r="C36" s="28"/>
      <c r="D36" s="1"/>
    </row>
    <row r="37" customFormat="false" ht="15" hidden="false" customHeight="false" outlineLevel="0" collapsed="false">
      <c r="A37" s="27"/>
      <c r="B37" s="1"/>
      <c r="C37" s="28"/>
      <c r="D37" s="1"/>
    </row>
    <row r="38" customFormat="false" ht="15" hidden="false" customHeight="false" outlineLevel="0" collapsed="false">
      <c r="A38" s="27"/>
      <c r="B38" s="1"/>
      <c r="C38" s="28"/>
      <c r="D38" s="1"/>
    </row>
    <row r="39" customFormat="false" ht="15" hidden="false" customHeight="false" outlineLevel="0" collapsed="false">
      <c r="A39" s="27"/>
      <c r="B39" s="1"/>
      <c r="C39" s="28"/>
      <c r="D39" s="1"/>
    </row>
    <row r="40" customFormat="false" ht="15" hidden="false" customHeight="false" outlineLevel="0" collapsed="false">
      <c r="A40" s="27"/>
      <c r="B40" s="1"/>
      <c r="C40" s="28"/>
      <c r="D40" s="1"/>
    </row>
    <row r="41" customFormat="false" ht="15" hidden="false" customHeight="false" outlineLevel="0" collapsed="false">
      <c r="A41" s="27"/>
      <c r="B41" s="1"/>
      <c r="C41" s="28"/>
      <c r="D41" s="1"/>
    </row>
    <row r="42" customFormat="false" ht="15" hidden="false" customHeight="false" outlineLevel="0" collapsed="false">
      <c r="A42" s="27"/>
      <c r="B42" s="1"/>
      <c r="C42" s="28"/>
      <c r="D42" s="1"/>
    </row>
    <row r="43" customFormat="false" ht="15" hidden="false" customHeight="false" outlineLevel="0" collapsed="false">
      <c r="A43" s="27"/>
      <c r="B43" s="1"/>
      <c r="C43" s="28"/>
      <c r="D43" s="1"/>
    </row>
    <row r="44" customFormat="false" ht="15" hidden="false" customHeight="false" outlineLevel="0" collapsed="false">
      <c r="A44" s="27"/>
      <c r="B44" s="1"/>
      <c r="C44" s="28"/>
      <c r="D44" s="1"/>
    </row>
    <row r="45" customFormat="false" ht="15" hidden="false" customHeight="false" outlineLevel="0" collapsed="false">
      <c r="A45" s="27"/>
      <c r="B45" s="1"/>
      <c r="C45" s="28"/>
      <c r="D45" s="1"/>
    </row>
    <row r="46" customFormat="false" ht="15" hidden="false" customHeight="false" outlineLevel="0" collapsed="false">
      <c r="A46" s="27"/>
      <c r="B46" s="1"/>
      <c r="C46" s="28"/>
      <c r="D46" s="1"/>
    </row>
    <row r="47" customFormat="false" ht="15" hidden="false" customHeight="false" outlineLevel="0" collapsed="false">
      <c r="A47" s="27"/>
      <c r="B47" s="1"/>
      <c r="C47" s="28"/>
      <c r="D47" s="1"/>
    </row>
    <row r="48" customFormat="false" ht="15" hidden="false" customHeight="false" outlineLevel="0" collapsed="false">
      <c r="A48" s="27"/>
      <c r="B48" s="1"/>
      <c r="C48" s="28"/>
      <c r="D48" s="1"/>
    </row>
    <row r="49" customFormat="false" ht="15" hidden="false" customHeight="false" outlineLevel="0" collapsed="false">
      <c r="A49" s="27"/>
      <c r="B49" s="1"/>
      <c r="C49" s="28"/>
      <c r="D49" s="1"/>
    </row>
    <row r="50" customFormat="false" ht="15" hidden="false" customHeight="false" outlineLevel="0" collapsed="false">
      <c r="A50" s="27"/>
      <c r="B50" s="1"/>
      <c r="C50" s="28"/>
      <c r="D50" s="1"/>
    </row>
    <row r="51" customFormat="false" ht="15" hidden="false" customHeight="false" outlineLevel="0" collapsed="false">
      <c r="A51" s="27"/>
      <c r="B51" s="1"/>
      <c r="C51" s="28"/>
      <c r="D51" s="1"/>
    </row>
    <row r="52" customFormat="false" ht="15" hidden="false" customHeight="false" outlineLevel="0" collapsed="false">
      <c r="A52" s="27"/>
      <c r="B52" s="1"/>
      <c r="C52" s="28"/>
      <c r="D52" s="1"/>
    </row>
    <row r="53" customFormat="false" ht="15" hidden="false" customHeight="false" outlineLevel="0" collapsed="false">
      <c r="A53" s="27"/>
      <c r="B53" s="1"/>
      <c r="C53" s="28"/>
      <c r="D53" s="1"/>
    </row>
    <row r="54" customFormat="false" ht="15" hidden="false" customHeight="false" outlineLevel="0" collapsed="false">
      <c r="A54" s="27"/>
      <c r="B54" s="1"/>
      <c r="C54" s="28"/>
      <c r="D54" s="1"/>
    </row>
    <row r="55" customFormat="false" ht="15" hidden="false" customHeight="false" outlineLevel="0" collapsed="false">
      <c r="A55" s="27"/>
      <c r="B55" s="1"/>
      <c r="C55" s="28"/>
      <c r="D55" s="1"/>
    </row>
    <row r="56" customFormat="false" ht="15" hidden="false" customHeight="false" outlineLevel="0" collapsed="false">
      <c r="A56" s="27"/>
      <c r="B56" s="1"/>
      <c r="C56" s="28"/>
      <c r="D56" s="1"/>
    </row>
    <row r="57" customFormat="false" ht="15" hidden="false" customHeight="false" outlineLevel="0" collapsed="false">
      <c r="A57" s="27"/>
      <c r="B57" s="1"/>
      <c r="C57" s="28"/>
      <c r="D57" s="1"/>
    </row>
    <row r="58" customFormat="false" ht="15" hidden="false" customHeight="false" outlineLevel="0" collapsed="false">
      <c r="A58" s="27"/>
      <c r="B58" s="1"/>
      <c r="C58" s="28"/>
      <c r="D58" s="1"/>
    </row>
    <row r="59" customFormat="false" ht="15" hidden="false" customHeight="false" outlineLevel="0" collapsed="false">
      <c r="A59" s="27"/>
      <c r="B59" s="1"/>
      <c r="C59" s="28"/>
      <c r="D59" s="1"/>
    </row>
    <row r="60" customFormat="false" ht="15" hidden="false" customHeight="false" outlineLevel="0" collapsed="false">
      <c r="A60" s="27"/>
      <c r="B60" s="1"/>
      <c r="C60" s="28"/>
      <c r="D60" s="1"/>
    </row>
    <row r="61" customFormat="false" ht="15" hidden="false" customHeight="false" outlineLevel="0" collapsed="false">
      <c r="A61" s="27"/>
      <c r="B61" s="1"/>
      <c r="C61" s="28"/>
      <c r="D61" s="1"/>
    </row>
    <row r="62" customFormat="false" ht="15" hidden="false" customHeight="false" outlineLevel="0" collapsed="false">
      <c r="A62" s="27"/>
      <c r="B62" s="1"/>
      <c r="C62" s="28"/>
      <c r="D62" s="1"/>
    </row>
    <row r="63" customFormat="false" ht="15" hidden="false" customHeight="false" outlineLevel="0" collapsed="false">
      <c r="A63" s="27"/>
      <c r="B63" s="1"/>
      <c r="C63" s="28"/>
      <c r="D63" s="1"/>
    </row>
    <row r="64" customFormat="false" ht="15" hidden="false" customHeight="false" outlineLevel="0" collapsed="false">
      <c r="A64" s="27"/>
      <c r="B64" s="1"/>
      <c r="C64" s="28"/>
      <c r="D64" s="1"/>
    </row>
    <row r="65" customFormat="false" ht="15" hidden="false" customHeight="false" outlineLevel="0" collapsed="false">
      <c r="A65" s="27"/>
      <c r="B65" s="1"/>
      <c r="C65" s="28"/>
      <c r="D65" s="1"/>
    </row>
    <row r="66" customFormat="false" ht="15" hidden="false" customHeight="false" outlineLevel="0" collapsed="false">
      <c r="A66" s="27"/>
      <c r="B66" s="1"/>
      <c r="C66" s="28"/>
      <c r="D66" s="1"/>
    </row>
    <row r="67" customFormat="false" ht="15" hidden="false" customHeight="false" outlineLevel="0" collapsed="false">
      <c r="A67" s="27"/>
      <c r="B67" s="1"/>
      <c r="C67" s="28"/>
      <c r="D67" s="1"/>
    </row>
    <row r="68" customFormat="false" ht="15" hidden="false" customHeight="false" outlineLevel="0" collapsed="false">
      <c r="A68" s="27"/>
      <c r="B68" s="1"/>
      <c r="C68" s="28"/>
      <c r="D68" s="1"/>
    </row>
    <row r="69" customFormat="false" ht="15" hidden="false" customHeight="false" outlineLevel="0" collapsed="false">
      <c r="A69" s="27"/>
      <c r="B69" s="1"/>
      <c r="C69" s="28"/>
      <c r="D69" s="1"/>
    </row>
    <row r="70" customFormat="false" ht="15" hidden="false" customHeight="false" outlineLevel="0" collapsed="false">
      <c r="A70" s="27"/>
      <c r="B70" s="1"/>
      <c r="C70" s="28"/>
      <c r="D70" s="1"/>
    </row>
    <row r="71" customFormat="false" ht="15" hidden="false" customHeight="false" outlineLevel="0" collapsed="false">
      <c r="A71" s="27"/>
      <c r="B71" s="1"/>
      <c r="C71" s="28"/>
      <c r="D71" s="1"/>
    </row>
    <row r="72" customFormat="false" ht="15" hidden="false" customHeight="false" outlineLevel="0" collapsed="false">
      <c r="A72" s="27"/>
      <c r="B72" s="1"/>
      <c r="C72" s="28"/>
      <c r="D72" s="1"/>
    </row>
    <row r="73" customFormat="false" ht="15" hidden="false" customHeight="false" outlineLevel="0" collapsed="false">
      <c r="A73" s="27"/>
      <c r="B73" s="1"/>
      <c r="C73" s="28"/>
      <c r="D73" s="1"/>
    </row>
    <row r="74" customFormat="false" ht="15" hidden="false" customHeight="false" outlineLevel="0" collapsed="false">
      <c r="A74" s="27"/>
      <c r="B74" s="1"/>
      <c r="C74" s="28"/>
      <c r="D74" s="1"/>
    </row>
    <row r="75" customFormat="false" ht="15" hidden="false" customHeight="false" outlineLevel="0" collapsed="false">
      <c r="A75" s="27"/>
      <c r="B75" s="1"/>
      <c r="C75" s="28"/>
      <c r="D75" s="1"/>
    </row>
    <row r="76" customFormat="false" ht="15" hidden="false" customHeight="false" outlineLevel="0" collapsed="false">
      <c r="A76" s="27"/>
      <c r="B76" s="1"/>
      <c r="C76" s="28"/>
      <c r="D76" s="1"/>
    </row>
    <row r="77" customFormat="false" ht="15" hidden="false" customHeight="false" outlineLevel="0" collapsed="false">
      <c r="A77" s="27"/>
      <c r="B77" s="1"/>
      <c r="C77" s="28"/>
      <c r="D77" s="1"/>
    </row>
    <row r="78" customFormat="false" ht="15" hidden="false" customHeight="false" outlineLevel="0" collapsed="false">
      <c r="A78" s="27"/>
      <c r="B78" s="1"/>
      <c r="C78" s="28"/>
      <c r="D78" s="1"/>
    </row>
    <row r="79" customFormat="false" ht="15" hidden="false" customHeight="false" outlineLevel="0" collapsed="false">
      <c r="A79" s="27"/>
      <c r="B79" s="1"/>
      <c r="C79" s="28"/>
      <c r="D79" s="1"/>
    </row>
    <row r="80" customFormat="false" ht="15" hidden="false" customHeight="false" outlineLevel="0" collapsed="false">
      <c r="A80" s="27"/>
      <c r="B80" s="1"/>
      <c r="C80" s="28"/>
      <c r="D80" s="1"/>
    </row>
    <row r="81" customFormat="false" ht="15" hidden="false" customHeight="false" outlineLevel="0" collapsed="false">
      <c r="A81" s="27"/>
      <c r="B81" s="1"/>
      <c r="C81" s="28"/>
      <c r="D81" s="1"/>
    </row>
    <row r="82" customFormat="false" ht="15" hidden="false" customHeight="false" outlineLevel="0" collapsed="false">
      <c r="A82" s="27"/>
      <c r="B82" s="1"/>
      <c r="C82" s="28"/>
      <c r="D82" s="1"/>
    </row>
    <row r="83" customFormat="false" ht="15" hidden="false" customHeight="false" outlineLevel="0" collapsed="false">
      <c r="A83" s="27"/>
      <c r="B83" s="1"/>
      <c r="C83" s="28"/>
      <c r="D83" s="1"/>
    </row>
    <row r="84" customFormat="false" ht="15" hidden="false" customHeight="false" outlineLevel="0" collapsed="false">
      <c r="A84" s="27"/>
      <c r="B84" s="1"/>
      <c r="C84" s="28"/>
      <c r="D84" s="1"/>
    </row>
    <row r="85" customFormat="false" ht="15" hidden="false" customHeight="false" outlineLevel="0" collapsed="false">
      <c r="A85" s="27"/>
      <c r="B85" s="1"/>
      <c r="C85" s="28"/>
      <c r="D85" s="1"/>
    </row>
    <row r="86" customFormat="false" ht="15" hidden="false" customHeight="false" outlineLevel="0" collapsed="false">
      <c r="A86" s="27"/>
      <c r="B86" s="1"/>
      <c r="C86" s="28"/>
      <c r="D86" s="1"/>
    </row>
    <row r="87" customFormat="false" ht="15" hidden="false" customHeight="false" outlineLevel="0" collapsed="false">
      <c r="A87" s="27"/>
      <c r="B87" s="1"/>
      <c r="C87" s="28"/>
      <c r="D87" s="1"/>
    </row>
    <row r="88" customFormat="false" ht="15" hidden="false" customHeight="false" outlineLevel="0" collapsed="false">
      <c r="A88" s="27"/>
      <c r="B88" s="1"/>
      <c r="C88" s="28"/>
      <c r="D88" s="1"/>
    </row>
    <row r="89" customFormat="false" ht="15" hidden="false" customHeight="false" outlineLevel="0" collapsed="false">
      <c r="A89" s="27"/>
      <c r="B89" s="1"/>
      <c r="C89" s="28"/>
      <c r="D89" s="1"/>
    </row>
    <row r="90" customFormat="false" ht="15" hidden="false" customHeight="false" outlineLevel="0" collapsed="false">
      <c r="A90" s="27"/>
      <c r="B90" s="1"/>
      <c r="C90" s="28"/>
      <c r="D90" s="1"/>
    </row>
    <row r="91" customFormat="false" ht="15" hidden="false" customHeight="false" outlineLevel="0" collapsed="false">
      <c r="A91" s="27"/>
      <c r="B91" s="1"/>
      <c r="C91" s="28"/>
      <c r="D91" s="1"/>
    </row>
    <row r="92" customFormat="false" ht="15" hidden="false" customHeight="false" outlineLevel="0" collapsed="false">
      <c r="A92" s="27"/>
      <c r="B92" s="1"/>
      <c r="C92" s="28"/>
      <c r="D92" s="1"/>
    </row>
    <row r="93" customFormat="false" ht="15" hidden="false" customHeight="false" outlineLevel="0" collapsed="false">
      <c r="A93" s="27"/>
      <c r="B93" s="1"/>
      <c r="C93" s="28"/>
      <c r="D93" s="1"/>
    </row>
    <row r="94" customFormat="false" ht="15" hidden="false" customHeight="false" outlineLevel="0" collapsed="false">
      <c r="A94" s="27"/>
      <c r="B94" s="1"/>
      <c r="C94" s="28"/>
      <c r="D94" s="1"/>
    </row>
    <row r="95" customFormat="false" ht="15" hidden="false" customHeight="false" outlineLevel="0" collapsed="false">
      <c r="A95" s="27"/>
      <c r="B95" s="1"/>
      <c r="C95" s="28"/>
      <c r="D95" s="1"/>
    </row>
    <row r="96" customFormat="false" ht="15" hidden="false" customHeight="false" outlineLevel="0" collapsed="false">
      <c r="A96" s="27"/>
      <c r="B96" s="1"/>
      <c r="C96" s="28"/>
      <c r="D96" s="1"/>
    </row>
    <row r="97" customFormat="false" ht="15" hidden="false" customHeight="false" outlineLevel="0" collapsed="false">
      <c r="A97" s="27"/>
      <c r="B97" s="1"/>
      <c r="C97" s="28"/>
      <c r="D97" s="1"/>
    </row>
    <row r="98" customFormat="false" ht="15" hidden="false" customHeight="false" outlineLevel="0" collapsed="false">
      <c r="A98" s="27"/>
      <c r="B98" s="1"/>
      <c r="C98" s="28"/>
      <c r="D98" s="1"/>
    </row>
    <row r="99" customFormat="false" ht="15" hidden="false" customHeight="false" outlineLevel="0" collapsed="false">
      <c r="A99" s="27"/>
      <c r="B99" s="1"/>
      <c r="C99" s="28"/>
      <c r="D99" s="1"/>
    </row>
    <row r="100" customFormat="false" ht="15" hidden="false" customHeight="false" outlineLevel="0" collapsed="false">
      <c r="A100" s="27"/>
      <c r="B100" s="1"/>
      <c r="C100" s="28"/>
      <c r="D100" s="1"/>
    </row>
    <row r="101" customFormat="false" ht="15" hidden="false" customHeight="false" outlineLevel="0" collapsed="false">
      <c r="A101" s="27"/>
      <c r="B101" s="1"/>
      <c r="C101" s="28"/>
      <c r="D101" s="1"/>
    </row>
    <row r="102" customFormat="false" ht="15" hidden="false" customHeight="false" outlineLevel="0" collapsed="false">
      <c r="A102" s="27"/>
      <c r="B102" s="1"/>
      <c r="C102" s="28"/>
      <c r="D102" s="1"/>
    </row>
    <row r="103" customFormat="false" ht="15" hidden="false" customHeight="false" outlineLevel="0" collapsed="false">
      <c r="A103" s="27"/>
      <c r="B103" s="1"/>
      <c r="C103" s="28"/>
      <c r="D103" s="1"/>
    </row>
    <row r="104" customFormat="false" ht="15" hidden="false" customHeight="false" outlineLevel="0" collapsed="false">
      <c r="A104" s="27"/>
      <c r="B104" s="1"/>
      <c r="C104" s="28"/>
      <c r="D104" s="1"/>
    </row>
    <row r="105" customFormat="false" ht="15" hidden="false" customHeight="false" outlineLevel="0" collapsed="false">
      <c r="A105" s="27"/>
      <c r="B105" s="1"/>
      <c r="C105" s="28"/>
      <c r="D105" s="1"/>
    </row>
    <row r="106" customFormat="false" ht="15" hidden="false" customHeight="false" outlineLevel="0" collapsed="false">
      <c r="A106" s="27"/>
      <c r="B106" s="1"/>
      <c r="C106" s="28"/>
      <c r="D106" s="1"/>
    </row>
    <row r="107" customFormat="false" ht="15" hidden="false" customHeight="false" outlineLevel="0" collapsed="false">
      <c r="A107" s="27"/>
      <c r="B107" s="1"/>
      <c r="C107" s="28"/>
      <c r="D107" s="1"/>
    </row>
    <row r="108" customFormat="false" ht="15" hidden="false" customHeight="false" outlineLevel="0" collapsed="false">
      <c r="A108" s="27"/>
      <c r="B108" s="1"/>
      <c r="C108" s="28"/>
      <c r="D108" s="1"/>
    </row>
    <row r="109" customFormat="false" ht="15" hidden="false" customHeight="false" outlineLevel="0" collapsed="false">
      <c r="A109" s="27"/>
      <c r="B109" s="1"/>
      <c r="C109" s="28"/>
      <c r="D109" s="1"/>
    </row>
    <row r="110" customFormat="false" ht="15" hidden="false" customHeight="false" outlineLevel="0" collapsed="false">
      <c r="A110" s="27"/>
      <c r="B110" s="1"/>
      <c r="C110" s="28"/>
      <c r="D110" s="1"/>
    </row>
    <row r="111" customFormat="false" ht="15" hidden="false" customHeight="false" outlineLevel="0" collapsed="false">
      <c r="A111" s="27"/>
      <c r="B111" s="1"/>
      <c r="C111" s="28"/>
      <c r="D111" s="1"/>
    </row>
    <row r="112" customFormat="false" ht="15" hidden="false" customHeight="false" outlineLevel="0" collapsed="false">
      <c r="A112" s="27"/>
      <c r="B112" s="1"/>
      <c r="C112" s="28"/>
      <c r="D112" s="1"/>
    </row>
    <row r="113" customFormat="false" ht="15" hidden="false" customHeight="false" outlineLevel="0" collapsed="false">
      <c r="A113" s="27"/>
      <c r="B113" s="1"/>
      <c r="C113" s="28"/>
      <c r="D113" s="1"/>
    </row>
    <row r="114" customFormat="false" ht="15" hidden="false" customHeight="false" outlineLevel="0" collapsed="false">
      <c r="A114" s="27"/>
      <c r="B114" s="1"/>
      <c r="C114" s="28"/>
      <c r="D114" s="1"/>
    </row>
    <row r="115" customFormat="false" ht="15" hidden="false" customHeight="false" outlineLevel="0" collapsed="false">
      <c r="A115" s="27"/>
      <c r="B115" s="1"/>
      <c r="C115" s="28"/>
      <c r="D115" s="1"/>
    </row>
    <row r="116" customFormat="false" ht="15" hidden="false" customHeight="false" outlineLevel="0" collapsed="false">
      <c r="A116" s="27"/>
      <c r="B116" s="1"/>
      <c r="C116" s="28"/>
      <c r="D116" s="1"/>
    </row>
    <row r="117" customFormat="false" ht="15" hidden="false" customHeight="false" outlineLevel="0" collapsed="false">
      <c r="A117" s="27"/>
      <c r="B117" s="1"/>
      <c r="C117" s="28"/>
      <c r="D117" s="1"/>
    </row>
    <row r="118" customFormat="false" ht="15" hidden="false" customHeight="false" outlineLevel="0" collapsed="false">
      <c r="A118" s="27"/>
      <c r="B118" s="1"/>
      <c r="C118" s="28"/>
      <c r="D118" s="1"/>
    </row>
    <row r="119" customFormat="false" ht="15" hidden="false" customHeight="false" outlineLevel="0" collapsed="false">
      <c r="A119" s="27"/>
      <c r="B119" s="1"/>
      <c r="C119" s="28"/>
      <c r="D119" s="1"/>
    </row>
    <row r="120" customFormat="false" ht="15" hidden="false" customHeight="false" outlineLevel="0" collapsed="false">
      <c r="A120" s="27"/>
      <c r="B120" s="1"/>
      <c r="C120" s="28"/>
      <c r="D120" s="1"/>
    </row>
    <row r="121" customFormat="false" ht="15" hidden="false" customHeight="false" outlineLevel="0" collapsed="false">
      <c r="A121" s="27"/>
      <c r="B121" s="1"/>
      <c r="C121" s="28"/>
      <c r="D121" s="1"/>
    </row>
    <row r="122" customFormat="false" ht="15" hidden="false" customHeight="false" outlineLevel="0" collapsed="false">
      <c r="A122" s="27"/>
      <c r="B122" s="1"/>
      <c r="C122" s="28"/>
      <c r="D122" s="1"/>
    </row>
    <row r="123" customFormat="false" ht="15" hidden="false" customHeight="false" outlineLevel="0" collapsed="false">
      <c r="A123" s="27"/>
      <c r="B123" s="1"/>
      <c r="C123" s="28"/>
      <c r="D123" s="1"/>
    </row>
    <row r="124" customFormat="false" ht="15" hidden="false" customHeight="false" outlineLevel="0" collapsed="false">
      <c r="A124" s="27"/>
      <c r="B124" s="1"/>
      <c r="C124" s="28"/>
      <c r="D124" s="1"/>
    </row>
    <row r="125" customFormat="false" ht="15" hidden="false" customHeight="false" outlineLevel="0" collapsed="false">
      <c r="A125" s="27"/>
      <c r="B125" s="1"/>
      <c r="C125" s="28"/>
      <c r="D125" s="1"/>
    </row>
    <row r="126" customFormat="false" ht="15" hidden="false" customHeight="false" outlineLevel="0" collapsed="false">
      <c r="A126" s="27"/>
      <c r="B126" s="1"/>
      <c r="C126" s="28"/>
      <c r="D126" s="1"/>
    </row>
    <row r="127" customFormat="false" ht="15" hidden="false" customHeight="false" outlineLevel="0" collapsed="false">
      <c r="A127" s="27"/>
      <c r="B127" s="1"/>
      <c r="C127" s="28"/>
      <c r="D127" s="1"/>
    </row>
    <row r="128" customFormat="false" ht="15" hidden="false" customHeight="false" outlineLevel="0" collapsed="false">
      <c r="A128" s="27"/>
      <c r="B128" s="1"/>
      <c r="C128" s="28"/>
      <c r="D128" s="1"/>
    </row>
    <row r="129" customFormat="false" ht="15" hidden="false" customHeight="false" outlineLevel="0" collapsed="false">
      <c r="A129" s="27"/>
      <c r="B129" s="1"/>
      <c r="C129" s="28"/>
      <c r="D129" s="1"/>
    </row>
    <row r="130" customFormat="false" ht="15" hidden="false" customHeight="false" outlineLevel="0" collapsed="false">
      <c r="A130" s="27"/>
      <c r="B130" s="1"/>
      <c r="C130" s="28"/>
      <c r="D130" s="1"/>
    </row>
    <row r="131" customFormat="false" ht="15" hidden="false" customHeight="false" outlineLevel="0" collapsed="false">
      <c r="A131" s="27"/>
      <c r="B131" s="1"/>
      <c r="C131" s="28"/>
      <c r="D131" s="1"/>
    </row>
    <row r="132" customFormat="false" ht="15" hidden="false" customHeight="false" outlineLevel="0" collapsed="false">
      <c r="A132" s="27"/>
      <c r="B132" s="1"/>
      <c r="C132" s="28"/>
      <c r="D132" s="1"/>
    </row>
    <row r="133" customFormat="false" ht="15" hidden="false" customHeight="false" outlineLevel="0" collapsed="false">
      <c r="A133" s="27"/>
      <c r="B133" s="1"/>
      <c r="C133" s="28"/>
      <c r="D133" s="1"/>
    </row>
    <row r="134" customFormat="false" ht="15" hidden="false" customHeight="false" outlineLevel="0" collapsed="false">
      <c r="A134" s="27"/>
      <c r="B134" s="1"/>
      <c r="C134" s="28"/>
      <c r="D134" s="1"/>
    </row>
    <row r="135" customFormat="false" ht="15" hidden="false" customHeight="false" outlineLevel="0" collapsed="false">
      <c r="A135" s="27"/>
      <c r="B135" s="1"/>
      <c r="C135" s="28"/>
      <c r="D135" s="1"/>
    </row>
    <row r="136" customFormat="false" ht="15" hidden="false" customHeight="false" outlineLevel="0" collapsed="false">
      <c r="A136" s="27"/>
      <c r="B136" s="1"/>
      <c r="C136" s="28"/>
      <c r="D136" s="1"/>
    </row>
    <row r="137" customFormat="false" ht="15" hidden="false" customHeight="false" outlineLevel="0" collapsed="false">
      <c r="A137" s="27"/>
      <c r="B137" s="1"/>
      <c r="C137" s="28"/>
      <c r="D137" s="1"/>
    </row>
    <row r="138" customFormat="false" ht="15" hidden="false" customHeight="false" outlineLevel="0" collapsed="false">
      <c r="A138" s="27"/>
      <c r="B138" s="1"/>
      <c r="C138" s="28"/>
      <c r="D138" s="1"/>
    </row>
    <row r="139" customFormat="false" ht="15" hidden="false" customHeight="false" outlineLevel="0" collapsed="false">
      <c r="A139" s="27"/>
      <c r="B139" s="1"/>
      <c r="C139" s="28"/>
      <c r="D139" s="1"/>
    </row>
    <row r="140" customFormat="false" ht="15" hidden="false" customHeight="false" outlineLevel="0" collapsed="false">
      <c r="A140" s="27"/>
      <c r="B140" s="1"/>
      <c r="C140" s="28"/>
      <c r="D140" s="1"/>
    </row>
    <row r="141" customFormat="false" ht="15" hidden="false" customHeight="false" outlineLevel="0" collapsed="false">
      <c r="A141" s="27"/>
      <c r="B141" s="1"/>
      <c r="C141" s="28"/>
      <c r="D141" s="1"/>
    </row>
    <row r="142" customFormat="false" ht="15" hidden="false" customHeight="false" outlineLevel="0" collapsed="false">
      <c r="A142" s="27"/>
      <c r="B142" s="1"/>
      <c r="C142" s="28"/>
      <c r="D142" s="1"/>
    </row>
    <row r="143" customFormat="false" ht="15" hidden="false" customHeight="false" outlineLevel="0" collapsed="false">
      <c r="A143" s="27"/>
      <c r="B143" s="1"/>
      <c r="C143" s="28"/>
      <c r="D143" s="1"/>
    </row>
    <row r="144" customFormat="false" ht="15" hidden="false" customHeight="false" outlineLevel="0" collapsed="false">
      <c r="A144" s="27"/>
      <c r="B144" s="1"/>
      <c r="C144" s="28"/>
      <c r="D144" s="1"/>
    </row>
    <row r="145" customFormat="false" ht="15" hidden="false" customHeight="false" outlineLevel="0" collapsed="false">
      <c r="A145" s="27"/>
      <c r="B145" s="1"/>
      <c r="C145" s="28"/>
      <c r="D145" s="1"/>
    </row>
    <row r="146" customFormat="false" ht="15" hidden="false" customHeight="false" outlineLevel="0" collapsed="false">
      <c r="A146" s="27"/>
      <c r="B146" s="1"/>
      <c r="C146" s="28"/>
      <c r="D146" s="1"/>
    </row>
    <row r="147" customFormat="false" ht="15" hidden="false" customHeight="false" outlineLevel="0" collapsed="false">
      <c r="A147" s="27"/>
      <c r="B147" s="1"/>
      <c r="C147" s="28"/>
      <c r="D147" s="1"/>
    </row>
    <row r="148" customFormat="false" ht="15" hidden="false" customHeight="false" outlineLevel="0" collapsed="false">
      <c r="A148" s="27"/>
      <c r="B148" s="1"/>
      <c r="C148" s="28"/>
      <c r="D148" s="1"/>
    </row>
    <row r="149" customFormat="false" ht="15" hidden="false" customHeight="false" outlineLevel="0" collapsed="false">
      <c r="A149" s="27"/>
      <c r="B149" s="1"/>
      <c r="C149" s="28"/>
      <c r="D149" s="1"/>
    </row>
    <row r="150" customFormat="false" ht="15" hidden="false" customHeight="false" outlineLevel="0" collapsed="false">
      <c r="A150" s="27"/>
      <c r="B150" s="1"/>
      <c r="C150" s="28"/>
      <c r="D150" s="1"/>
    </row>
    <row r="151" customFormat="false" ht="15" hidden="false" customHeight="false" outlineLevel="0" collapsed="false">
      <c r="A151" s="27"/>
      <c r="B151" s="1"/>
      <c r="C151" s="28"/>
      <c r="D151" s="1"/>
    </row>
    <row r="152" customFormat="false" ht="15" hidden="false" customHeight="false" outlineLevel="0" collapsed="false">
      <c r="A152" s="27"/>
      <c r="B152" s="1"/>
      <c r="C152" s="28"/>
      <c r="D152" s="1"/>
    </row>
    <row r="153" customFormat="false" ht="15" hidden="false" customHeight="false" outlineLevel="0" collapsed="false">
      <c r="A153" s="27"/>
      <c r="B153" s="1"/>
      <c r="C153" s="28"/>
      <c r="D153" s="1"/>
    </row>
    <row r="154" customFormat="false" ht="15" hidden="false" customHeight="false" outlineLevel="0" collapsed="false">
      <c r="A154" s="27"/>
      <c r="B154" s="1"/>
      <c r="C154" s="28"/>
      <c r="D154" s="1"/>
    </row>
    <row r="155" customFormat="false" ht="15" hidden="false" customHeight="false" outlineLevel="0" collapsed="false">
      <c r="A155" s="27"/>
      <c r="B155" s="1"/>
      <c r="C155" s="28"/>
      <c r="D155" s="1"/>
    </row>
    <row r="156" customFormat="false" ht="15" hidden="false" customHeight="false" outlineLevel="0" collapsed="false">
      <c r="A156" s="27"/>
      <c r="B156" s="1"/>
      <c r="C156" s="28"/>
      <c r="D156" s="1"/>
    </row>
    <row r="157" customFormat="false" ht="15" hidden="false" customHeight="false" outlineLevel="0" collapsed="false">
      <c r="A157" s="27"/>
      <c r="B157" s="1"/>
      <c r="C157" s="28"/>
      <c r="D157" s="1"/>
    </row>
    <row r="158" customFormat="false" ht="15" hidden="false" customHeight="false" outlineLevel="0" collapsed="false">
      <c r="A158" s="27"/>
      <c r="B158" s="1"/>
      <c r="C158" s="28"/>
      <c r="D158" s="1"/>
    </row>
    <row r="159" customFormat="false" ht="15" hidden="false" customHeight="false" outlineLevel="0" collapsed="false">
      <c r="A159" s="27"/>
      <c r="B159" s="1"/>
      <c r="C159" s="28"/>
      <c r="D159" s="1"/>
    </row>
    <row r="160" customFormat="false" ht="15" hidden="false" customHeight="false" outlineLevel="0" collapsed="false">
      <c r="A160" s="27"/>
      <c r="B160" s="1"/>
      <c r="C160" s="28"/>
      <c r="D160" s="1"/>
    </row>
    <row r="161" customFormat="false" ht="15" hidden="false" customHeight="false" outlineLevel="0" collapsed="false">
      <c r="A161" s="27"/>
      <c r="B161" s="1"/>
      <c r="C161" s="28"/>
      <c r="D161" s="1"/>
    </row>
    <row r="162" customFormat="false" ht="15" hidden="false" customHeight="false" outlineLevel="0" collapsed="false">
      <c r="A162" s="27"/>
      <c r="B162" s="1"/>
      <c r="C162" s="28"/>
      <c r="D162" s="1"/>
    </row>
    <row r="163" customFormat="false" ht="15" hidden="false" customHeight="false" outlineLevel="0" collapsed="false">
      <c r="A163" s="27"/>
      <c r="B163" s="1"/>
      <c r="C163" s="28"/>
      <c r="D163" s="1"/>
    </row>
    <row r="164" customFormat="false" ht="15" hidden="false" customHeight="false" outlineLevel="0" collapsed="false">
      <c r="A164" s="27"/>
      <c r="B164" s="1"/>
      <c r="C164" s="28"/>
      <c r="D164" s="1"/>
    </row>
    <row r="165" customFormat="false" ht="15" hidden="false" customHeight="false" outlineLevel="0" collapsed="false">
      <c r="A165" s="27"/>
      <c r="B165" s="1"/>
      <c r="C165" s="28"/>
      <c r="D165" s="1"/>
    </row>
    <row r="166" customFormat="false" ht="15" hidden="false" customHeight="false" outlineLevel="0" collapsed="false">
      <c r="A166" s="27"/>
      <c r="B166" s="1"/>
      <c r="C166" s="28"/>
      <c r="D166" s="1"/>
    </row>
    <row r="167" customFormat="false" ht="15" hidden="false" customHeight="false" outlineLevel="0" collapsed="false">
      <c r="A167" s="27"/>
      <c r="B167" s="1"/>
      <c r="C167" s="28"/>
      <c r="D167" s="1"/>
    </row>
    <row r="168" customFormat="false" ht="15" hidden="false" customHeight="false" outlineLevel="0" collapsed="false">
      <c r="A168" s="27"/>
      <c r="B168" s="1"/>
      <c r="C168" s="28"/>
      <c r="D168" s="1"/>
    </row>
    <row r="169" customFormat="false" ht="15" hidden="false" customHeight="false" outlineLevel="0" collapsed="false">
      <c r="A169" s="27"/>
      <c r="B169" s="1"/>
      <c r="C169" s="28"/>
      <c r="D169" s="1"/>
    </row>
    <row r="170" customFormat="false" ht="15" hidden="false" customHeight="false" outlineLevel="0" collapsed="false">
      <c r="A170" s="27"/>
      <c r="B170" s="1"/>
      <c r="C170" s="28"/>
      <c r="D170" s="1"/>
    </row>
    <row r="171" customFormat="false" ht="15" hidden="false" customHeight="false" outlineLevel="0" collapsed="false">
      <c r="A171" s="27"/>
      <c r="B171" s="1"/>
      <c r="C171" s="28"/>
      <c r="D171" s="1"/>
    </row>
    <row r="172" customFormat="false" ht="15" hidden="false" customHeight="false" outlineLevel="0" collapsed="false">
      <c r="A172" s="27"/>
      <c r="B172" s="1"/>
      <c r="C172" s="28"/>
      <c r="D172" s="1"/>
    </row>
    <row r="173" customFormat="false" ht="15" hidden="false" customHeight="false" outlineLevel="0" collapsed="false">
      <c r="A173" s="27"/>
      <c r="B173" s="1"/>
      <c r="C173" s="28"/>
      <c r="D173" s="1"/>
    </row>
    <row r="174" customFormat="false" ht="15" hidden="false" customHeight="false" outlineLevel="0" collapsed="false">
      <c r="A174" s="27"/>
      <c r="B174" s="1"/>
      <c r="C174" s="28"/>
      <c r="D174" s="1"/>
    </row>
    <row r="175" customFormat="false" ht="15" hidden="false" customHeight="false" outlineLevel="0" collapsed="false">
      <c r="A175" s="27"/>
      <c r="B175" s="1"/>
      <c r="C175" s="28"/>
      <c r="D175" s="1"/>
    </row>
    <row r="176" customFormat="false" ht="15" hidden="false" customHeight="false" outlineLevel="0" collapsed="false">
      <c r="A176" s="27"/>
      <c r="B176" s="1"/>
      <c r="C176" s="28"/>
      <c r="D176" s="1"/>
    </row>
    <row r="177" customFormat="false" ht="15" hidden="false" customHeight="false" outlineLevel="0" collapsed="false">
      <c r="A177" s="27"/>
      <c r="B177" s="1"/>
      <c r="C177" s="28"/>
      <c r="D177" s="1"/>
    </row>
    <row r="178" customFormat="false" ht="15" hidden="false" customHeight="false" outlineLevel="0" collapsed="false">
      <c r="A178" s="27"/>
      <c r="B178" s="1"/>
      <c r="C178" s="28"/>
      <c r="D178" s="1"/>
    </row>
    <row r="179" customFormat="false" ht="15" hidden="false" customHeight="false" outlineLevel="0" collapsed="false">
      <c r="A179" s="27"/>
      <c r="B179" s="1"/>
      <c r="C179" s="28"/>
      <c r="D179" s="1"/>
    </row>
    <row r="180" customFormat="false" ht="15" hidden="false" customHeight="false" outlineLevel="0" collapsed="false">
      <c r="A180" s="27"/>
      <c r="B180" s="1"/>
      <c r="C180" s="28"/>
      <c r="D180" s="1"/>
    </row>
    <row r="181" customFormat="false" ht="15" hidden="false" customHeight="false" outlineLevel="0" collapsed="false">
      <c r="A181" s="27"/>
      <c r="B181" s="1"/>
      <c r="C181" s="28"/>
      <c r="D181" s="1"/>
    </row>
    <row r="182" customFormat="false" ht="15" hidden="false" customHeight="false" outlineLevel="0" collapsed="false">
      <c r="A182" s="27"/>
      <c r="B182" s="1"/>
      <c r="C182" s="28"/>
      <c r="D182" s="1"/>
    </row>
    <row r="183" customFormat="false" ht="15" hidden="false" customHeight="false" outlineLevel="0" collapsed="false">
      <c r="A183" s="27"/>
      <c r="B183" s="1"/>
      <c r="C183" s="28"/>
      <c r="D183" s="1"/>
    </row>
    <row r="184" customFormat="false" ht="15" hidden="false" customHeight="false" outlineLevel="0" collapsed="false">
      <c r="A184" s="27"/>
      <c r="B184" s="1"/>
      <c r="C184" s="28"/>
      <c r="D184" s="1"/>
    </row>
    <row r="185" customFormat="false" ht="15" hidden="false" customHeight="false" outlineLevel="0" collapsed="false">
      <c r="A185" s="27"/>
      <c r="B185" s="1"/>
      <c r="C185" s="28"/>
      <c r="D185" s="1"/>
    </row>
    <row r="186" customFormat="false" ht="15" hidden="false" customHeight="false" outlineLevel="0" collapsed="false">
      <c r="A186" s="27"/>
      <c r="B186" s="1"/>
      <c r="C186" s="28"/>
      <c r="D186" s="1"/>
    </row>
    <row r="187" customFormat="false" ht="15" hidden="false" customHeight="false" outlineLevel="0" collapsed="false">
      <c r="A187" s="27"/>
      <c r="B187" s="1"/>
      <c r="C187" s="28"/>
      <c r="D187" s="1"/>
    </row>
    <row r="188" customFormat="false" ht="15" hidden="false" customHeight="false" outlineLevel="0" collapsed="false">
      <c r="A188" s="27"/>
      <c r="B188" s="1"/>
      <c r="C188" s="28"/>
      <c r="D188" s="1"/>
    </row>
    <row r="189" customFormat="false" ht="15" hidden="false" customHeight="false" outlineLevel="0" collapsed="false">
      <c r="A189" s="27"/>
      <c r="B189" s="1"/>
      <c r="C189" s="28"/>
      <c r="D189" s="1"/>
    </row>
    <row r="190" customFormat="false" ht="15" hidden="false" customHeight="false" outlineLevel="0" collapsed="false">
      <c r="A190" s="27"/>
      <c r="B190" s="1"/>
      <c r="C190" s="28"/>
      <c r="D190" s="1"/>
    </row>
    <row r="191" customFormat="false" ht="15" hidden="false" customHeight="false" outlineLevel="0" collapsed="false">
      <c r="A191" s="27"/>
      <c r="B191" s="1"/>
      <c r="C191" s="28"/>
      <c r="D191" s="1"/>
    </row>
    <row r="192" customFormat="false" ht="15" hidden="false" customHeight="false" outlineLevel="0" collapsed="false">
      <c r="A192" s="27"/>
      <c r="B192" s="1"/>
      <c r="C192" s="28"/>
      <c r="D192" s="1"/>
    </row>
    <row r="193" customFormat="false" ht="15" hidden="false" customHeight="false" outlineLevel="0" collapsed="false">
      <c r="A193" s="27"/>
      <c r="B193" s="1"/>
      <c r="C193" s="28"/>
      <c r="D193" s="1"/>
    </row>
    <row r="194" customFormat="false" ht="15" hidden="false" customHeight="false" outlineLevel="0" collapsed="false">
      <c r="A194" s="27"/>
      <c r="B194" s="1"/>
      <c r="C194" s="28"/>
      <c r="D194" s="1"/>
    </row>
    <row r="195" customFormat="false" ht="15" hidden="false" customHeight="false" outlineLevel="0" collapsed="false">
      <c r="A195" s="27"/>
      <c r="B195" s="1"/>
      <c r="C195" s="28"/>
      <c r="D195" s="1"/>
    </row>
    <row r="196" customFormat="false" ht="15" hidden="false" customHeight="false" outlineLevel="0" collapsed="false">
      <c r="A196" s="27"/>
      <c r="B196" s="1"/>
      <c r="C196" s="28"/>
      <c r="D196" s="1"/>
    </row>
    <row r="197" customFormat="false" ht="15" hidden="false" customHeight="false" outlineLevel="0" collapsed="false">
      <c r="A197" s="27"/>
      <c r="B197" s="1"/>
      <c r="C197" s="28"/>
      <c r="D197" s="1"/>
    </row>
    <row r="198" customFormat="false" ht="15" hidden="false" customHeight="false" outlineLevel="0" collapsed="false">
      <c r="A198" s="27"/>
      <c r="B198" s="1"/>
      <c r="C198" s="28"/>
      <c r="D198" s="1"/>
    </row>
    <row r="199" customFormat="false" ht="15" hidden="false" customHeight="false" outlineLevel="0" collapsed="false">
      <c r="A199" s="27"/>
      <c r="B199" s="1"/>
      <c r="C199" s="28"/>
      <c r="D199" s="1"/>
    </row>
    <row r="200" customFormat="false" ht="15" hidden="false" customHeight="false" outlineLevel="0" collapsed="false">
      <c r="A200" s="27"/>
      <c r="B200" s="1"/>
      <c r="C200" s="28"/>
      <c r="D200" s="1"/>
    </row>
    <row r="201" customFormat="false" ht="15" hidden="false" customHeight="false" outlineLevel="0" collapsed="false">
      <c r="A201" s="27"/>
      <c r="B201" s="1"/>
      <c r="C201" s="28"/>
      <c r="D201" s="1"/>
    </row>
    <row r="202" customFormat="false" ht="15" hidden="false" customHeight="false" outlineLevel="0" collapsed="false">
      <c r="A202" s="27"/>
      <c r="B202" s="1"/>
      <c r="C202" s="28"/>
      <c r="D202" s="1"/>
    </row>
    <row r="203" customFormat="false" ht="15" hidden="false" customHeight="false" outlineLevel="0" collapsed="false">
      <c r="A203" s="27"/>
      <c r="B203" s="1"/>
      <c r="C203" s="28"/>
      <c r="D203" s="1"/>
    </row>
    <row r="204" customFormat="false" ht="15" hidden="false" customHeight="false" outlineLevel="0" collapsed="false">
      <c r="A204" s="27"/>
      <c r="B204" s="1"/>
      <c r="C204" s="28"/>
      <c r="D204" s="1"/>
    </row>
    <row r="205" customFormat="false" ht="15" hidden="false" customHeight="false" outlineLevel="0" collapsed="false">
      <c r="A205" s="27"/>
      <c r="B205" s="1"/>
      <c r="C205" s="28"/>
      <c r="D205" s="1"/>
    </row>
    <row r="206" customFormat="false" ht="15" hidden="false" customHeight="false" outlineLevel="0" collapsed="false">
      <c r="A206" s="27"/>
      <c r="B206" s="1"/>
      <c r="C206" s="28"/>
      <c r="D206" s="1"/>
    </row>
    <row r="207" customFormat="false" ht="15" hidden="false" customHeight="false" outlineLevel="0" collapsed="false">
      <c r="A207" s="27"/>
      <c r="B207" s="1"/>
      <c r="C207" s="28"/>
      <c r="D207" s="1"/>
    </row>
    <row r="208" customFormat="false" ht="15" hidden="false" customHeight="false" outlineLevel="0" collapsed="false">
      <c r="A208" s="27"/>
      <c r="B208" s="1"/>
      <c r="C208" s="28"/>
      <c r="D208" s="1"/>
    </row>
    <row r="209" customFormat="false" ht="15" hidden="false" customHeight="false" outlineLevel="0" collapsed="false">
      <c r="A209" s="27"/>
      <c r="B209" s="1"/>
      <c r="C209" s="28"/>
      <c r="D209" s="1"/>
    </row>
    <row r="210" customFormat="false" ht="15" hidden="false" customHeight="false" outlineLevel="0" collapsed="false">
      <c r="A210" s="27"/>
      <c r="B210" s="1"/>
      <c r="C210" s="28"/>
      <c r="D210" s="1"/>
    </row>
    <row r="211" customFormat="false" ht="15" hidden="false" customHeight="false" outlineLevel="0" collapsed="false">
      <c r="A211" s="27"/>
      <c r="B211" s="1"/>
      <c r="C211" s="28"/>
      <c r="D211" s="1"/>
    </row>
    <row r="212" customFormat="false" ht="15" hidden="false" customHeight="false" outlineLevel="0" collapsed="false">
      <c r="A212" s="27"/>
      <c r="B212" s="1"/>
      <c r="C212" s="28"/>
      <c r="D212" s="1"/>
    </row>
    <row r="213" customFormat="false" ht="15" hidden="false" customHeight="false" outlineLevel="0" collapsed="false">
      <c r="A213" s="27"/>
      <c r="B213" s="1"/>
      <c r="C213" s="28"/>
      <c r="D213" s="1"/>
    </row>
    <row r="214" customFormat="false" ht="15" hidden="false" customHeight="false" outlineLevel="0" collapsed="false">
      <c r="A214" s="27"/>
      <c r="B214" s="1"/>
      <c r="C214" s="28"/>
      <c r="D214" s="1"/>
    </row>
    <row r="215" customFormat="false" ht="15" hidden="false" customHeight="false" outlineLevel="0" collapsed="false">
      <c r="A215" s="27"/>
      <c r="B215" s="1"/>
      <c r="C215" s="28"/>
      <c r="D215" s="1"/>
    </row>
    <row r="216" customFormat="false" ht="15" hidden="false" customHeight="false" outlineLevel="0" collapsed="false">
      <c r="A216" s="27"/>
      <c r="B216" s="1"/>
      <c r="C216" s="28"/>
      <c r="D216" s="1"/>
    </row>
    <row r="217" customFormat="false" ht="15" hidden="false" customHeight="false" outlineLevel="0" collapsed="false">
      <c r="A217" s="27"/>
      <c r="B217" s="1"/>
      <c r="C217" s="28"/>
      <c r="D217" s="1"/>
    </row>
    <row r="218" customFormat="false" ht="15" hidden="false" customHeight="false" outlineLevel="0" collapsed="false">
      <c r="A218" s="27"/>
      <c r="B218" s="1"/>
      <c r="C218" s="28"/>
      <c r="D218" s="1"/>
    </row>
    <row r="219" customFormat="false" ht="15" hidden="false" customHeight="false" outlineLevel="0" collapsed="false">
      <c r="A219" s="27"/>
      <c r="B219" s="1"/>
      <c r="C219" s="28"/>
      <c r="D219" s="1"/>
    </row>
    <row r="220" customFormat="false" ht="15" hidden="false" customHeight="false" outlineLevel="0" collapsed="false">
      <c r="A220" s="27"/>
      <c r="B220" s="1"/>
      <c r="C220" s="28"/>
      <c r="D220" s="1"/>
    </row>
    <row r="221" customFormat="false" ht="15" hidden="false" customHeight="false" outlineLevel="0" collapsed="false">
      <c r="A221" s="27"/>
      <c r="B221" s="1"/>
      <c r="C221" s="28"/>
      <c r="D221" s="1"/>
    </row>
    <row r="222" customFormat="false" ht="15" hidden="false" customHeight="false" outlineLevel="0" collapsed="false">
      <c r="A222" s="27"/>
      <c r="B222" s="1"/>
      <c r="C222" s="28"/>
      <c r="D222" s="1"/>
    </row>
    <row r="223" customFormat="false" ht="15" hidden="false" customHeight="false" outlineLevel="0" collapsed="false">
      <c r="A223" s="27"/>
      <c r="B223" s="1"/>
      <c r="C223" s="28"/>
      <c r="D223" s="1"/>
    </row>
    <row r="224" customFormat="false" ht="15" hidden="false" customHeight="false" outlineLevel="0" collapsed="false">
      <c r="A224" s="27"/>
      <c r="B224" s="1"/>
      <c r="C224" s="28"/>
      <c r="D224" s="1"/>
    </row>
    <row r="225" customFormat="false" ht="15" hidden="false" customHeight="false" outlineLevel="0" collapsed="false">
      <c r="A225" s="27"/>
      <c r="B225" s="1"/>
      <c r="C225" s="28"/>
      <c r="D225" s="1"/>
    </row>
    <row r="226" customFormat="false" ht="15" hidden="false" customHeight="false" outlineLevel="0" collapsed="false">
      <c r="A226" s="27"/>
      <c r="B226" s="1"/>
      <c r="C226" s="28"/>
      <c r="D226" s="1"/>
    </row>
    <row r="227" customFormat="false" ht="15" hidden="false" customHeight="false" outlineLevel="0" collapsed="false">
      <c r="A227" s="27"/>
      <c r="B227" s="1"/>
      <c r="C227" s="28"/>
      <c r="D227" s="1"/>
    </row>
    <row r="228" customFormat="false" ht="15" hidden="false" customHeight="false" outlineLevel="0" collapsed="false">
      <c r="A228" s="27"/>
      <c r="B228" s="1"/>
      <c r="C228" s="28"/>
      <c r="D228" s="1"/>
    </row>
    <row r="229" customFormat="false" ht="15" hidden="false" customHeight="false" outlineLevel="0" collapsed="false">
      <c r="A229" s="27"/>
      <c r="B229" s="1"/>
      <c r="C229" s="28"/>
      <c r="D229" s="1"/>
    </row>
    <row r="230" customFormat="false" ht="15" hidden="false" customHeight="false" outlineLevel="0" collapsed="false">
      <c r="A230" s="27"/>
      <c r="B230" s="1"/>
      <c r="C230" s="28"/>
      <c r="D230" s="1"/>
    </row>
    <row r="231" customFormat="false" ht="15" hidden="false" customHeight="false" outlineLevel="0" collapsed="false">
      <c r="A231" s="27"/>
      <c r="B231" s="1"/>
      <c r="C231" s="28"/>
      <c r="D231" s="1"/>
    </row>
    <row r="232" customFormat="false" ht="15" hidden="false" customHeight="false" outlineLevel="0" collapsed="false">
      <c r="A232" s="27"/>
      <c r="B232" s="1"/>
      <c r="C232" s="28"/>
      <c r="D232" s="1"/>
    </row>
    <row r="233" customFormat="false" ht="15" hidden="false" customHeight="false" outlineLevel="0" collapsed="false">
      <c r="A233" s="27"/>
      <c r="B233" s="1"/>
      <c r="C233" s="28"/>
      <c r="D233" s="1"/>
    </row>
    <row r="234" customFormat="false" ht="15" hidden="false" customHeight="false" outlineLevel="0" collapsed="false">
      <c r="A234" s="27"/>
      <c r="B234" s="1"/>
      <c r="C234" s="28"/>
      <c r="D234" s="1"/>
    </row>
    <row r="235" customFormat="false" ht="15" hidden="false" customHeight="false" outlineLevel="0" collapsed="false">
      <c r="A235" s="27"/>
      <c r="B235" s="1"/>
      <c r="C235" s="28"/>
      <c r="D235" s="1"/>
    </row>
    <row r="236" customFormat="false" ht="15" hidden="false" customHeight="false" outlineLevel="0" collapsed="false">
      <c r="A236" s="27"/>
      <c r="B236" s="1"/>
      <c r="C236" s="28"/>
      <c r="D236" s="1"/>
    </row>
    <row r="237" customFormat="false" ht="15" hidden="false" customHeight="false" outlineLevel="0" collapsed="false">
      <c r="A237" s="27"/>
      <c r="B237" s="1"/>
      <c r="C237" s="28"/>
      <c r="D237" s="1"/>
    </row>
    <row r="238" customFormat="false" ht="15" hidden="false" customHeight="false" outlineLevel="0" collapsed="false">
      <c r="A238" s="27"/>
      <c r="B238" s="1"/>
      <c r="C238" s="28"/>
      <c r="D238" s="1"/>
    </row>
    <row r="239" customFormat="false" ht="15" hidden="false" customHeight="false" outlineLevel="0" collapsed="false">
      <c r="A239" s="27"/>
      <c r="B239" s="1"/>
      <c r="C239" s="28"/>
      <c r="D239" s="1"/>
    </row>
    <row r="240" customFormat="false" ht="15" hidden="false" customHeight="false" outlineLevel="0" collapsed="false">
      <c r="A240" s="27"/>
      <c r="B240" s="1"/>
      <c r="C240" s="28"/>
      <c r="D240" s="1"/>
    </row>
    <row r="241" customFormat="false" ht="15" hidden="false" customHeight="false" outlineLevel="0" collapsed="false">
      <c r="A241" s="27"/>
      <c r="B241" s="1"/>
      <c r="C241" s="28"/>
      <c r="D241" s="1"/>
    </row>
    <row r="242" customFormat="false" ht="15" hidden="false" customHeight="false" outlineLevel="0" collapsed="false">
      <c r="A242" s="27"/>
      <c r="B242" s="1"/>
      <c r="C242" s="28"/>
      <c r="D242" s="1"/>
    </row>
    <row r="243" customFormat="false" ht="15" hidden="false" customHeight="false" outlineLevel="0" collapsed="false">
      <c r="A243" s="27"/>
      <c r="B243" s="1"/>
      <c r="C243" s="28"/>
      <c r="D243" s="1"/>
    </row>
    <row r="244" customFormat="false" ht="15" hidden="false" customHeight="false" outlineLevel="0" collapsed="false">
      <c r="A244" s="27"/>
      <c r="B244" s="1"/>
      <c r="C244" s="28"/>
      <c r="D244" s="1"/>
    </row>
    <row r="245" customFormat="false" ht="15" hidden="false" customHeight="false" outlineLevel="0" collapsed="false">
      <c r="A245" s="27"/>
      <c r="B245" s="1"/>
      <c r="C245" s="28"/>
      <c r="D245" s="1"/>
    </row>
    <row r="246" customFormat="false" ht="15" hidden="false" customHeight="false" outlineLevel="0" collapsed="false">
      <c r="A246" s="27"/>
      <c r="B246" s="1"/>
      <c r="C246" s="28"/>
      <c r="D246" s="1"/>
    </row>
    <row r="247" customFormat="false" ht="15" hidden="false" customHeight="false" outlineLevel="0" collapsed="false">
      <c r="A247" s="27"/>
      <c r="B247" s="1"/>
      <c r="C247" s="28"/>
      <c r="D247" s="1"/>
    </row>
    <row r="248" customFormat="false" ht="15" hidden="false" customHeight="false" outlineLevel="0" collapsed="false">
      <c r="A248" s="27"/>
      <c r="B248" s="1"/>
      <c r="C248" s="28"/>
      <c r="D248" s="1"/>
    </row>
    <row r="249" customFormat="false" ht="15" hidden="false" customHeight="false" outlineLevel="0" collapsed="false">
      <c r="A249" s="27"/>
      <c r="B249" s="1"/>
      <c r="C249" s="28"/>
      <c r="D249" s="1"/>
    </row>
    <row r="250" customFormat="false" ht="15" hidden="false" customHeight="false" outlineLevel="0" collapsed="false">
      <c r="A250" s="27"/>
      <c r="B250" s="1"/>
      <c r="C250" s="28"/>
      <c r="D250" s="1"/>
    </row>
    <row r="251" customFormat="false" ht="15" hidden="false" customHeight="false" outlineLevel="0" collapsed="false">
      <c r="A251" s="27"/>
      <c r="B251" s="1"/>
      <c r="C251" s="28"/>
      <c r="D251" s="1"/>
    </row>
    <row r="252" customFormat="false" ht="15" hidden="false" customHeight="false" outlineLevel="0" collapsed="false">
      <c r="A252" s="27"/>
      <c r="B252" s="1"/>
      <c r="C252" s="28"/>
      <c r="D252" s="1"/>
    </row>
    <row r="253" customFormat="false" ht="15" hidden="false" customHeight="false" outlineLevel="0" collapsed="false">
      <c r="A253" s="27"/>
      <c r="B253" s="1"/>
      <c r="C253" s="28"/>
      <c r="D253" s="1"/>
    </row>
    <row r="254" customFormat="false" ht="15" hidden="false" customHeight="false" outlineLevel="0" collapsed="false">
      <c r="A254" s="27"/>
      <c r="B254" s="1"/>
      <c r="C254" s="28"/>
      <c r="D254" s="1"/>
    </row>
    <row r="255" customFormat="false" ht="15" hidden="false" customHeight="false" outlineLevel="0" collapsed="false">
      <c r="A255" s="27"/>
      <c r="B255" s="1"/>
      <c r="C255" s="28"/>
      <c r="D255" s="1"/>
    </row>
    <row r="256" customFormat="false" ht="15" hidden="false" customHeight="false" outlineLevel="0" collapsed="false">
      <c r="A256" s="27"/>
      <c r="B256" s="1"/>
      <c r="C256" s="28"/>
      <c r="D256" s="1"/>
    </row>
    <row r="257" customFormat="false" ht="15" hidden="false" customHeight="false" outlineLevel="0" collapsed="false">
      <c r="A257" s="27"/>
      <c r="B257" s="1"/>
      <c r="C257" s="28"/>
      <c r="D257" s="1"/>
    </row>
    <row r="258" customFormat="false" ht="15" hidden="false" customHeight="false" outlineLevel="0" collapsed="false">
      <c r="A258" s="27"/>
      <c r="B258" s="1"/>
      <c r="C258" s="28"/>
      <c r="D258" s="1"/>
    </row>
    <row r="259" customFormat="false" ht="15" hidden="false" customHeight="false" outlineLevel="0" collapsed="false">
      <c r="A259" s="27"/>
      <c r="B259" s="1"/>
      <c r="C259" s="28"/>
      <c r="D259" s="1"/>
    </row>
    <row r="260" customFormat="false" ht="15" hidden="false" customHeight="false" outlineLevel="0" collapsed="false">
      <c r="A260" s="27"/>
      <c r="B260" s="1"/>
      <c r="C260" s="28"/>
      <c r="D260" s="1"/>
    </row>
    <row r="261" customFormat="false" ht="15" hidden="false" customHeight="false" outlineLevel="0" collapsed="false">
      <c r="A261" s="27"/>
      <c r="B261" s="1"/>
      <c r="C261" s="28"/>
      <c r="D261" s="1"/>
    </row>
    <row r="262" customFormat="false" ht="15" hidden="false" customHeight="false" outlineLevel="0" collapsed="false">
      <c r="A262" s="27"/>
      <c r="B262" s="1"/>
      <c r="C262" s="28"/>
      <c r="D262" s="1"/>
    </row>
    <row r="263" customFormat="false" ht="15" hidden="false" customHeight="false" outlineLevel="0" collapsed="false">
      <c r="A263" s="27"/>
      <c r="B263" s="1"/>
      <c r="C263" s="28"/>
      <c r="D263" s="1"/>
    </row>
    <row r="264" customFormat="false" ht="15" hidden="false" customHeight="false" outlineLevel="0" collapsed="false">
      <c r="A264" s="27"/>
      <c r="B264" s="1"/>
      <c r="C264" s="28"/>
      <c r="D264" s="1"/>
    </row>
    <row r="265" customFormat="false" ht="15" hidden="false" customHeight="false" outlineLevel="0" collapsed="false">
      <c r="A265" s="27"/>
      <c r="B265" s="1"/>
      <c r="C265" s="28"/>
      <c r="D265" s="1"/>
    </row>
    <row r="266" customFormat="false" ht="15" hidden="false" customHeight="false" outlineLevel="0" collapsed="false">
      <c r="A266" s="27"/>
      <c r="B266" s="1"/>
      <c r="C266" s="28"/>
      <c r="D266" s="1"/>
    </row>
    <row r="267" customFormat="false" ht="15" hidden="false" customHeight="false" outlineLevel="0" collapsed="false">
      <c r="A267" s="27"/>
      <c r="B267" s="1"/>
      <c r="C267" s="28"/>
      <c r="D267" s="1"/>
    </row>
    <row r="268" customFormat="false" ht="15" hidden="false" customHeight="false" outlineLevel="0" collapsed="false">
      <c r="A268" s="27"/>
      <c r="B268" s="1"/>
      <c r="C268" s="28"/>
      <c r="D268" s="1"/>
    </row>
    <row r="269" customFormat="false" ht="15" hidden="false" customHeight="false" outlineLevel="0" collapsed="false">
      <c r="A269" s="27"/>
      <c r="B269" s="1"/>
      <c r="C269" s="28"/>
      <c r="D269" s="1"/>
    </row>
    <row r="270" customFormat="false" ht="15" hidden="false" customHeight="false" outlineLevel="0" collapsed="false">
      <c r="A270" s="27"/>
      <c r="B270" s="1"/>
      <c r="C270" s="28"/>
      <c r="D270" s="1"/>
    </row>
    <row r="271" customFormat="false" ht="15" hidden="false" customHeight="false" outlineLevel="0" collapsed="false">
      <c r="A271" s="27"/>
      <c r="B271" s="1"/>
      <c r="C271" s="28"/>
      <c r="D271" s="1"/>
    </row>
    <row r="272" customFormat="false" ht="15" hidden="false" customHeight="false" outlineLevel="0" collapsed="false">
      <c r="A272" s="27"/>
      <c r="B272" s="1"/>
      <c r="C272" s="28"/>
      <c r="D272" s="1"/>
    </row>
    <row r="273" customFormat="false" ht="15" hidden="false" customHeight="false" outlineLevel="0" collapsed="false">
      <c r="A273" s="27"/>
      <c r="B273" s="1"/>
      <c r="C273" s="28"/>
      <c r="D273" s="1"/>
    </row>
    <row r="274" customFormat="false" ht="15" hidden="false" customHeight="false" outlineLevel="0" collapsed="false">
      <c r="A274" s="27"/>
      <c r="B274" s="1"/>
      <c r="C274" s="28"/>
      <c r="D274" s="1"/>
    </row>
    <row r="275" customFormat="false" ht="15" hidden="false" customHeight="false" outlineLevel="0" collapsed="false">
      <c r="A275" s="27"/>
      <c r="B275" s="1"/>
      <c r="C275" s="28"/>
      <c r="D275" s="1"/>
    </row>
    <row r="276" customFormat="false" ht="15" hidden="false" customHeight="false" outlineLevel="0" collapsed="false">
      <c r="A276" s="27"/>
      <c r="B276" s="1"/>
      <c r="C276" s="28"/>
      <c r="D276" s="1"/>
    </row>
    <row r="277" customFormat="false" ht="15" hidden="false" customHeight="false" outlineLevel="0" collapsed="false">
      <c r="A277" s="27"/>
      <c r="B277" s="1"/>
      <c r="C277" s="28"/>
      <c r="D277" s="1"/>
    </row>
    <row r="278" customFormat="false" ht="15" hidden="false" customHeight="false" outlineLevel="0" collapsed="false">
      <c r="A278" s="27"/>
      <c r="B278" s="1"/>
      <c r="C278" s="28"/>
      <c r="D278" s="1"/>
    </row>
    <row r="279" customFormat="false" ht="15" hidden="false" customHeight="false" outlineLevel="0" collapsed="false">
      <c r="A279" s="27"/>
      <c r="B279" s="1"/>
      <c r="C279" s="28"/>
      <c r="D279" s="1"/>
    </row>
    <row r="280" customFormat="false" ht="15" hidden="false" customHeight="false" outlineLevel="0" collapsed="false">
      <c r="A280" s="27"/>
      <c r="B280" s="1"/>
      <c r="C280" s="28"/>
      <c r="D280" s="1"/>
    </row>
    <row r="281" customFormat="false" ht="15" hidden="false" customHeight="false" outlineLevel="0" collapsed="false">
      <c r="A281" s="27"/>
      <c r="B281" s="1"/>
      <c r="C281" s="28"/>
      <c r="D281" s="1"/>
    </row>
    <row r="282" customFormat="false" ht="15" hidden="false" customHeight="false" outlineLevel="0" collapsed="false">
      <c r="A282" s="27"/>
      <c r="B282" s="1"/>
      <c r="C282" s="28"/>
      <c r="D282" s="1"/>
    </row>
    <row r="283" customFormat="false" ht="15" hidden="false" customHeight="false" outlineLevel="0" collapsed="false">
      <c r="A283" s="27"/>
      <c r="B283" s="1"/>
      <c r="C283" s="28"/>
      <c r="D283" s="1"/>
    </row>
    <row r="284" customFormat="false" ht="15" hidden="false" customHeight="false" outlineLevel="0" collapsed="false">
      <c r="A284" s="27"/>
      <c r="B284" s="1"/>
      <c r="C284" s="28"/>
      <c r="D284" s="1"/>
    </row>
    <row r="285" customFormat="false" ht="15" hidden="false" customHeight="false" outlineLevel="0" collapsed="false">
      <c r="A285" s="27"/>
      <c r="B285" s="1"/>
      <c r="C285" s="28"/>
      <c r="D285" s="1"/>
    </row>
    <row r="286" customFormat="false" ht="15" hidden="false" customHeight="false" outlineLevel="0" collapsed="false">
      <c r="A286" s="27"/>
      <c r="B286" s="1"/>
      <c r="C286" s="28"/>
      <c r="D286" s="1"/>
    </row>
    <row r="287" customFormat="false" ht="15" hidden="false" customHeight="false" outlineLevel="0" collapsed="false">
      <c r="A287" s="27"/>
      <c r="B287" s="1"/>
      <c r="C287" s="28"/>
      <c r="D287" s="1"/>
    </row>
    <row r="288" customFormat="false" ht="15" hidden="false" customHeight="false" outlineLevel="0" collapsed="false">
      <c r="A288" s="27"/>
      <c r="B288" s="1"/>
      <c r="C288" s="28"/>
      <c r="D288" s="1"/>
    </row>
    <row r="289" customFormat="false" ht="15" hidden="false" customHeight="false" outlineLevel="0" collapsed="false">
      <c r="A289" s="27"/>
      <c r="B289" s="1"/>
      <c r="C289" s="28"/>
      <c r="D289" s="1"/>
    </row>
    <row r="290" customFormat="false" ht="15" hidden="false" customHeight="false" outlineLevel="0" collapsed="false">
      <c r="A290" s="27"/>
      <c r="B290" s="1"/>
      <c r="C290" s="28"/>
      <c r="D290" s="1"/>
    </row>
    <row r="291" customFormat="false" ht="15" hidden="false" customHeight="false" outlineLevel="0" collapsed="false">
      <c r="A291" s="27"/>
      <c r="B291" s="1"/>
      <c r="C291" s="28"/>
      <c r="D291" s="1"/>
    </row>
    <row r="292" customFormat="false" ht="15" hidden="false" customHeight="false" outlineLevel="0" collapsed="false">
      <c r="A292" s="27"/>
      <c r="B292" s="1"/>
      <c r="C292" s="28"/>
      <c r="D292" s="1"/>
    </row>
    <row r="293" customFormat="false" ht="15" hidden="false" customHeight="false" outlineLevel="0" collapsed="false">
      <c r="A293" s="27"/>
      <c r="B293" s="1"/>
      <c r="C293" s="28"/>
      <c r="D293" s="1"/>
    </row>
    <row r="294" customFormat="false" ht="15" hidden="false" customHeight="false" outlineLevel="0" collapsed="false">
      <c r="A294" s="27"/>
      <c r="B294" s="1"/>
      <c r="C294" s="28"/>
      <c r="D294" s="1"/>
    </row>
    <row r="295" customFormat="false" ht="15" hidden="false" customHeight="false" outlineLevel="0" collapsed="false">
      <c r="A295" s="27"/>
      <c r="B295" s="1"/>
      <c r="C295" s="28"/>
      <c r="D295" s="1"/>
    </row>
    <row r="296" customFormat="false" ht="15" hidden="false" customHeight="false" outlineLevel="0" collapsed="false">
      <c r="A296" s="27"/>
      <c r="B296" s="1"/>
      <c r="C296" s="28"/>
      <c r="D296" s="1"/>
    </row>
    <row r="297" customFormat="false" ht="15" hidden="false" customHeight="false" outlineLevel="0" collapsed="false">
      <c r="A297" s="27"/>
      <c r="B297" s="1"/>
      <c r="C297" s="28"/>
      <c r="D297" s="1"/>
    </row>
    <row r="298" customFormat="false" ht="15" hidden="false" customHeight="false" outlineLevel="0" collapsed="false">
      <c r="A298" s="27"/>
      <c r="B298" s="1"/>
      <c r="C298" s="28"/>
      <c r="D298" s="1"/>
    </row>
    <row r="299" customFormat="false" ht="15" hidden="false" customHeight="false" outlineLevel="0" collapsed="false">
      <c r="A299" s="27"/>
      <c r="B299" s="1"/>
      <c r="C299" s="28"/>
      <c r="D299" s="1"/>
    </row>
    <row r="300" customFormat="false" ht="15" hidden="false" customHeight="false" outlineLevel="0" collapsed="false">
      <c r="A300" s="27"/>
      <c r="B300" s="1"/>
      <c r="C300" s="28"/>
      <c r="D300" s="1"/>
    </row>
    <row r="301" customFormat="false" ht="15" hidden="false" customHeight="false" outlineLevel="0" collapsed="false">
      <c r="A301" s="27"/>
      <c r="B301" s="1"/>
      <c r="C301" s="28"/>
      <c r="D301" s="1"/>
    </row>
    <row r="302" customFormat="false" ht="15" hidden="false" customHeight="false" outlineLevel="0" collapsed="false">
      <c r="A302" s="27"/>
      <c r="B302" s="1"/>
      <c r="C302" s="28"/>
      <c r="D302" s="1"/>
    </row>
    <row r="303" customFormat="false" ht="15" hidden="false" customHeight="false" outlineLevel="0" collapsed="false">
      <c r="A303" s="27"/>
      <c r="B303" s="1"/>
      <c r="C303" s="28"/>
      <c r="D303" s="1"/>
    </row>
    <row r="304" customFormat="false" ht="15" hidden="false" customHeight="false" outlineLevel="0" collapsed="false">
      <c r="A304" s="27"/>
      <c r="B304" s="1"/>
      <c r="C304" s="28"/>
      <c r="D304" s="1"/>
    </row>
    <row r="305" customFormat="false" ht="15" hidden="false" customHeight="false" outlineLevel="0" collapsed="false">
      <c r="A305" s="27"/>
      <c r="B305" s="1"/>
      <c r="C305" s="28"/>
      <c r="D305" s="1"/>
    </row>
    <row r="306" customFormat="false" ht="15" hidden="false" customHeight="false" outlineLevel="0" collapsed="false">
      <c r="A306" s="27"/>
      <c r="B306" s="1"/>
      <c r="C306" s="28"/>
      <c r="D306" s="1"/>
    </row>
    <row r="307" customFormat="false" ht="15" hidden="false" customHeight="false" outlineLevel="0" collapsed="false">
      <c r="A307" s="27"/>
      <c r="B307" s="1"/>
      <c r="C307" s="28"/>
      <c r="D307" s="1"/>
    </row>
    <row r="308" customFormat="false" ht="15" hidden="false" customHeight="false" outlineLevel="0" collapsed="false">
      <c r="A308" s="27"/>
      <c r="B308" s="1"/>
      <c r="C308" s="28"/>
      <c r="D308" s="1"/>
    </row>
    <row r="309" customFormat="false" ht="15" hidden="false" customHeight="false" outlineLevel="0" collapsed="false">
      <c r="A309" s="27"/>
      <c r="B309" s="1"/>
      <c r="C309" s="28"/>
      <c r="D309" s="1"/>
    </row>
    <row r="310" customFormat="false" ht="15" hidden="false" customHeight="false" outlineLevel="0" collapsed="false">
      <c r="A310" s="27"/>
      <c r="B310" s="1"/>
      <c r="C310" s="28"/>
      <c r="D310" s="1"/>
    </row>
    <row r="311" customFormat="false" ht="15" hidden="false" customHeight="false" outlineLevel="0" collapsed="false">
      <c r="A311" s="27"/>
      <c r="B311" s="1"/>
      <c r="C311" s="28"/>
      <c r="D311" s="1"/>
    </row>
    <row r="312" customFormat="false" ht="15" hidden="false" customHeight="false" outlineLevel="0" collapsed="false">
      <c r="A312" s="27"/>
      <c r="B312" s="1"/>
      <c r="C312" s="28"/>
      <c r="D312" s="1"/>
    </row>
    <row r="313" customFormat="false" ht="15" hidden="false" customHeight="false" outlineLevel="0" collapsed="false">
      <c r="A313" s="27"/>
      <c r="B313" s="1"/>
      <c r="C313" s="28"/>
      <c r="D313" s="1"/>
    </row>
    <row r="314" customFormat="false" ht="15" hidden="false" customHeight="false" outlineLevel="0" collapsed="false">
      <c r="A314" s="27"/>
      <c r="B314" s="1"/>
      <c r="C314" s="28"/>
      <c r="D314" s="1"/>
    </row>
    <row r="315" customFormat="false" ht="15" hidden="false" customHeight="false" outlineLevel="0" collapsed="false">
      <c r="A315" s="27"/>
      <c r="B315" s="1"/>
      <c r="C315" s="28"/>
      <c r="D315" s="1"/>
    </row>
    <row r="316" customFormat="false" ht="15" hidden="false" customHeight="false" outlineLevel="0" collapsed="false">
      <c r="A316" s="27"/>
      <c r="B316" s="1"/>
      <c r="C316" s="28"/>
      <c r="D316" s="1"/>
    </row>
    <row r="317" customFormat="false" ht="15" hidden="false" customHeight="false" outlineLevel="0" collapsed="false">
      <c r="A317" s="27"/>
      <c r="B317" s="1"/>
      <c r="C317" s="28"/>
      <c r="D317" s="1"/>
    </row>
    <row r="318" customFormat="false" ht="15" hidden="false" customHeight="false" outlineLevel="0" collapsed="false">
      <c r="A318" s="27"/>
      <c r="B318" s="1"/>
      <c r="C318" s="28"/>
      <c r="D318" s="1"/>
    </row>
    <row r="319" customFormat="false" ht="15" hidden="false" customHeight="false" outlineLevel="0" collapsed="false">
      <c r="A319" s="27"/>
      <c r="B319" s="1"/>
      <c r="C319" s="28"/>
      <c r="D319" s="1"/>
    </row>
    <row r="320" customFormat="false" ht="15" hidden="false" customHeight="false" outlineLevel="0" collapsed="false">
      <c r="A320" s="27"/>
      <c r="B320" s="1"/>
      <c r="C320" s="28"/>
      <c r="D320" s="1"/>
    </row>
    <row r="321" customFormat="false" ht="15" hidden="false" customHeight="false" outlineLevel="0" collapsed="false">
      <c r="A321" s="27"/>
      <c r="B321" s="1"/>
      <c r="C321" s="28"/>
      <c r="D321" s="1"/>
    </row>
    <row r="322" customFormat="false" ht="15" hidden="false" customHeight="false" outlineLevel="0" collapsed="false">
      <c r="A322" s="27"/>
      <c r="B322" s="1"/>
      <c r="C322" s="28"/>
      <c r="D322" s="1"/>
    </row>
    <row r="323" customFormat="false" ht="15" hidden="false" customHeight="false" outlineLevel="0" collapsed="false">
      <c r="A323" s="27"/>
      <c r="B323" s="1"/>
      <c r="C323" s="28"/>
      <c r="D323" s="1"/>
    </row>
    <row r="324" customFormat="false" ht="15" hidden="false" customHeight="false" outlineLevel="0" collapsed="false">
      <c r="A324" s="27"/>
      <c r="B324" s="1"/>
      <c r="C324" s="28"/>
      <c r="D324" s="1"/>
    </row>
    <row r="325" customFormat="false" ht="15" hidden="false" customHeight="false" outlineLevel="0" collapsed="false">
      <c r="A325" s="27"/>
      <c r="B325" s="1"/>
      <c r="C325" s="28"/>
      <c r="D325" s="1"/>
    </row>
    <row r="326" customFormat="false" ht="15" hidden="false" customHeight="false" outlineLevel="0" collapsed="false">
      <c r="A326" s="27"/>
      <c r="B326" s="1"/>
      <c r="C326" s="28"/>
      <c r="D326" s="1"/>
    </row>
    <row r="327" customFormat="false" ht="15" hidden="false" customHeight="false" outlineLevel="0" collapsed="false">
      <c r="A327" s="27"/>
      <c r="B327" s="1"/>
      <c r="C327" s="28"/>
      <c r="D327" s="1"/>
    </row>
    <row r="328" customFormat="false" ht="15" hidden="false" customHeight="false" outlineLevel="0" collapsed="false">
      <c r="A328" s="27"/>
      <c r="B328" s="1"/>
      <c r="C328" s="28"/>
      <c r="D328" s="1"/>
    </row>
    <row r="329" customFormat="false" ht="15" hidden="false" customHeight="false" outlineLevel="0" collapsed="false">
      <c r="A329" s="27"/>
      <c r="B329" s="1"/>
      <c r="C329" s="28"/>
      <c r="D329" s="1"/>
    </row>
    <row r="330" customFormat="false" ht="15" hidden="false" customHeight="false" outlineLevel="0" collapsed="false">
      <c r="A330" s="27"/>
      <c r="B330" s="1"/>
      <c r="C330" s="28"/>
      <c r="D330" s="1"/>
    </row>
    <row r="331" customFormat="false" ht="15" hidden="false" customHeight="false" outlineLevel="0" collapsed="false">
      <c r="A331" s="27"/>
      <c r="B331" s="1"/>
      <c r="C331" s="28"/>
      <c r="D331" s="1"/>
    </row>
    <row r="332" customFormat="false" ht="15" hidden="false" customHeight="false" outlineLevel="0" collapsed="false">
      <c r="A332" s="27"/>
      <c r="B332" s="1"/>
      <c r="C332" s="28"/>
      <c r="D332" s="1"/>
    </row>
    <row r="333" customFormat="false" ht="15" hidden="false" customHeight="false" outlineLevel="0" collapsed="false">
      <c r="A333" s="27"/>
      <c r="B333" s="1"/>
      <c r="C333" s="28"/>
      <c r="D333" s="1"/>
    </row>
    <row r="334" customFormat="false" ht="15" hidden="false" customHeight="false" outlineLevel="0" collapsed="false">
      <c r="A334" s="27"/>
      <c r="B334" s="1"/>
      <c r="C334" s="28"/>
      <c r="D334" s="1"/>
    </row>
    <row r="335" customFormat="false" ht="15" hidden="false" customHeight="false" outlineLevel="0" collapsed="false">
      <c r="A335" s="27"/>
      <c r="B335" s="1"/>
      <c r="C335" s="28"/>
      <c r="D335" s="1"/>
    </row>
    <row r="336" customFormat="false" ht="15" hidden="false" customHeight="false" outlineLevel="0" collapsed="false">
      <c r="A336" s="27"/>
      <c r="B336" s="1"/>
      <c r="C336" s="28"/>
      <c r="D336" s="1"/>
    </row>
    <row r="337" customFormat="false" ht="15" hidden="false" customHeight="false" outlineLevel="0" collapsed="false">
      <c r="A337" s="27"/>
      <c r="B337" s="1"/>
      <c r="C337" s="28"/>
      <c r="D337" s="1"/>
    </row>
    <row r="338" customFormat="false" ht="15" hidden="false" customHeight="false" outlineLevel="0" collapsed="false">
      <c r="A338" s="27"/>
      <c r="B338" s="1"/>
      <c r="C338" s="28"/>
      <c r="D338" s="1"/>
    </row>
    <row r="339" customFormat="false" ht="15" hidden="false" customHeight="false" outlineLevel="0" collapsed="false">
      <c r="A339" s="27"/>
      <c r="B339" s="1"/>
      <c r="C339" s="28"/>
      <c r="D339" s="1"/>
    </row>
    <row r="340" customFormat="false" ht="15" hidden="false" customHeight="false" outlineLevel="0" collapsed="false">
      <c r="A340" s="27"/>
      <c r="B340" s="1"/>
      <c r="C340" s="28"/>
      <c r="D340" s="1"/>
    </row>
    <row r="341" customFormat="false" ht="15" hidden="false" customHeight="false" outlineLevel="0" collapsed="false">
      <c r="A341" s="27"/>
      <c r="B341" s="1"/>
      <c r="C341" s="28"/>
      <c r="D341" s="1"/>
    </row>
    <row r="342" customFormat="false" ht="15" hidden="false" customHeight="false" outlineLevel="0" collapsed="false">
      <c r="A342" s="27"/>
      <c r="B342" s="1"/>
      <c r="C342" s="28"/>
      <c r="D342" s="1"/>
    </row>
    <row r="343" customFormat="false" ht="15" hidden="false" customHeight="false" outlineLevel="0" collapsed="false">
      <c r="A343" s="27"/>
      <c r="B343" s="1"/>
      <c r="C343" s="28"/>
      <c r="D343" s="1"/>
    </row>
    <row r="344" customFormat="false" ht="15" hidden="false" customHeight="false" outlineLevel="0" collapsed="false">
      <c r="A344" s="27"/>
      <c r="B344" s="1"/>
      <c r="C344" s="28"/>
      <c r="D344" s="1"/>
    </row>
    <row r="345" customFormat="false" ht="15" hidden="false" customHeight="false" outlineLevel="0" collapsed="false">
      <c r="A345" s="27"/>
      <c r="B345" s="1"/>
      <c r="C345" s="28"/>
      <c r="D345" s="1"/>
    </row>
    <row r="346" customFormat="false" ht="15" hidden="false" customHeight="false" outlineLevel="0" collapsed="false">
      <c r="A346" s="27"/>
      <c r="B346" s="1"/>
      <c r="C346" s="28"/>
      <c r="D346" s="1"/>
    </row>
    <row r="347" customFormat="false" ht="15" hidden="false" customHeight="false" outlineLevel="0" collapsed="false">
      <c r="A347" s="27"/>
      <c r="B347" s="1"/>
      <c r="C347" s="28"/>
      <c r="D347" s="1"/>
    </row>
    <row r="348" customFormat="false" ht="15" hidden="false" customHeight="false" outlineLevel="0" collapsed="false">
      <c r="A348" s="27"/>
      <c r="B348" s="1"/>
      <c r="C348" s="28"/>
      <c r="D348" s="1"/>
    </row>
    <row r="349" customFormat="false" ht="15" hidden="false" customHeight="false" outlineLevel="0" collapsed="false">
      <c r="A349" s="27"/>
      <c r="B349" s="1"/>
      <c r="C349" s="28"/>
      <c r="D349" s="1"/>
    </row>
    <row r="350" customFormat="false" ht="15" hidden="false" customHeight="false" outlineLevel="0" collapsed="false">
      <c r="A350" s="27"/>
      <c r="B350" s="1"/>
      <c r="C350" s="28"/>
      <c r="D350" s="1"/>
    </row>
    <row r="351" customFormat="false" ht="15" hidden="false" customHeight="false" outlineLevel="0" collapsed="false">
      <c r="A351" s="27"/>
      <c r="B351" s="1"/>
      <c r="C351" s="28"/>
      <c r="D351" s="1"/>
    </row>
    <row r="352" customFormat="false" ht="15" hidden="false" customHeight="false" outlineLevel="0" collapsed="false">
      <c r="A352" s="27"/>
      <c r="B352" s="1"/>
      <c r="C352" s="28"/>
      <c r="D352" s="1"/>
    </row>
    <row r="353" customFormat="false" ht="15" hidden="false" customHeight="false" outlineLevel="0" collapsed="false">
      <c r="A353" s="27"/>
      <c r="B353" s="1"/>
      <c r="C353" s="28"/>
      <c r="D353" s="1"/>
    </row>
    <row r="354" customFormat="false" ht="15" hidden="false" customHeight="false" outlineLevel="0" collapsed="false">
      <c r="A354" s="27"/>
      <c r="B354" s="1"/>
      <c r="C354" s="28"/>
      <c r="D354" s="1"/>
    </row>
    <row r="355" customFormat="false" ht="15" hidden="false" customHeight="false" outlineLevel="0" collapsed="false">
      <c r="A355" s="27"/>
      <c r="B355" s="1"/>
      <c r="C355" s="28"/>
      <c r="D355" s="1"/>
    </row>
    <row r="356" customFormat="false" ht="15" hidden="false" customHeight="false" outlineLevel="0" collapsed="false">
      <c r="A356" s="27"/>
      <c r="B356" s="1"/>
      <c r="C356" s="28"/>
      <c r="D356" s="1"/>
    </row>
    <row r="357" customFormat="false" ht="15" hidden="false" customHeight="false" outlineLevel="0" collapsed="false">
      <c r="A357" s="27"/>
      <c r="B357" s="1"/>
      <c r="C357" s="28"/>
      <c r="D357" s="1"/>
    </row>
    <row r="358" customFormat="false" ht="15" hidden="false" customHeight="false" outlineLevel="0" collapsed="false">
      <c r="A358" s="27"/>
      <c r="B358" s="1"/>
      <c r="C358" s="28"/>
      <c r="D358" s="1"/>
    </row>
    <row r="359" customFormat="false" ht="15" hidden="false" customHeight="false" outlineLevel="0" collapsed="false">
      <c r="A359" s="27"/>
      <c r="B359" s="1"/>
      <c r="C359" s="28"/>
      <c r="D359" s="1"/>
    </row>
    <row r="360" customFormat="false" ht="15" hidden="false" customHeight="false" outlineLevel="0" collapsed="false">
      <c r="A360" s="27"/>
      <c r="B360" s="1"/>
      <c r="C360" s="28"/>
      <c r="D360" s="1"/>
    </row>
    <row r="361" customFormat="false" ht="15" hidden="false" customHeight="false" outlineLevel="0" collapsed="false">
      <c r="A361" s="27"/>
      <c r="B361" s="1"/>
      <c r="C361" s="28"/>
      <c r="D361" s="1"/>
    </row>
    <row r="362" customFormat="false" ht="15" hidden="false" customHeight="false" outlineLevel="0" collapsed="false">
      <c r="A362" s="27"/>
      <c r="B362" s="1"/>
      <c r="C362" s="28"/>
      <c r="D362" s="1"/>
    </row>
    <row r="363" customFormat="false" ht="15" hidden="false" customHeight="false" outlineLevel="0" collapsed="false">
      <c r="A363" s="27"/>
      <c r="B363" s="1"/>
      <c r="C363" s="28"/>
      <c r="D363" s="1"/>
    </row>
    <row r="364" customFormat="false" ht="15" hidden="false" customHeight="false" outlineLevel="0" collapsed="false">
      <c r="A364" s="27"/>
      <c r="B364" s="1"/>
      <c r="C364" s="28"/>
      <c r="D364" s="1"/>
    </row>
    <row r="365" customFormat="false" ht="15" hidden="false" customHeight="false" outlineLevel="0" collapsed="false">
      <c r="A365" s="27"/>
      <c r="B365" s="1"/>
      <c r="C365" s="28"/>
      <c r="D365" s="1"/>
    </row>
    <row r="366" customFormat="false" ht="15" hidden="false" customHeight="false" outlineLevel="0" collapsed="false">
      <c r="A366" s="27"/>
      <c r="B366" s="1"/>
      <c r="C366" s="28"/>
      <c r="D366" s="1"/>
    </row>
    <row r="367" customFormat="false" ht="15" hidden="false" customHeight="false" outlineLevel="0" collapsed="false">
      <c r="A367" s="27"/>
      <c r="B367" s="1"/>
      <c r="C367" s="28"/>
      <c r="D367" s="1"/>
    </row>
    <row r="368" customFormat="false" ht="15" hidden="false" customHeight="false" outlineLevel="0" collapsed="false">
      <c r="A368" s="27"/>
      <c r="B368" s="1"/>
      <c r="C368" s="28"/>
      <c r="D368" s="1"/>
    </row>
    <row r="369" customFormat="false" ht="15" hidden="false" customHeight="false" outlineLevel="0" collapsed="false">
      <c r="A369" s="27"/>
      <c r="B369" s="1"/>
      <c r="C369" s="28"/>
      <c r="D369" s="1"/>
    </row>
    <row r="370" customFormat="false" ht="15" hidden="false" customHeight="false" outlineLevel="0" collapsed="false">
      <c r="A370" s="27"/>
      <c r="B370" s="1"/>
      <c r="C370" s="28"/>
      <c r="D370" s="1"/>
    </row>
    <row r="371" customFormat="false" ht="15" hidden="false" customHeight="false" outlineLevel="0" collapsed="false">
      <c r="A371" s="27"/>
      <c r="B371" s="1"/>
      <c r="C371" s="28"/>
      <c r="D371" s="1"/>
    </row>
    <row r="372" customFormat="false" ht="15" hidden="false" customHeight="false" outlineLevel="0" collapsed="false">
      <c r="A372" s="27"/>
      <c r="B372" s="1"/>
      <c r="C372" s="28"/>
      <c r="D372" s="1"/>
    </row>
    <row r="373" customFormat="false" ht="15" hidden="false" customHeight="false" outlineLevel="0" collapsed="false">
      <c r="A373" s="27"/>
      <c r="B373" s="1"/>
      <c r="C373" s="28"/>
      <c r="D373" s="1"/>
    </row>
    <row r="374" customFormat="false" ht="15" hidden="false" customHeight="false" outlineLevel="0" collapsed="false">
      <c r="A374" s="27"/>
      <c r="B374" s="1"/>
      <c r="C374" s="28"/>
      <c r="D374" s="1"/>
    </row>
    <row r="375" customFormat="false" ht="15" hidden="false" customHeight="false" outlineLevel="0" collapsed="false">
      <c r="A375" s="27"/>
      <c r="B375" s="1"/>
      <c r="C375" s="28"/>
      <c r="D375" s="1"/>
    </row>
    <row r="376" customFormat="false" ht="15" hidden="false" customHeight="false" outlineLevel="0" collapsed="false">
      <c r="A376" s="27"/>
      <c r="B376" s="1"/>
      <c r="C376" s="28"/>
      <c r="D376" s="1"/>
    </row>
    <row r="377" customFormat="false" ht="15" hidden="false" customHeight="false" outlineLevel="0" collapsed="false">
      <c r="A377" s="27"/>
      <c r="B377" s="1"/>
      <c r="C377" s="28"/>
      <c r="D377" s="1"/>
    </row>
    <row r="378" customFormat="false" ht="15" hidden="false" customHeight="false" outlineLevel="0" collapsed="false">
      <c r="A378" s="27"/>
      <c r="B378" s="1"/>
      <c r="C378" s="28"/>
      <c r="D378" s="1"/>
    </row>
    <row r="379" customFormat="false" ht="15" hidden="false" customHeight="false" outlineLevel="0" collapsed="false">
      <c r="A379" s="27"/>
      <c r="B379" s="1"/>
      <c r="C379" s="28"/>
      <c r="D379" s="1"/>
    </row>
    <row r="380" customFormat="false" ht="15" hidden="false" customHeight="false" outlineLevel="0" collapsed="false">
      <c r="A380" s="27"/>
      <c r="B380" s="1"/>
      <c r="C380" s="28"/>
      <c r="D380" s="1"/>
    </row>
    <row r="381" customFormat="false" ht="15" hidden="false" customHeight="false" outlineLevel="0" collapsed="false">
      <c r="A381" s="27"/>
      <c r="B381" s="1"/>
      <c r="C381" s="28"/>
      <c r="D381" s="1"/>
    </row>
    <row r="382" customFormat="false" ht="15" hidden="false" customHeight="false" outlineLevel="0" collapsed="false">
      <c r="A382" s="27"/>
      <c r="B382" s="1"/>
      <c r="C382" s="28"/>
      <c r="D382" s="1"/>
    </row>
    <row r="383" customFormat="false" ht="15" hidden="false" customHeight="false" outlineLevel="0" collapsed="false">
      <c r="A383" s="27"/>
      <c r="B383" s="1"/>
      <c r="C383" s="28"/>
      <c r="D383" s="1"/>
    </row>
    <row r="384" customFormat="false" ht="15" hidden="false" customHeight="false" outlineLevel="0" collapsed="false">
      <c r="A384" s="27"/>
      <c r="B384" s="1"/>
      <c r="C384" s="28"/>
      <c r="D384" s="1"/>
    </row>
    <row r="385" customFormat="false" ht="15" hidden="false" customHeight="false" outlineLevel="0" collapsed="false">
      <c r="A385" s="27"/>
      <c r="B385" s="1"/>
      <c r="C385" s="28"/>
      <c r="D385" s="1"/>
    </row>
    <row r="386" customFormat="false" ht="15" hidden="false" customHeight="false" outlineLevel="0" collapsed="false">
      <c r="A386" s="27"/>
      <c r="B386" s="1"/>
      <c r="C386" s="28"/>
      <c r="D386" s="1"/>
    </row>
    <row r="387" customFormat="false" ht="15" hidden="false" customHeight="false" outlineLevel="0" collapsed="false">
      <c r="A387" s="27"/>
      <c r="B387" s="1"/>
      <c r="C387" s="28"/>
      <c r="D387" s="1"/>
    </row>
    <row r="388" customFormat="false" ht="15" hidden="false" customHeight="false" outlineLevel="0" collapsed="false">
      <c r="A388" s="27"/>
      <c r="B388" s="1"/>
      <c r="C388" s="28"/>
      <c r="D388" s="1"/>
    </row>
    <row r="389" customFormat="false" ht="15" hidden="false" customHeight="false" outlineLevel="0" collapsed="false">
      <c r="A389" s="27"/>
      <c r="B389" s="1"/>
      <c r="C389" s="28"/>
      <c r="D389" s="1"/>
    </row>
    <row r="390" customFormat="false" ht="15" hidden="false" customHeight="false" outlineLevel="0" collapsed="false">
      <c r="A390" s="27"/>
      <c r="B390" s="1"/>
      <c r="C390" s="28"/>
      <c r="D390" s="1"/>
    </row>
    <row r="391" customFormat="false" ht="15" hidden="false" customHeight="false" outlineLevel="0" collapsed="false">
      <c r="A391" s="27"/>
      <c r="B391" s="1"/>
      <c r="C391" s="28"/>
      <c r="D391" s="1"/>
    </row>
    <row r="392" customFormat="false" ht="15" hidden="false" customHeight="false" outlineLevel="0" collapsed="false">
      <c r="A392" s="27"/>
      <c r="B392" s="1"/>
      <c r="C392" s="28"/>
      <c r="D392" s="1"/>
    </row>
    <row r="393" customFormat="false" ht="15" hidden="false" customHeight="false" outlineLevel="0" collapsed="false">
      <c r="A393" s="27"/>
      <c r="B393" s="1"/>
      <c r="C393" s="28"/>
      <c r="D393" s="1"/>
    </row>
    <row r="394" customFormat="false" ht="15" hidden="false" customHeight="false" outlineLevel="0" collapsed="false">
      <c r="A394" s="27"/>
      <c r="B394" s="1"/>
      <c r="C394" s="28"/>
      <c r="D394" s="1"/>
    </row>
    <row r="395" customFormat="false" ht="15" hidden="false" customHeight="false" outlineLevel="0" collapsed="false">
      <c r="A395" s="27"/>
      <c r="B395" s="1"/>
      <c r="C395" s="28"/>
      <c r="D395" s="1"/>
    </row>
    <row r="396" customFormat="false" ht="15" hidden="false" customHeight="false" outlineLevel="0" collapsed="false">
      <c r="A396" s="27"/>
      <c r="B396" s="1"/>
      <c r="C396" s="28"/>
      <c r="D396" s="1"/>
    </row>
    <row r="397" customFormat="false" ht="15" hidden="false" customHeight="false" outlineLevel="0" collapsed="false">
      <c r="A397" s="27"/>
      <c r="B397" s="1"/>
      <c r="C397" s="28"/>
      <c r="D397" s="1"/>
    </row>
    <row r="398" customFormat="false" ht="15" hidden="false" customHeight="false" outlineLevel="0" collapsed="false">
      <c r="A398" s="27"/>
      <c r="B398" s="1"/>
      <c r="C398" s="28"/>
      <c r="D398" s="1"/>
    </row>
    <row r="399" customFormat="false" ht="15" hidden="false" customHeight="false" outlineLevel="0" collapsed="false">
      <c r="A399" s="27"/>
      <c r="B399" s="1"/>
      <c r="C399" s="28"/>
      <c r="D399" s="1"/>
    </row>
    <row r="400" customFormat="false" ht="15" hidden="false" customHeight="false" outlineLevel="0" collapsed="false">
      <c r="A400" s="27"/>
      <c r="B400" s="1"/>
      <c r="C400" s="28"/>
      <c r="D400" s="1"/>
    </row>
    <row r="401" customFormat="false" ht="15" hidden="false" customHeight="false" outlineLevel="0" collapsed="false">
      <c r="A401" s="27"/>
      <c r="B401" s="1"/>
      <c r="C401" s="28"/>
      <c r="D401" s="1"/>
    </row>
    <row r="402" customFormat="false" ht="15" hidden="false" customHeight="false" outlineLevel="0" collapsed="false">
      <c r="A402" s="27"/>
      <c r="B402" s="1"/>
      <c r="C402" s="28"/>
      <c r="D402" s="1"/>
    </row>
    <row r="403" customFormat="false" ht="15" hidden="false" customHeight="false" outlineLevel="0" collapsed="false">
      <c r="A403" s="27"/>
      <c r="B403" s="1"/>
      <c r="C403" s="28"/>
      <c r="D403" s="1"/>
    </row>
    <row r="404" customFormat="false" ht="15" hidden="false" customHeight="false" outlineLevel="0" collapsed="false">
      <c r="A404" s="27"/>
      <c r="B404" s="1"/>
      <c r="C404" s="28"/>
      <c r="D404" s="1"/>
    </row>
    <row r="405" customFormat="false" ht="15" hidden="false" customHeight="false" outlineLevel="0" collapsed="false">
      <c r="A405" s="27"/>
      <c r="B405" s="1"/>
      <c r="C405" s="28"/>
      <c r="D405" s="1"/>
    </row>
    <row r="406" customFormat="false" ht="15" hidden="false" customHeight="false" outlineLevel="0" collapsed="false">
      <c r="A406" s="27"/>
      <c r="B406" s="1"/>
      <c r="C406" s="28"/>
      <c r="D406" s="1"/>
    </row>
    <row r="407" customFormat="false" ht="15" hidden="false" customHeight="false" outlineLevel="0" collapsed="false">
      <c r="A407" s="27"/>
      <c r="B407" s="1"/>
      <c r="C407" s="28"/>
      <c r="D407" s="1"/>
    </row>
    <row r="408" customFormat="false" ht="15" hidden="false" customHeight="false" outlineLevel="0" collapsed="false">
      <c r="A408" s="27"/>
      <c r="B408" s="1"/>
      <c r="C408" s="28"/>
      <c r="D408" s="1"/>
    </row>
    <row r="409" customFormat="false" ht="15" hidden="false" customHeight="false" outlineLevel="0" collapsed="false">
      <c r="A409" s="27"/>
      <c r="B409" s="1"/>
      <c r="C409" s="28"/>
      <c r="D409" s="1"/>
    </row>
    <row r="410" customFormat="false" ht="15" hidden="false" customHeight="false" outlineLevel="0" collapsed="false">
      <c r="A410" s="27"/>
      <c r="B410" s="1"/>
      <c r="C410" s="28"/>
      <c r="D410" s="1"/>
    </row>
    <row r="411" customFormat="false" ht="15" hidden="false" customHeight="false" outlineLevel="0" collapsed="false">
      <c r="A411" s="27"/>
      <c r="B411" s="1"/>
      <c r="C411" s="28"/>
      <c r="D411" s="1"/>
    </row>
    <row r="412" customFormat="false" ht="15" hidden="false" customHeight="false" outlineLevel="0" collapsed="false">
      <c r="A412" s="27"/>
      <c r="B412" s="1"/>
      <c r="C412" s="28"/>
      <c r="D412" s="1"/>
    </row>
    <row r="413" customFormat="false" ht="15" hidden="false" customHeight="false" outlineLevel="0" collapsed="false">
      <c r="A413" s="27"/>
      <c r="B413" s="1"/>
      <c r="C413" s="28"/>
      <c r="D413" s="1"/>
    </row>
    <row r="414" customFormat="false" ht="15" hidden="false" customHeight="false" outlineLevel="0" collapsed="false">
      <c r="A414" s="27"/>
      <c r="B414" s="1"/>
      <c r="C414" s="28"/>
      <c r="D414" s="1"/>
    </row>
    <row r="415" customFormat="false" ht="15" hidden="false" customHeight="false" outlineLevel="0" collapsed="false">
      <c r="A415" s="27"/>
      <c r="B415" s="1"/>
      <c r="C415" s="28"/>
      <c r="D415" s="1"/>
    </row>
    <row r="416" customFormat="false" ht="15" hidden="false" customHeight="false" outlineLevel="0" collapsed="false">
      <c r="A416" s="27"/>
      <c r="B416" s="1"/>
      <c r="C416" s="28"/>
      <c r="D416" s="1"/>
    </row>
    <row r="417" customFormat="false" ht="15" hidden="false" customHeight="false" outlineLevel="0" collapsed="false">
      <c r="A417" s="27"/>
      <c r="B417" s="1"/>
      <c r="C417" s="28"/>
      <c r="D417" s="1"/>
    </row>
    <row r="418" customFormat="false" ht="15" hidden="false" customHeight="false" outlineLevel="0" collapsed="false">
      <c r="A418" s="27"/>
      <c r="B418" s="1"/>
      <c r="C418" s="28"/>
      <c r="D418" s="1"/>
    </row>
    <row r="419" customFormat="false" ht="15" hidden="false" customHeight="false" outlineLevel="0" collapsed="false">
      <c r="A419" s="27"/>
      <c r="B419" s="1"/>
      <c r="C419" s="28"/>
      <c r="D419" s="1"/>
    </row>
    <row r="420" customFormat="false" ht="15" hidden="false" customHeight="false" outlineLevel="0" collapsed="false">
      <c r="A420" s="27"/>
      <c r="B420" s="1"/>
      <c r="C420" s="28"/>
      <c r="D420" s="1"/>
    </row>
    <row r="421" customFormat="false" ht="15" hidden="false" customHeight="false" outlineLevel="0" collapsed="false">
      <c r="A421" s="27"/>
      <c r="B421" s="1"/>
      <c r="C421" s="28"/>
      <c r="D421" s="1"/>
    </row>
    <row r="422" customFormat="false" ht="15" hidden="false" customHeight="false" outlineLevel="0" collapsed="false">
      <c r="A422" s="27"/>
      <c r="B422" s="1"/>
      <c r="C422" s="28"/>
      <c r="D422" s="1"/>
    </row>
    <row r="423" customFormat="false" ht="15" hidden="false" customHeight="false" outlineLevel="0" collapsed="false">
      <c r="A423" s="27"/>
      <c r="B423" s="1"/>
      <c r="C423" s="28"/>
      <c r="D423" s="1"/>
    </row>
    <row r="424" customFormat="false" ht="15" hidden="false" customHeight="false" outlineLevel="0" collapsed="false">
      <c r="A424" s="27"/>
      <c r="B424" s="1"/>
      <c r="C424" s="28"/>
      <c r="D424" s="1"/>
    </row>
    <row r="425" customFormat="false" ht="15" hidden="false" customHeight="false" outlineLevel="0" collapsed="false">
      <c r="A425" s="27"/>
      <c r="B425" s="1"/>
      <c r="C425" s="28"/>
      <c r="D425" s="1"/>
    </row>
    <row r="426" customFormat="false" ht="15" hidden="false" customHeight="false" outlineLevel="0" collapsed="false">
      <c r="A426" s="27"/>
      <c r="B426" s="1"/>
      <c r="C426" s="28"/>
      <c r="D426" s="1"/>
    </row>
    <row r="427" customFormat="false" ht="15" hidden="false" customHeight="false" outlineLevel="0" collapsed="false">
      <c r="A427" s="27"/>
      <c r="B427" s="1"/>
      <c r="C427" s="28"/>
      <c r="D427" s="1"/>
    </row>
    <row r="428" customFormat="false" ht="15" hidden="false" customHeight="false" outlineLevel="0" collapsed="false">
      <c r="A428" s="27"/>
      <c r="B428" s="1"/>
      <c r="C428" s="28"/>
      <c r="D428" s="1"/>
    </row>
    <row r="429" customFormat="false" ht="15" hidden="false" customHeight="false" outlineLevel="0" collapsed="false">
      <c r="A429" s="27"/>
      <c r="B429" s="1"/>
      <c r="C429" s="28"/>
      <c r="D429" s="1"/>
    </row>
    <row r="430" customFormat="false" ht="15" hidden="false" customHeight="false" outlineLevel="0" collapsed="false">
      <c r="A430" s="27"/>
      <c r="B430" s="1"/>
      <c r="C430" s="28"/>
      <c r="D430" s="1"/>
    </row>
    <row r="431" customFormat="false" ht="15" hidden="false" customHeight="false" outlineLevel="0" collapsed="false">
      <c r="A431" s="27"/>
      <c r="B431" s="1"/>
      <c r="C431" s="28"/>
      <c r="D431" s="1"/>
    </row>
    <row r="432" customFormat="false" ht="15" hidden="false" customHeight="false" outlineLevel="0" collapsed="false">
      <c r="A432" s="27"/>
      <c r="B432" s="1"/>
      <c r="C432" s="28"/>
      <c r="D432" s="1"/>
    </row>
    <row r="433" customFormat="false" ht="15" hidden="false" customHeight="false" outlineLevel="0" collapsed="false">
      <c r="A433" s="27"/>
      <c r="B433" s="1"/>
      <c r="C433" s="28"/>
      <c r="D433" s="1"/>
    </row>
    <row r="434" customFormat="false" ht="15" hidden="false" customHeight="false" outlineLevel="0" collapsed="false">
      <c r="A434" s="27"/>
      <c r="B434" s="1"/>
      <c r="C434" s="28"/>
      <c r="D434" s="1"/>
    </row>
    <row r="435" customFormat="false" ht="15" hidden="false" customHeight="false" outlineLevel="0" collapsed="false">
      <c r="A435" s="27"/>
      <c r="B435" s="1"/>
      <c r="C435" s="28"/>
      <c r="D435" s="1"/>
    </row>
    <row r="436" customFormat="false" ht="15" hidden="false" customHeight="false" outlineLevel="0" collapsed="false">
      <c r="A436" s="27"/>
      <c r="B436" s="1"/>
      <c r="C436" s="28"/>
      <c r="D436" s="1"/>
    </row>
    <row r="437" customFormat="false" ht="15" hidden="false" customHeight="false" outlineLevel="0" collapsed="false">
      <c r="A437" s="27"/>
      <c r="B437" s="1"/>
      <c r="C437" s="28"/>
      <c r="D437" s="1"/>
    </row>
    <row r="438" customFormat="false" ht="15" hidden="false" customHeight="false" outlineLevel="0" collapsed="false">
      <c r="A438" s="27"/>
      <c r="B438" s="1"/>
      <c r="C438" s="28"/>
      <c r="D438" s="1"/>
    </row>
    <row r="439" customFormat="false" ht="15" hidden="false" customHeight="false" outlineLevel="0" collapsed="false">
      <c r="A439" s="27"/>
      <c r="B439" s="1"/>
      <c r="C439" s="28"/>
      <c r="D439" s="1"/>
    </row>
    <row r="440" customFormat="false" ht="15" hidden="false" customHeight="false" outlineLevel="0" collapsed="false">
      <c r="A440" s="27"/>
      <c r="B440" s="1"/>
      <c r="C440" s="28"/>
      <c r="D440" s="1"/>
    </row>
    <row r="441" customFormat="false" ht="15" hidden="false" customHeight="false" outlineLevel="0" collapsed="false">
      <c r="A441" s="27"/>
      <c r="B441" s="1"/>
      <c r="C441" s="28"/>
      <c r="D441" s="1"/>
    </row>
    <row r="442" customFormat="false" ht="15" hidden="false" customHeight="false" outlineLevel="0" collapsed="false">
      <c r="A442" s="27"/>
      <c r="B442" s="1"/>
      <c r="C442" s="28"/>
      <c r="D442" s="1"/>
    </row>
    <row r="443" customFormat="false" ht="15" hidden="false" customHeight="false" outlineLevel="0" collapsed="false">
      <c r="A443" s="27"/>
      <c r="B443" s="1"/>
      <c r="C443" s="28"/>
      <c r="D443" s="1"/>
    </row>
    <row r="444" customFormat="false" ht="15" hidden="false" customHeight="false" outlineLevel="0" collapsed="false">
      <c r="A444" s="27"/>
      <c r="B444" s="1"/>
      <c r="C444" s="28"/>
      <c r="D444" s="1"/>
    </row>
    <row r="445" customFormat="false" ht="15" hidden="false" customHeight="false" outlineLevel="0" collapsed="false">
      <c r="A445" s="27"/>
      <c r="B445" s="1"/>
      <c r="C445" s="28"/>
      <c r="D445" s="1"/>
    </row>
    <row r="446" customFormat="false" ht="15" hidden="false" customHeight="false" outlineLevel="0" collapsed="false">
      <c r="A446" s="27"/>
      <c r="B446" s="1"/>
      <c r="C446" s="28"/>
      <c r="D446" s="1"/>
    </row>
    <row r="447" customFormat="false" ht="15" hidden="false" customHeight="false" outlineLevel="0" collapsed="false">
      <c r="A447" s="27"/>
      <c r="B447" s="1"/>
      <c r="C447" s="28"/>
      <c r="D447" s="1"/>
    </row>
    <row r="448" customFormat="false" ht="15" hidden="false" customHeight="false" outlineLevel="0" collapsed="false">
      <c r="A448" s="27"/>
      <c r="B448" s="1"/>
      <c r="C448" s="28"/>
      <c r="D448" s="1"/>
    </row>
    <row r="449" customFormat="false" ht="15" hidden="false" customHeight="false" outlineLevel="0" collapsed="false">
      <c r="A449" s="27"/>
      <c r="B449" s="1"/>
      <c r="C449" s="28"/>
      <c r="D449" s="1"/>
    </row>
    <row r="450" customFormat="false" ht="15" hidden="false" customHeight="false" outlineLevel="0" collapsed="false">
      <c r="A450" s="27"/>
      <c r="B450" s="1"/>
      <c r="C450" s="28"/>
      <c r="D450" s="1"/>
    </row>
    <row r="451" customFormat="false" ht="15" hidden="false" customHeight="false" outlineLevel="0" collapsed="false">
      <c r="A451" s="27"/>
      <c r="B451" s="1"/>
      <c r="C451" s="28"/>
      <c r="D451" s="1"/>
    </row>
    <row r="452" customFormat="false" ht="15" hidden="false" customHeight="false" outlineLevel="0" collapsed="false">
      <c r="A452" s="27"/>
      <c r="B452" s="1"/>
      <c r="C452" s="28"/>
      <c r="D452" s="1"/>
    </row>
    <row r="453" customFormat="false" ht="15" hidden="false" customHeight="false" outlineLevel="0" collapsed="false">
      <c r="A453" s="27"/>
      <c r="B453" s="1"/>
      <c r="C453" s="28"/>
      <c r="D453" s="1"/>
    </row>
    <row r="454" customFormat="false" ht="15" hidden="false" customHeight="false" outlineLevel="0" collapsed="false">
      <c r="A454" s="27"/>
      <c r="B454" s="1"/>
      <c r="C454" s="28"/>
      <c r="D454" s="1"/>
    </row>
    <row r="455" customFormat="false" ht="15" hidden="false" customHeight="false" outlineLevel="0" collapsed="false">
      <c r="A455" s="27"/>
      <c r="B455" s="1"/>
      <c r="C455" s="28"/>
      <c r="D455" s="1"/>
    </row>
    <row r="456" customFormat="false" ht="15" hidden="false" customHeight="false" outlineLevel="0" collapsed="false">
      <c r="A456" s="27"/>
      <c r="B456" s="1"/>
      <c r="C456" s="28"/>
      <c r="D456" s="1"/>
    </row>
    <row r="457" customFormat="false" ht="15" hidden="false" customHeight="false" outlineLevel="0" collapsed="false">
      <c r="A457" s="27"/>
      <c r="B457" s="1"/>
      <c r="C457" s="28"/>
      <c r="D457" s="1"/>
    </row>
    <row r="458" customFormat="false" ht="15" hidden="false" customHeight="false" outlineLevel="0" collapsed="false">
      <c r="A458" s="27"/>
      <c r="B458" s="1"/>
      <c r="C458" s="28"/>
      <c r="D458" s="1"/>
    </row>
    <row r="459" customFormat="false" ht="15" hidden="false" customHeight="false" outlineLevel="0" collapsed="false">
      <c r="A459" s="27"/>
      <c r="B459" s="1"/>
      <c r="C459" s="28"/>
      <c r="D459" s="1"/>
    </row>
    <row r="460" customFormat="false" ht="15" hidden="false" customHeight="false" outlineLevel="0" collapsed="false">
      <c r="A460" s="27"/>
      <c r="B460" s="1"/>
      <c r="C460" s="28"/>
      <c r="D460" s="1"/>
    </row>
    <row r="461" customFormat="false" ht="15" hidden="false" customHeight="false" outlineLevel="0" collapsed="false">
      <c r="A461" s="27"/>
      <c r="B461" s="1"/>
      <c r="C461" s="28"/>
      <c r="D461" s="1"/>
    </row>
    <row r="462" customFormat="false" ht="15" hidden="false" customHeight="false" outlineLevel="0" collapsed="false">
      <c r="A462" s="27"/>
      <c r="B462" s="1"/>
      <c r="C462" s="28"/>
      <c r="D462" s="1"/>
    </row>
    <row r="463" customFormat="false" ht="15" hidden="false" customHeight="false" outlineLevel="0" collapsed="false">
      <c r="A463" s="27"/>
      <c r="B463" s="1"/>
      <c r="C463" s="28"/>
      <c r="D463" s="1"/>
    </row>
    <row r="464" customFormat="false" ht="15" hidden="false" customHeight="false" outlineLevel="0" collapsed="false">
      <c r="A464" s="27"/>
      <c r="B464" s="1"/>
      <c r="C464" s="28"/>
      <c r="D464" s="1"/>
    </row>
    <row r="465" customFormat="false" ht="15" hidden="false" customHeight="false" outlineLevel="0" collapsed="false">
      <c r="A465" s="27"/>
      <c r="B465" s="1"/>
      <c r="C465" s="28"/>
      <c r="D465" s="1"/>
    </row>
    <row r="466" customFormat="false" ht="15" hidden="false" customHeight="false" outlineLevel="0" collapsed="false">
      <c r="A466" s="27"/>
      <c r="B466" s="1"/>
      <c r="C466" s="28"/>
      <c r="D466" s="1"/>
    </row>
    <row r="467" customFormat="false" ht="15" hidden="false" customHeight="false" outlineLevel="0" collapsed="false">
      <c r="A467" s="27"/>
      <c r="B467" s="1"/>
      <c r="C467" s="28"/>
      <c r="D467" s="1"/>
    </row>
    <row r="468" customFormat="false" ht="15" hidden="false" customHeight="false" outlineLevel="0" collapsed="false">
      <c r="A468" s="27"/>
      <c r="B468" s="1"/>
      <c r="C468" s="28"/>
      <c r="D468" s="1"/>
    </row>
    <row r="469" customFormat="false" ht="15" hidden="false" customHeight="false" outlineLevel="0" collapsed="false">
      <c r="A469" s="27"/>
      <c r="B469" s="1"/>
      <c r="C469" s="28"/>
      <c r="D469" s="1"/>
    </row>
    <row r="470" customFormat="false" ht="15" hidden="false" customHeight="false" outlineLevel="0" collapsed="false">
      <c r="A470" s="27"/>
      <c r="B470" s="1"/>
      <c r="C470" s="28"/>
      <c r="D470" s="1"/>
    </row>
    <row r="471" customFormat="false" ht="15" hidden="false" customHeight="false" outlineLevel="0" collapsed="false">
      <c r="A471" s="27"/>
      <c r="B471" s="1"/>
      <c r="C471" s="28"/>
      <c r="D471" s="1"/>
    </row>
    <row r="472" customFormat="false" ht="15" hidden="false" customHeight="false" outlineLevel="0" collapsed="false">
      <c r="A472" s="27"/>
      <c r="B472" s="1"/>
      <c r="C472" s="28"/>
      <c r="D472" s="1"/>
    </row>
    <row r="473" customFormat="false" ht="15" hidden="false" customHeight="false" outlineLevel="0" collapsed="false">
      <c r="A473" s="27"/>
      <c r="B473" s="1"/>
      <c r="C473" s="28"/>
      <c r="D473" s="1"/>
    </row>
    <row r="474" customFormat="false" ht="15" hidden="false" customHeight="false" outlineLevel="0" collapsed="false">
      <c r="A474" s="27"/>
      <c r="B474" s="1"/>
      <c r="C474" s="28"/>
      <c r="D474" s="1"/>
    </row>
    <row r="475" customFormat="false" ht="15" hidden="false" customHeight="false" outlineLevel="0" collapsed="false">
      <c r="A475" s="27"/>
      <c r="B475" s="1"/>
      <c r="C475" s="28"/>
      <c r="D475" s="1"/>
    </row>
    <row r="476" customFormat="false" ht="15" hidden="false" customHeight="false" outlineLevel="0" collapsed="false">
      <c r="A476" s="27"/>
      <c r="B476" s="1"/>
      <c r="C476" s="28"/>
      <c r="D476" s="1"/>
    </row>
    <row r="477" customFormat="false" ht="15" hidden="false" customHeight="false" outlineLevel="0" collapsed="false">
      <c r="A477" s="27"/>
      <c r="B477" s="1"/>
      <c r="C477" s="28"/>
      <c r="D477" s="1"/>
    </row>
    <row r="478" customFormat="false" ht="15" hidden="false" customHeight="false" outlineLevel="0" collapsed="false">
      <c r="A478" s="27"/>
      <c r="B478" s="1"/>
      <c r="C478" s="28"/>
      <c r="D478" s="1"/>
    </row>
    <row r="479" customFormat="false" ht="15" hidden="false" customHeight="false" outlineLevel="0" collapsed="false">
      <c r="A479" s="27"/>
      <c r="B479" s="1"/>
      <c r="C479" s="28"/>
      <c r="D479" s="1"/>
    </row>
    <row r="480" customFormat="false" ht="15" hidden="false" customHeight="false" outlineLevel="0" collapsed="false">
      <c r="A480" s="27"/>
      <c r="B480" s="1"/>
      <c r="C480" s="28"/>
      <c r="D480" s="1"/>
    </row>
    <row r="481" customFormat="false" ht="15" hidden="false" customHeight="false" outlineLevel="0" collapsed="false">
      <c r="A481" s="27"/>
      <c r="B481" s="1"/>
      <c r="C481" s="28"/>
      <c r="D481" s="1"/>
    </row>
    <row r="482" customFormat="false" ht="15" hidden="false" customHeight="false" outlineLevel="0" collapsed="false">
      <c r="A482" s="27"/>
      <c r="B482" s="1"/>
      <c r="C482" s="28"/>
      <c r="D482" s="1"/>
    </row>
    <row r="483" customFormat="false" ht="15" hidden="false" customHeight="false" outlineLevel="0" collapsed="false">
      <c r="A483" s="27"/>
      <c r="B483" s="1"/>
      <c r="C483" s="28"/>
      <c r="D483" s="1"/>
    </row>
    <row r="484" customFormat="false" ht="15" hidden="false" customHeight="false" outlineLevel="0" collapsed="false">
      <c r="A484" s="27"/>
      <c r="B484" s="1"/>
      <c r="C484" s="28"/>
      <c r="D484" s="1"/>
    </row>
    <row r="485" customFormat="false" ht="15" hidden="false" customHeight="false" outlineLevel="0" collapsed="false">
      <c r="A485" s="27"/>
      <c r="B485" s="1"/>
      <c r="C485" s="28"/>
      <c r="D485" s="1"/>
    </row>
    <row r="486" customFormat="false" ht="15" hidden="false" customHeight="false" outlineLevel="0" collapsed="false">
      <c r="A486" s="27"/>
      <c r="B486" s="1"/>
      <c r="C486" s="28"/>
      <c r="D486" s="1"/>
    </row>
    <row r="487" customFormat="false" ht="15" hidden="false" customHeight="false" outlineLevel="0" collapsed="false">
      <c r="A487" s="27"/>
      <c r="B487" s="1"/>
      <c r="C487" s="28"/>
      <c r="D487" s="1"/>
    </row>
    <row r="488" customFormat="false" ht="15" hidden="false" customHeight="false" outlineLevel="0" collapsed="false">
      <c r="A488" s="27"/>
      <c r="B488" s="1"/>
      <c r="C488" s="28"/>
      <c r="D488" s="1"/>
    </row>
    <row r="489" customFormat="false" ht="15" hidden="false" customHeight="false" outlineLevel="0" collapsed="false">
      <c r="A489" s="27"/>
      <c r="B489" s="1"/>
      <c r="C489" s="28"/>
      <c r="D489" s="1"/>
    </row>
    <row r="490" customFormat="false" ht="15" hidden="false" customHeight="false" outlineLevel="0" collapsed="false">
      <c r="A490" s="27"/>
      <c r="B490" s="1"/>
      <c r="C490" s="28"/>
      <c r="D490" s="1"/>
    </row>
    <row r="491" customFormat="false" ht="15" hidden="false" customHeight="false" outlineLevel="0" collapsed="false">
      <c r="A491" s="27"/>
      <c r="B491" s="1"/>
      <c r="C491" s="28"/>
      <c r="D491" s="1"/>
    </row>
    <row r="492" customFormat="false" ht="15" hidden="false" customHeight="false" outlineLevel="0" collapsed="false">
      <c r="A492" s="27"/>
      <c r="B492" s="1"/>
      <c r="C492" s="28"/>
      <c r="D492" s="1"/>
    </row>
    <row r="493" customFormat="false" ht="15" hidden="false" customHeight="false" outlineLevel="0" collapsed="false">
      <c r="A493" s="27"/>
      <c r="B493" s="1"/>
      <c r="C493" s="28"/>
      <c r="D493" s="1"/>
    </row>
    <row r="494" customFormat="false" ht="15" hidden="false" customHeight="false" outlineLevel="0" collapsed="false">
      <c r="A494" s="27"/>
      <c r="B494" s="1"/>
      <c r="C494" s="28"/>
      <c r="D494" s="1"/>
    </row>
    <row r="495" customFormat="false" ht="15" hidden="false" customHeight="false" outlineLevel="0" collapsed="false">
      <c r="A495" s="27"/>
      <c r="B495" s="1"/>
      <c r="C495" s="28"/>
      <c r="D495" s="1"/>
    </row>
    <row r="496" customFormat="false" ht="15" hidden="false" customHeight="false" outlineLevel="0" collapsed="false">
      <c r="A496" s="27"/>
      <c r="B496" s="1"/>
      <c r="C496" s="28"/>
      <c r="D496" s="1"/>
    </row>
    <row r="497" customFormat="false" ht="15" hidden="false" customHeight="false" outlineLevel="0" collapsed="false">
      <c r="A497" s="27"/>
      <c r="B497" s="1"/>
      <c r="C497" s="28"/>
      <c r="D497" s="1"/>
    </row>
    <row r="498" customFormat="false" ht="15" hidden="false" customHeight="false" outlineLevel="0" collapsed="false">
      <c r="A498" s="27"/>
      <c r="B498" s="1"/>
      <c r="C498" s="28"/>
      <c r="D498" s="1"/>
    </row>
    <row r="499" customFormat="false" ht="15" hidden="false" customHeight="false" outlineLevel="0" collapsed="false">
      <c r="A499" s="27"/>
      <c r="B499" s="1"/>
      <c r="C499" s="28"/>
      <c r="D499" s="1"/>
    </row>
    <row r="500" customFormat="false" ht="15" hidden="false" customHeight="false" outlineLevel="0" collapsed="false">
      <c r="A500" s="27"/>
      <c r="B500" s="1"/>
      <c r="C500" s="28"/>
      <c r="D500" s="1"/>
    </row>
    <row r="501" customFormat="false" ht="15" hidden="false" customHeight="false" outlineLevel="0" collapsed="false">
      <c r="A501" s="27"/>
      <c r="B501" s="1"/>
      <c r="C501" s="28"/>
      <c r="D501" s="1"/>
    </row>
  </sheetData>
  <dataValidations count="1">
    <dataValidation allowBlank="true" error="Choose a value from the list" errorStyle="stop" errorTitle="Invalid entry" operator="between" showDropDown="false" showErrorMessage="false" showInputMessage="false" sqref="B2:B501" type="list">
      <formula1>Settings!$I$13:$I$21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F55"/>
    <pageSetUpPr fitToPage="tru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5" t="s">
        <v>37</v>
      </c>
      <c r="B1" s="15" t="s">
        <v>112</v>
      </c>
      <c r="C1" s="15" t="s">
        <v>50</v>
      </c>
      <c r="D1" s="15" t="s">
        <v>134</v>
      </c>
      <c r="E1" s="15" t="s">
        <v>135</v>
      </c>
      <c r="F1" s="15" t="s">
        <v>136</v>
      </c>
      <c r="G1" s="15" t="s">
        <v>44</v>
      </c>
      <c r="H1" s="15" t="s">
        <v>137</v>
      </c>
    </row>
    <row r="2" customFormat="false" ht="15" hidden="false" customHeight="false" outlineLevel="0" collapsed="false">
      <c r="A2" s="21" t="str">
        <f aca="false">IF(Patients!A2="","",IF(COUNTIF('Injection Sales'!$B$2:$B$501,Patients!A2)=0,"",Patients!A2))</f>
        <v>Asha Sharma</v>
      </c>
      <c r="B2" s="24" t="str">
        <f aca="false">IF(A2="","",Patients!B2&amp;"")</f>
        <v>9876543210</v>
      </c>
      <c r="C2" s="21" t="str">
        <f aca="false">IF(A2="","",Patients!G2)</f>
        <v>Mounjaro 5mg</v>
      </c>
      <c r="D2" s="18" t="n">
        <f aca="false">IF(A2="","",_xlfn.MAXIFS('Injection Sales'!$A$2:$A$501,'Injection Sales'!$B$2:$B$501,A2))</f>
        <v>46266</v>
      </c>
      <c r="E2" s="19" t="n">
        <f aca="true">IF(A2="","",TODAY()-D2)</f>
        <v>29</v>
      </c>
      <c r="F2" s="21" t="str">
        <f aca="false">IF(A2="","",IF(E2&gt;=Settings!$B$9,Settings!$B$9&amp;" Day",IF(E2&gt;=Settings!$B$8,Settings!$B$8&amp;" Day","Due in "&amp;(Settings!$B$8-E2)&amp;" days")))</f>
        <v>Due in 31 days</v>
      </c>
      <c r="G2" s="21" t="str">
        <f aca="false">IF(A2="","",Patients!H2)</f>
        <v>Murshida</v>
      </c>
      <c r="H2" s="1"/>
    </row>
    <row r="3" customFormat="false" ht="15" hidden="false" customHeight="false" outlineLevel="0" collapsed="false">
      <c r="A3" s="21" t="str">
        <f aca="false">IF(Patients!A3="","",IF(COUNTIF('Injection Sales'!$B$2:$B$501,Patients!A3)=0,"",Patients!A3))</f>
        <v/>
      </c>
      <c r="B3" s="24" t="str">
        <f aca="false">IF(A3="","",Patients!B3&amp;"")</f>
        <v/>
      </c>
      <c r="C3" s="21" t="str">
        <f aca="false">IF(A3="","",Patients!G3)</f>
        <v/>
      </c>
      <c r="D3" s="18" t="str">
        <f aca="false">IF(A3="","",_xlfn.MAXIFS('Injection Sales'!$A$2:$A$501,'Injection Sales'!$B$2:$B$501,A3))</f>
        <v/>
      </c>
      <c r="E3" s="19" t="str">
        <f aca="true">IF(A3="","",TODAY()-D3)</f>
        <v/>
      </c>
      <c r="F3" s="21" t="str">
        <f aca="false">IF(A3="","",IF(E3&gt;=Settings!$B$9,Settings!$B$9&amp;" Day",IF(E3&gt;=Settings!$B$8,Settings!$B$8&amp;" Day","Due in "&amp;(Settings!$B$8-E3)&amp;" days")))</f>
        <v/>
      </c>
      <c r="G3" s="21" t="str">
        <f aca="false">IF(A3="","",Patients!H3)</f>
        <v/>
      </c>
      <c r="H3" s="1"/>
    </row>
    <row r="4" customFormat="false" ht="15" hidden="false" customHeight="false" outlineLevel="0" collapsed="false">
      <c r="A4" s="21" t="str">
        <f aca="false">IF(Patients!A4="","",IF(COUNTIF('Injection Sales'!$B$2:$B$501,Patients!A4)=0,"",Patients!A4))</f>
        <v/>
      </c>
      <c r="B4" s="24" t="str">
        <f aca="false">IF(A4="","",Patients!B4&amp;"")</f>
        <v/>
      </c>
      <c r="C4" s="21" t="str">
        <f aca="false">IF(A4="","",Patients!G4)</f>
        <v/>
      </c>
      <c r="D4" s="18" t="str">
        <f aca="false">IF(A4="","",_xlfn.MAXIFS('Injection Sales'!$A$2:$A$501,'Injection Sales'!$B$2:$B$501,A4))</f>
        <v/>
      </c>
      <c r="E4" s="19" t="str">
        <f aca="true">IF(A4="","",TODAY()-D4)</f>
        <v/>
      </c>
      <c r="F4" s="21" t="str">
        <f aca="false">IF(A4="","",IF(E4&gt;=Settings!$B$9,Settings!$B$9&amp;" Day",IF(E4&gt;=Settings!$B$8,Settings!$B$8&amp;" Day","Due in "&amp;(Settings!$B$8-E4)&amp;" days")))</f>
        <v/>
      </c>
      <c r="G4" s="21" t="str">
        <f aca="false">IF(A4="","",Patients!H4)</f>
        <v/>
      </c>
      <c r="H4" s="1"/>
    </row>
    <row r="5" customFormat="false" ht="15" hidden="false" customHeight="false" outlineLevel="0" collapsed="false">
      <c r="A5" s="21" t="str">
        <f aca="false">IF(Patients!A5="","",IF(COUNTIF('Injection Sales'!$B$2:$B$501,Patients!A5)=0,"",Patients!A5))</f>
        <v/>
      </c>
      <c r="B5" s="24" t="str">
        <f aca="false">IF(A5="","",Patients!B5&amp;"")</f>
        <v/>
      </c>
      <c r="C5" s="21" t="str">
        <f aca="false">IF(A5="","",Patients!G5)</f>
        <v/>
      </c>
      <c r="D5" s="18" t="str">
        <f aca="false">IF(A5="","",_xlfn.MAXIFS('Injection Sales'!$A$2:$A$501,'Injection Sales'!$B$2:$B$501,A5))</f>
        <v/>
      </c>
      <c r="E5" s="19" t="str">
        <f aca="true">IF(A5="","",TODAY()-D5)</f>
        <v/>
      </c>
      <c r="F5" s="21" t="str">
        <f aca="false">IF(A5="","",IF(E5&gt;=Settings!$B$9,Settings!$B$9&amp;" Day",IF(E5&gt;=Settings!$B$8,Settings!$B$8&amp;" Day","Due in "&amp;(Settings!$B$8-E5)&amp;" days")))</f>
        <v/>
      </c>
      <c r="G5" s="21" t="str">
        <f aca="false">IF(A5="","",Patients!H5)</f>
        <v/>
      </c>
      <c r="H5" s="1"/>
    </row>
    <row r="6" customFormat="false" ht="15" hidden="false" customHeight="false" outlineLevel="0" collapsed="false">
      <c r="A6" s="21" t="str">
        <f aca="false">IF(Patients!A6="","",IF(COUNTIF('Injection Sales'!$B$2:$B$501,Patients!A6)=0,"",Patients!A6))</f>
        <v/>
      </c>
      <c r="B6" s="24" t="str">
        <f aca="false">IF(A6="","",Patients!B6&amp;"")</f>
        <v/>
      </c>
      <c r="C6" s="21" t="str">
        <f aca="false">IF(A6="","",Patients!G6)</f>
        <v/>
      </c>
      <c r="D6" s="18" t="str">
        <f aca="false">IF(A6="","",_xlfn.MAXIFS('Injection Sales'!$A$2:$A$501,'Injection Sales'!$B$2:$B$501,A6))</f>
        <v/>
      </c>
      <c r="E6" s="19" t="str">
        <f aca="true">IF(A6="","",TODAY()-D6)</f>
        <v/>
      </c>
      <c r="F6" s="21" t="str">
        <f aca="false">IF(A6="","",IF(E6&gt;=Settings!$B$9,Settings!$B$9&amp;" Day",IF(E6&gt;=Settings!$B$8,Settings!$B$8&amp;" Day","Due in "&amp;(Settings!$B$8-E6)&amp;" days")))</f>
        <v/>
      </c>
      <c r="G6" s="21" t="str">
        <f aca="false">IF(A6="","",Patients!H6)</f>
        <v/>
      </c>
      <c r="H6" s="1"/>
    </row>
    <row r="7" customFormat="false" ht="15" hidden="false" customHeight="false" outlineLevel="0" collapsed="false">
      <c r="A7" s="21" t="str">
        <f aca="false">IF(Patients!A7="","",IF(COUNTIF('Injection Sales'!$B$2:$B$501,Patients!A7)=0,"",Patients!A7))</f>
        <v/>
      </c>
      <c r="B7" s="24" t="str">
        <f aca="false">IF(A7="","",Patients!B7&amp;"")</f>
        <v/>
      </c>
      <c r="C7" s="21" t="str">
        <f aca="false">IF(A7="","",Patients!G7)</f>
        <v/>
      </c>
      <c r="D7" s="18" t="str">
        <f aca="false">IF(A7="","",_xlfn.MAXIFS('Injection Sales'!$A$2:$A$501,'Injection Sales'!$B$2:$B$501,A7))</f>
        <v/>
      </c>
      <c r="E7" s="19" t="str">
        <f aca="true">IF(A7="","",TODAY()-D7)</f>
        <v/>
      </c>
      <c r="F7" s="21" t="str">
        <f aca="false">IF(A7="","",IF(E7&gt;=Settings!$B$9,Settings!$B$9&amp;" Day",IF(E7&gt;=Settings!$B$8,Settings!$B$8&amp;" Day","Due in "&amp;(Settings!$B$8-E7)&amp;" days")))</f>
        <v/>
      </c>
      <c r="G7" s="21" t="str">
        <f aca="false">IF(A7="","",Patients!H7)</f>
        <v/>
      </c>
      <c r="H7" s="1"/>
    </row>
    <row r="8" customFormat="false" ht="15" hidden="false" customHeight="false" outlineLevel="0" collapsed="false">
      <c r="A8" s="21" t="str">
        <f aca="false">IF(Patients!A8="","",IF(COUNTIF('Injection Sales'!$B$2:$B$501,Patients!A8)=0,"",Patients!A8))</f>
        <v/>
      </c>
      <c r="B8" s="24" t="str">
        <f aca="false">IF(A8="","",Patients!B8&amp;"")</f>
        <v/>
      </c>
      <c r="C8" s="21" t="str">
        <f aca="false">IF(A8="","",Patients!G8)</f>
        <v/>
      </c>
      <c r="D8" s="18" t="str">
        <f aca="false">IF(A8="","",_xlfn.MAXIFS('Injection Sales'!$A$2:$A$501,'Injection Sales'!$B$2:$B$501,A8))</f>
        <v/>
      </c>
      <c r="E8" s="19" t="str">
        <f aca="true">IF(A8="","",TODAY()-D8)</f>
        <v/>
      </c>
      <c r="F8" s="21" t="str">
        <f aca="false">IF(A8="","",IF(E8&gt;=Settings!$B$9,Settings!$B$9&amp;" Day",IF(E8&gt;=Settings!$B$8,Settings!$B$8&amp;" Day","Due in "&amp;(Settings!$B$8-E8)&amp;" days")))</f>
        <v/>
      </c>
      <c r="G8" s="21" t="str">
        <f aca="false">IF(A8="","",Patients!H8)</f>
        <v/>
      </c>
      <c r="H8" s="1"/>
    </row>
    <row r="9" customFormat="false" ht="15" hidden="false" customHeight="false" outlineLevel="0" collapsed="false">
      <c r="A9" s="21" t="str">
        <f aca="false">IF(Patients!A9="","",IF(COUNTIF('Injection Sales'!$B$2:$B$501,Patients!A9)=0,"",Patients!A9))</f>
        <v/>
      </c>
      <c r="B9" s="24" t="str">
        <f aca="false">IF(A9="","",Patients!B9&amp;"")</f>
        <v/>
      </c>
      <c r="C9" s="21" t="str">
        <f aca="false">IF(A9="","",Patients!G9)</f>
        <v/>
      </c>
      <c r="D9" s="18" t="str">
        <f aca="false">IF(A9="","",_xlfn.MAXIFS('Injection Sales'!$A$2:$A$501,'Injection Sales'!$B$2:$B$501,A9))</f>
        <v/>
      </c>
      <c r="E9" s="19" t="str">
        <f aca="true">IF(A9="","",TODAY()-D9)</f>
        <v/>
      </c>
      <c r="F9" s="21" t="str">
        <f aca="false">IF(A9="","",IF(E9&gt;=Settings!$B$9,Settings!$B$9&amp;" Day",IF(E9&gt;=Settings!$B$8,Settings!$B$8&amp;" Day","Due in "&amp;(Settings!$B$8-E9)&amp;" days")))</f>
        <v/>
      </c>
      <c r="G9" s="21" t="str">
        <f aca="false">IF(A9="","",Patients!H9)</f>
        <v/>
      </c>
      <c r="H9" s="1"/>
    </row>
    <row r="10" customFormat="false" ht="15" hidden="false" customHeight="false" outlineLevel="0" collapsed="false">
      <c r="A10" s="21" t="str">
        <f aca="false">IF(Patients!A10="","",IF(COUNTIF('Injection Sales'!$B$2:$B$501,Patients!A10)=0,"",Patients!A10))</f>
        <v/>
      </c>
      <c r="B10" s="24" t="str">
        <f aca="false">IF(A10="","",Patients!B10&amp;"")</f>
        <v/>
      </c>
      <c r="C10" s="21" t="str">
        <f aca="false">IF(A10="","",Patients!G10)</f>
        <v/>
      </c>
      <c r="D10" s="18" t="str">
        <f aca="false">IF(A10="","",_xlfn.MAXIFS('Injection Sales'!$A$2:$A$501,'Injection Sales'!$B$2:$B$501,A10))</f>
        <v/>
      </c>
      <c r="E10" s="19" t="str">
        <f aca="true">IF(A10="","",TODAY()-D10)</f>
        <v/>
      </c>
      <c r="F10" s="21" t="str">
        <f aca="false">IF(A10="","",IF(E10&gt;=Settings!$B$9,Settings!$B$9&amp;" Day",IF(E10&gt;=Settings!$B$8,Settings!$B$8&amp;" Day","Due in "&amp;(Settings!$B$8-E10)&amp;" days")))</f>
        <v/>
      </c>
      <c r="G10" s="21" t="str">
        <f aca="false">IF(A10="","",Patients!H10)</f>
        <v/>
      </c>
      <c r="H10" s="1"/>
    </row>
    <row r="11" customFormat="false" ht="15" hidden="false" customHeight="false" outlineLevel="0" collapsed="false">
      <c r="A11" s="21" t="str">
        <f aca="false">IF(Patients!A11="","",IF(COUNTIF('Injection Sales'!$B$2:$B$501,Patients!A11)=0,"",Patients!A11))</f>
        <v/>
      </c>
      <c r="B11" s="24" t="str">
        <f aca="false">IF(A11="","",Patients!B11&amp;"")</f>
        <v/>
      </c>
      <c r="C11" s="21" t="str">
        <f aca="false">IF(A11="","",Patients!G11)</f>
        <v/>
      </c>
      <c r="D11" s="18" t="str">
        <f aca="false">IF(A11="","",_xlfn.MAXIFS('Injection Sales'!$A$2:$A$501,'Injection Sales'!$B$2:$B$501,A11))</f>
        <v/>
      </c>
      <c r="E11" s="19" t="str">
        <f aca="true">IF(A11="","",TODAY()-D11)</f>
        <v/>
      </c>
      <c r="F11" s="21" t="str">
        <f aca="false">IF(A11="","",IF(E11&gt;=Settings!$B$9,Settings!$B$9&amp;" Day",IF(E11&gt;=Settings!$B$8,Settings!$B$8&amp;" Day","Due in "&amp;(Settings!$B$8-E11)&amp;" days")))</f>
        <v/>
      </c>
      <c r="G11" s="21" t="str">
        <f aca="false">IF(A11="","",Patients!H11)</f>
        <v/>
      </c>
      <c r="H11" s="1"/>
    </row>
    <row r="12" customFormat="false" ht="15" hidden="false" customHeight="false" outlineLevel="0" collapsed="false">
      <c r="A12" s="21" t="str">
        <f aca="false">IF(Patients!A12="","",IF(COUNTIF('Injection Sales'!$B$2:$B$501,Patients!A12)=0,"",Patients!A12))</f>
        <v/>
      </c>
      <c r="B12" s="24" t="str">
        <f aca="false">IF(A12="","",Patients!B12&amp;"")</f>
        <v/>
      </c>
      <c r="C12" s="21" t="str">
        <f aca="false">IF(A12="","",Patients!G12)</f>
        <v/>
      </c>
      <c r="D12" s="18" t="str">
        <f aca="false">IF(A12="","",_xlfn.MAXIFS('Injection Sales'!$A$2:$A$501,'Injection Sales'!$B$2:$B$501,A12))</f>
        <v/>
      </c>
      <c r="E12" s="19" t="str">
        <f aca="true">IF(A12="","",TODAY()-D12)</f>
        <v/>
      </c>
      <c r="F12" s="21" t="str">
        <f aca="false">IF(A12="","",IF(E12&gt;=Settings!$B$9,Settings!$B$9&amp;" Day",IF(E12&gt;=Settings!$B$8,Settings!$B$8&amp;" Day","Due in "&amp;(Settings!$B$8-E12)&amp;" days")))</f>
        <v/>
      </c>
      <c r="G12" s="21" t="str">
        <f aca="false">IF(A12="","",Patients!H12)</f>
        <v/>
      </c>
      <c r="H12" s="1"/>
    </row>
    <row r="13" customFormat="false" ht="15" hidden="false" customHeight="false" outlineLevel="0" collapsed="false">
      <c r="A13" s="21" t="str">
        <f aca="false">IF(Patients!A13="","",IF(COUNTIF('Injection Sales'!$B$2:$B$501,Patients!A13)=0,"",Patients!A13))</f>
        <v/>
      </c>
      <c r="B13" s="24" t="str">
        <f aca="false">IF(A13="","",Patients!B13&amp;"")</f>
        <v/>
      </c>
      <c r="C13" s="21" t="str">
        <f aca="false">IF(A13="","",Patients!G13)</f>
        <v/>
      </c>
      <c r="D13" s="18" t="str">
        <f aca="false">IF(A13="","",_xlfn.MAXIFS('Injection Sales'!$A$2:$A$501,'Injection Sales'!$B$2:$B$501,A13))</f>
        <v/>
      </c>
      <c r="E13" s="19" t="str">
        <f aca="true">IF(A13="","",TODAY()-D13)</f>
        <v/>
      </c>
      <c r="F13" s="21" t="str">
        <f aca="false">IF(A13="","",IF(E13&gt;=Settings!$B$9,Settings!$B$9&amp;" Day",IF(E13&gt;=Settings!$B$8,Settings!$B$8&amp;" Day","Due in "&amp;(Settings!$B$8-E13)&amp;" days")))</f>
        <v/>
      </c>
      <c r="G13" s="21" t="str">
        <f aca="false">IF(A13="","",Patients!H13)</f>
        <v/>
      </c>
      <c r="H13" s="1"/>
    </row>
    <row r="14" customFormat="false" ht="15" hidden="false" customHeight="false" outlineLevel="0" collapsed="false">
      <c r="A14" s="21" t="str">
        <f aca="false">IF(Patients!A14="","",IF(COUNTIF('Injection Sales'!$B$2:$B$501,Patients!A14)=0,"",Patients!A14))</f>
        <v/>
      </c>
      <c r="B14" s="24" t="str">
        <f aca="false">IF(A14="","",Patients!B14&amp;"")</f>
        <v/>
      </c>
      <c r="C14" s="21" t="str">
        <f aca="false">IF(A14="","",Patients!G14)</f>
        <v/>
      </c>
      <c r="D14" s="18" t="str">
        <f aca="false">IF(A14="","",_xlfn.MAXIFS('Injection Sales'!$A$2:$A$501,'Injection Sales'!$B$2:$B$501,A14))</f>
        <v/>
      </c>
      <c r="E14" s="19" t="str">
        <f aca="true">IF(A14="","",TODAY()-D14)</f>
        <v/>
      </c>
      <c r="F14" s="21" t="str">
        <f aca="false">IF(A14="","",IF(E14&gt;=Settings!$B$9,Settings!$B$9&amp;" Day",IF(E14&gt;=Settings!$B$8,Settings!$B$8&amp;" Day","Due in "&amp;(Settings!$B$8-E14)&amp;" days")))</f>
        <v/>
      </c>
      <c r="G14" s="21" t="str">
        <f aca="false">IF(A14="","",Patients!H14)</f>
        <v/>
      </c>
      <c r="H14" s="1"/>
    </row>
    <row r="15" customFormat="false" ht="15" hidden="false" customHeight="false" outlineLevel="0" collapsed="false">
      <c r="A15" s="21" t="str">
        <f aca="false">IF(Patients!A15="","",IF(COUNTIF('Injection Sales'!$B$2:$B$501,Patients!A15)=0,"",Patients!A15))</f>
        <v/>
      </c>
      <c r="B15" s="24" t="str">
        <f aca="false">IF(A15="","",Patients!B15&amp;"")</f>
        <v/>
      </c>
      <c r="C15" s="21" t="str">
        <f aca="false">IF(A15="","",Patients!G15)</f>
        <v/>
      </c>
      <c r="D15" s="18" t="str">
        <f aca="false">IF(A15="","",_xlfn.MAXIFS('Injection Sales'!$A$2:$A$501,'Injection Sales'!$B$2:$B$501,A15))</f>
        <v/>
      </c>
      <c r="E15" s="19" t="str">
        <f aca="true">IF(A15="","",TODAY()-D15)</f>
        <v/>
      </c>
      <c r="F15" s="21" t="str">
        <f aca="false">IF(A15="","",IF(E15&gt;=Settings!$B$9,Settings!$B$9&amp;" Day",IF(E15&gt;=Settings!$B$8,Settings!$B$8&amp;" Day","Due in "&amp;(Settings!$B$8-E15)&amp;" days")))</f>
        <v/>
      </c>
      <c r="G15" s="21" t="str">
        <f aca="false">IF(A15="","",Patients!H15)</f>
        <v/>
      </c>
      <c r="H15" s="1"/>
    </row>
    <row r="16" customFormat="false" ht="15" hidden="false" customHeight="false" outlineLevel="0" collapsed="false">
      <c r="A16" s="21" t="str">
        <f aca="false">IF(Patients!A16="","",IF(COUNTIF('Injection Sales'!$B$2:$B$501,Patients!A16)=0,"",Patients!A16))</f>
        <v/>
      </c>
      <c r="B16" s="24" t="str">
        <f aca="false">IF(A16="","",Patients!B16&amp;"")</f>
        <v/>
      </c>
      <c r="C16" s="21" t="str">
        <f aca="false">IF(A16="","",Patients!G16)</f>
        <v/>
      </c>
      <c r="D16" s="18" t="str">
        <f aca="false">IF(A16="","",_xlfn.MAXIFS('Injection Sales'!$A$2:$A$501,'Injection Sales'!$B$2:$B$501,A16))</f>
        <v/>
      </c>
      <c r="E16" s="19" t="str">
        <f aca="true">IF(A16="","",TODAY()-D16)</f>
        <v/>
      </c>
      <c r="F16" s="21" t="str">
        <f aca="false">IF(A16="","",IF(E16&gt;=Settings!$B$9,Settings!$B$9&amp;" Day",IF(E16&gt;=Settings!$B$8,Settings!$B$8&amp;" Day","Due in "&amp;(Settings!$B$8-E16)&amp;" days")))</f>
        <v/>
      </c>
      <c r="G16" s="21" t="str">
        <f aca="false">IF(A16="","",Patients!H16)</f>
        <v/>
      </c>
      <c r="H16" s="1"/>
    </row>
    <row r="17" customFormat="false" ht="15" hidden="false" customHeight="false" outlineLevel="0" collapsed="false">
      <c r="A17" s="21" t="str">
        <f aca="false">IF(Patients!A17="","",IF(COUNTIF('Injection Sales'!$B$2:$B$501,Patients!A17)=0,"",Patients!A17))</f>
        <v/>
      </c>
      <c r="B17" s="24" t="str">
        <f aca="false">IF(A17="","",Patients!B17&amp;"")</f>
        <v/>
      </c>
      <c r="C17" s="21" t="str">
        <f aca="false">IF(A17="","",Patients!G17)</f>
        <v/>
      </c>
      <c r="D17" s="18" t="str">
        <f aca="false">IF(A17="","",_xlfn.MAXIFS('Injection Sales'!$A$2:$A$501,'Injection Sales'!$B$2:$B$501,A17))</f>
        <v/>
      </c>
      <c r="E17" s="19" t="str">
        <f aca="true">IF(A17="","",TODAY()-D17)</f>
        <v/>
      </c>
      <c r="F17" s="21" t="str">
        <f aca="false">IF(A17="","",IF(E17&gt;=Settings!$B$9,Settings!$B$9&amp;" Day",IF(E17&gt;=Settings!$B$8,Settings!$B$8&amp;" Day","Due in "&amp;(Settings!$B$8-E17)&amp;" days")))</f>
        <v/>
      </c>
      <c r="G17" s="21" t="str">
        <f aca="false">IF(A17="","",Patients!H17)</f>
        <v/>
      </c>
      <c r="H17" s="1"/>
    </row>
    <row r="18" customFormat="false" ht="15" hidden="false" customHeight="false" outlineLevel="0" collapsed="false">
      <c r="A18" s="21" t="str">
        <f aca="false">IF(Patients!A18="","",IF(COUNTIF('Injection Sales'!$B$2:$B$501,Patients!A18)=0,"",Patients!A18))</f>
        <v/>
      </c>
      <c r="B18" s="24" t="str">
        <f aca="false">IF(A18="","",Patients!B18&amp;"")</f>
        <v/>
      </c>
      <c r="C18" s="21" t="str">
        <f aca="false">IF(A18="","",Patients!G18)</f>
        <v/>
      </c>
      <c r="D18" s="18" t="str">
        <f aca="false">IF(A18="","",_xlfn.MAXIFS('Injection Sales'!$A$2:$A$501,'Injection Sales'!$B$2:$B$501,A18))</f>
        <v/>
      </c>
      <c r="E18" s="19" t="str">
        <f aca="true">IF(A18="","",TODAY()-D18)</f>
        <v/>
      </c>
      <c r="F18" s="21" t="str">
        <f aca="false">IF(A18="","",IF(E18&gt;=Settings!$B$9,Settings!$B$9&amp;" Day",IF(E18&gt;=Settings!$B$8,Settings!$B$8&amp;" Day","Due in "&amp;(Settings!$B$8-E18)&amp;" days")))</f>
        <v/>
      </c>
      <c r="G18" s="21" t="str">
        <f aca="false">IF(A18="","",Patients!H18)</f>
        <v/>
      </c>
      <c r="H18" s="1"/>
    </row>
    <row r="19" customFormat="false" ht="15" hidden="false" customHeight="false" outlineLevel="0" collapsed="false">
      <c r="A19" s="21" t="str">
        <f aca="false">IF(Patients!A19="","",IF(COUNTIF('Injection Sales'!$B$2:$B$501,Patients!A19)=0,"",Patients!A19))</f>
        <v/>
      </c>
      <c r="B19" s="24" t="str">
        <f aca="false">IF(A19="","",Patients!B19&amp;"")</f>
        <v/>
      </c>
      <c r="C19" s="21" t="str">
        <f aca="false">IF(A19="","",Patients!G19)</f>
        <v/>
      </c>
      <c r="D19" s="18" t="str">
        <f aca="false">IF(A19="","",_xlfn.MAXIFS('Injection Sales'!$A$2:$A$501,'Injection Sales'!$B$2:$B$501,A19))</f>
        <v/>
      </c>
      <c r="E19" s="19" t="str">
        <f aca="true">IF(A19="","",TODAY()-D19)</f>
        <v/>
      </c>
      <c r="F19" s="21" t="str">
        <f aca="false">IF(A19="","",IF(E19&gt;=Settings!$B$9,Settings!$B$9&amp;" Day",IF(E19&gt;=Settings!$B$8,Settings!$B$8&amp;" Day","Due in "&amp;(Settings!$B$8-E19)&amp;" days")))</f>
        <v/>
      </c>
      <c r="G19" s="21" t="str">
        <f aca="false">IF(A19="","",Patients!H19)</f>
        <v/>
      </c>
      <c r="H19" s="1"/>
    </row>
    <row r="20" customFormat="false" ht="15" hidden="false" customHeight="false" outlineLevel="0" collapsed="false">
      <c r="A20" s="21" t="str">
        <f aca="false">IF(Patients!A20="","",IF(COUNTIF('Injection Sales'!$B$2:$B$501,Patients!A20)=0,"",Patients!A20))</f>
        <v/>
      </c>
      <c r="B20" s="24" t="str">
        <f aca="false">IF(A20="","",Patients!B20&amp;"")</f>
        <v/>
      </c>
      <c r="C20" s="21" t="str">
        <f aca="false">IF(A20="","",Patients!G20)</f>
        <v/>
      </c>
      <c r="D20" s="18" t="str">
        <f aca="false">IF(A20="","",_xlfn.MAXIFS('Injection Sales'!$A$2:$A$501,'Injection Sales'!$B$2:$B$501,A20))</f>
        <v/>
      </c>
      <c r="E20" s="19" t="str">
        <f aca="true">IF(A20="","",TODAY()-D20)</f>
        <v/>
      </c>
      <c r="F20" s="21" t="str">
        <f aca="false">IF(A20="","",IF(E20&gt;=Settings!$B$9,Settings!$B$9&amp;" Day",IF(E20&gt;=Settings!$B$8,Settings!$B$8&amp;" Day","Due in "&amp;(Settings!$B$8-E20)&amp;" days")))</f>
        <v/>
      </c>
      <c r="G20" s="21" t="str">
        <f aca="false">IF(A20="","",Patients!H20)</f>
        <v/>
      </c>
      <c r="H20" s="1"/>
    </row>
    <row r="21" customFormat="false" ht="15" hidden="false" customHeight="false" outlineLevel="0" collapsed="false">
      <c r="A21" s="21" t="str">
        <f aca="false">IF(Patients!A21="","",IF(COUNTIF('Injection Sales'!$B$2:$B$501,Patients!A21)=0,"",Patients!A21))</f>
        <v/>
      </c>
      <c r="B21" s="24" t="str">
        <f aca="false">IF(A21="","",Patients!B21&amp;"")</f>
        <v/>
      </c>
      <c r="C21" s="21" t="str">
        <f aca="false">IF(A21="","",Patients!G21)</f>
        <v/>
      </c>
      <c r="D21" s="18" t="str">
        <f aca="false">IF(A21="","",_xlfn.MAXIFS('Injection Sales'!$A$2:$A$501,'Injection Sales'!$B$2:$B$501,A21))</f>
        <v/>
      </c>
      <c r="E21" s="19" t="str">
        <f aca="true">IF(A21="","",TODAY()-D21)</f>
        <v/>
      </c>
      <c r="F21" s="21" t="str">
        <f aca="false">IF(A21="","",IF(E21&gt;=Settings!$B$9,Settings!$B$9&amp;" Day",IF(E21&gt;=Settings!$B$8,Settings!$B$8&amp;" Day","Due in "&amp;(Settings!$B$8-E21)&amp;" days")))</f>
        <v/>
      </c>
      <c r="G21" s="21" t="str">
        <f aca="false">IF(A21="","",Patients!H21)</f>
        <v/>
      </c>
      <c r="H21" s="1"/>
    </row>
    <row r="22" customFormat="false" ht="15" hidden="false" customHeight="false" outlineLevel="0" collapsed="false">
      <c r="A22" s="21" t="str">
        <f aca="false">IF(Patients!A22="","",IF(COUNTIF('Injection Sales'!$B$2:$B$501,Patients!A22)=0,"",Patients!A22))</f>
        <v/>
      </c>
      <c r="B22" s="24" t="str">
        <f aca="false">IF(A22="","",Patients!B22&amp;"")</f>
        <v/>
      </c>
      <c r="C22" s="21" t="str">
        <f aca="false">IF(A22="","",Patients!G22)</f>
        <v/>
      </c>
      <c r="D22" s="18" t="str">
        <f aca="false">IF(A22="","",_xlfn.MAXIFS('Injection Sales'!$A$2:$A$501,'Injection Sales'!$B$2:$B$501,A22))</f>
        <v/>
      </c>
      <c r="E22" s="19" t="str">
        <f aca="true">IF(A22="","",TODAY()-D22)</f>
        <v/>
      </c>
      <c r="F22" s="21" t="str">
        <f aca="false">IF(A22="","",IF(E22&gt;=Settings!$B$9,Settings!$B$9&amp;" Day",IF(E22&gt;=Settings!$B$8,Settings!$B$8&amp;" Day","Due in "&amp;(Settings!$B$8-E22)&amp;" days")))</f>
        <v/>
      </c>
      <c r="G22" s="21" t="str">
        <f aca="false">IF(A22="","",Patients!H22)</f>
        <v/>
      </c>
      <c r="H22" s="1"/>
    </row>
    <row r="23" customFormat="false" ht="15" hidden="false" customHeight="false" outlineLevel="0" collapsed="false">
      <c r="A23" s="21" t="str">
        <f aca="false">IF(Patients!A23="","",IF(COUNTIF('Injection Sales'!$B$2:$B$501,Patients!A23)=0,"",Patients!A23))</f>
        <v/>
      </c>
      <c r="B23" s="24" t="str">
        <f aca="false">IF(A23="","",Patients!B23&amp;"")</f>
        <v/>
      </c>
      <c r="C23" s="21" t="str">
        <f aca="false">IF(A23="","",Patients!G23)</f>
        <v/>
      </c>
      <c r="D23" s="18" t="str">
        <f aca="false">IF(A23="","",_xlfn.MAXIFS('Injection Sales'!$A$2:$A$501,'Injection Sales'!$B$2:$B$501,A23))</f>
        <v/>
      </c>
      <c r="E23" s="19" t="str">
        <f aca="true">IF(A23="","",TODAY()-D23)</f>
        <v/>
      </c>
      <c r="F23" s="21" t="str">
        <f aca="false">IF(A23="","",IF(E23&gt;=Settings!$B$9,Settings!$B$9&amp;" Day",IF(E23&gt;=Settings!$B$8,Settings!$B$8&amp;" Day","Due in "&amp;(Settings!$B$8-E23)&amp;" days")))</f>
        <v/>
      </c>
      <c r="G23" s="21" t="str">
        <f aca="false">IF(A23="","",Patients!H23)</f>
        <v/>
      </c>
      <c r="H23" s="1"/>
    </row>
    <row r="24" customFormat="false" ht="15" hidden="false" customHeight="false" outlineLevel="0" collapsed="false">
      <c r="A24" s="21" t="str">
        <f aca="false">IF(Patients!A24="","",IF(COUNTIF('Injection Sales'!$B$2:$B$501,Patients!A24)=0,"",Patients!A24))</f>
        <v/>
      </c>
      <c r="B24" s="24" t="str">
        <f aca="false">IF(A24="","",Patients!B24&amp;"")</f>
        <v/>
      </c>
      <c r="C24" s="21" t="str">
        <f aca="false">IF(A24="","",Patients!G24)</f>
        <v/>
      </c>
      <c r="D24" s="18" t="str">
        <f aca="false">IF(A24="","",_xlfn.MAXIFS('Injection Sales'!$A$2:$A$501,'Injection Sales'!$B$2:$B$501,A24))</f>
        <v/>
      </c>
      <c r="E24" s="19" t="str">
        <f aca="true">IF(A24="","",TODAY()-D24)</f>
        <v/>
      </c>
      <c r="F24" s="21" t="str">
        <f aca="false">IF(A24="","",IF(E24&gt;=Settings!$B$9,Settings!$B$9&amp;" Day",IF(E24&gt;=Settings!$B$8,Settings!$B$8&amp;" Day","Due in "&amp;(Settings!$B$8-E24)&amp;" days")))</f>
        <v/>
      </c>
      <c r="G24" s="21" t="str">
        <f aca="false">IF(A24="","",Patients!H24)</f>
        <v/>
      </c>
      <c r="H24" s="1"/>
    </row>
    <row r="25" customFormat="false" ht="15" hidden="false" customHeight="false" outlineLevel="0" collapsed="false">
      <c r="A25" s="21" t="str">
        <f aca="false">IF(Patients!A25="","",IF(COUNTIF('Injection Sales'!$B$2:$B$501,Patients!A25)=0,"",Patients!A25))</f>
        <v/>
      </c>
      <c r="B25" s="24" t="str">
        <f aca="false">IF(A25="","",Patients!B25&amp;"")</f>
        <v/>
      </c>
      <c r="C25" s="21" t="str">
        <f aca="false">IF(A25="","",Patients!G25)</f>
        <v/>
      </c>
      <c r="D25" s="18" t="str">
        <f aca="false">IF(A25="","",_xlfn.MAXIFS('Injection Sales'!$A$2:$A$501,'Injection Sales'!$B$2:$B$501,A25))</f>
        <v/>
      </c>
      <c r="E25" s="19" t="str">
        <f aca="true">IF(A25="","",TODAY()-D25)</f>
        <v/>
      </c>
      <c r="F25" s="21" t="str">
        <f aca="false">IF(A25="","",IF(E25&gt;=Settings!$B$9,Settings!$B$9&amp;" Day",IF(E25&gt;=Settings!$B$8,Settings!$B$8&amp;" Day","Due in "&amp;(Settings!$B$8-E25)&amp;" days")))</f>
        <v/>
      </c>
      <c r="G25" s="21" t="str">
        <f aca="false">IF(A25="","",Patients!H25)</f>
        <v/>
      </c>
      <c r="H25" s="1"/>
    </row>
    <row r="26" customFormat="false" ht="15" hidden="false" customHeight="false" outlineLevel="0" collapsed="false">
      <c r="A26" s="21" t="str">
        <f aca="false">IF(Patients!A26="","",IF(COUNTIF('Injection Sales'!$B$2:$B$501,Patients!A26)=0,"",Patients!A26))</f>
        <v/>
      </c>
      <c r="B26" s="24" t="str">
        <f aca="false">IF(A26="","",Patients!B26&amp;"")</f>
        <v/>
      </c>
      <c r="C26" s="21" t="str">
        <f aca="false">IF(A26="","",Patients!G26)</f>
        <v/>
      </c>
      <c r="D26" s="18" t="str">
        <f aca="false">IF(A26="","",_xlfn.MAXIFS('Injection Sales'!$A$2:$A$501,'Injection Sales'!$B$2:$B$501,A26))</f>
        <v/>
      </c>
      <c r="E26" s="19" t="str">
        <f aca="true">IF(A26="","",TODAY()-D26)</f>
        <v/>
      </c>
      <c r="F26" s="21" t="str">
        <f aca="false">IF(A26="","",IF(E26&gt;=Settings!$B$9,Settings!$B$9&amp;" Day",IF(E26&gt;=Settings!$B$8,Settings!$B$8&amp;" Day","Due in "&amp;(Settings!$B$8-E26)&amp;" days")))</f>
        <v/>
      </c>
      <c r="G26" s="21" t="str">
        <f aca="false">IF(A26="","",Patients!H26)</f>
        <v/>
      </c>
      <c r="H26" s="1"/>
    </row>
    <row r="27" customFormat="false" ht="15" hidden="false" customHeight="false" outlineLevel="0" collapsed="false">
      <c r="A27" s="21" t="str">
        <f aca="false">IF(Patients!A27="","",IF(COUNTIF('Injection Sales'!$B$2:$B$501,Patients!A27)=0,"",Patients!A27))</f>
        <v/>
      </c>
      <c r="B27" s="24" t="str">
        <f aca="false">IF(A27="","",Patients!B27&amp;"")</f>
        <v/>
      </c>
      <c r="C27" s="21" t="str">
        <f aca="false">IF(A27="","",Patients!G27)</f>
        <v/>
      </c>
      <c r="D27" s="18" t="str">
        <f aca="false">IF(A27="","",_xlfn.MAXIFS('Injection Sales'!$A$2:$A$501,'Injection Sales'!$B$2:$B$501,A27))</f>
        <v/>
      </c>
      <c r="E27" s="19" t="str">
        <f aca="true">IF(A27="","",TODAY()-D27)</f>
        <v/>
      </c>
      <c r="F27" s="21" t="str">
        <f aca="false">IF(A27="","",IF(E27&gt;=Settings!$B$9,Settings!$B$9&amp;" Day",IF(E27&gt;=Settings!$B$8,Settings!$B$8&amp;" Day","Due in "&amp;(Settings!$B$8-E27)&amp;" days")))</f>
        <v/>
      </c>
      <c r="G27" s="21" t="str">
        <f aca="false">IF(A27="","",Patients!H27)</f>
        <v/>
      </c>
      <c r="H27" s="1"/>
    </row>
    <row r="28" customFormat="false" ht="15" hidden="false" customHeight="false" outlineLevel="0" collapsed="false">
      <c r="A28" s="21" t="str">
        <f aca="false">IF(Patients!A28="","",IF(COUNTIF('Injection Sales'!$B$2:$B$501,Patients!A28)=0,"",Patients!A28))</f>
        <v/>
      </c>
      <c r="B28" s="24" t="str">
        <f aca="false">IF(A28="","",Patients!B28&amp;"")</f>
        <v/>
      </c>
      <c r="C28" s="21" t="str">
        <f aca="false">IF(A28="","",Patients!G28)</f>
        <v/>
      </c>
      <c r="D28" s="18" t="str">
        <f aca="false">IF(A28="","",_xlfn.MAXIFS('Injection Sales'!$A$2:$A$501,'Injection Sales'!$B$2:$B$501,A28))</f>
        <v/>
      </c>
      <c r="E28" s="19" t="str">
        <f aca="true">IF(A28="","",TODAY()-D28)</f>
        <v/>
      </c>
      <c r="F28" s="21" t="str">
        <f aca="false">IF(A28="","",IF(E28&gt;=Settings!$B$9,Settings!$B$9&amp;" Day",IF(E28&gt;=Settings!$B$8,Settings!$B$8&amp;" Day","Due in "&amp;(Settings!$B$8-E28)&amp;" days")))</f>
        <v/>
      </c>
      <c r="G28" s="21" t="str">
        <f aca="false">IF(A28="","",Patients!H28)</f>
        <v/>
      </c>
      <c r="H28" s="1"/>
    </row>
    <row r="29" customFormat="false" ht="15" hidden="false" customHeight="false" outlineLevel="0" collapsed="false">
      <c r="A29" s="21" t="str">
        <f aca="false">IF(Patients!A29="","",IF(COUNTIF('Injection Sales'!$B$2:$B$501,Patients!A29)=0,"",Patients!A29))</f>
        <v/>
      </c>
      <c r="B29" s="24" t="str">
        <f aca="false">IF(A29="","",Patients!B29&amp;"")</f>
        <v/>
      </c>
      <c r="C29" s="21" t="str">
        <f aca="false">IF(A29="","",Patients!G29)</f>
        <v/>
      </c>
      <c r="D29" s="18" t="str">
        <f aca="false">IF(A29="","",_xlfn.MAXIFS('Injection Sales'!$A$2:$A$501,'Injection Sales'!$B$2:$B$501,A29))</f>
        <v/>
      </c>
      <c r="E29" s="19" t="str">
        <f aca="true">IF(A29="","",TODAY()-D29)</f>
        <v/>
      </c>
      <c r="F29" s="21" t="str">
        <f aca="false">IF(A29="","",IF(E29&gt;=Settings!$B$9,Settings!$B$9&amp;" Day",IF(E29&gt;=Settings!$B$8,Settings!$B$8&amp;" Day","Due in "&amp;(Settings!$B$8-E29)&amp;" days")))</f>
        <v/>
      </c>
      <c r="G29" s="21" t="str">
        <f aca="false">IF(A29="","",Patients!H29)</f>
        <v/>
      </c>
      <c r="H29" s="1"/>
    </row>
    <row r="30" customFormat="false" ht="15" hidden="false" customHeight="false" outlineLevel="0" collapsed="false">
      <c r="A30" s="21" t="str">
        <f aca="false">IF(Patients!A30="","",IF(COUNTIF('Injection Sales'!$B$2:$B$501,Patients!A30)=0,"",Patients!A30))</f>
        <v/>
      </c>
      <c r="B30" s="24" t="str">
        <f aca="false">IF(A30="","",Patients!B30&amp;"")</f>
        <v/>
      </c>
      <c r="C30" s="21" t="str">
        <f aca="false">IF(A30="","",Patients!G30)</f>
        <v/>
      </c>
      <c r="D30" s="18" t="str">
        <f aca="false">IF(A30="","",_xlfn.MAXIFS('Injection Sales'!$A$2:$A$501,'Injection Sales'!$B$2:$B$501,A30))</f>
        <v/>
      </c>
      <c r="E30" s="19" t="str">
        <f aca="true">IF(A30="","",TODAY()-D30)</f>
        <v/>
      </c>
      <c r="F30" s="21" t="str">
        <f aca="false">IF(A30="","",IF(E30&gt;=Settings!$B$9,Settings!$B$9&amp;" Day",IF(E30&gt;=Settings!$B$8,Settings!$B$8&amp;" Day","Due in "&amp;(Settings!$B$8-E30)&amp;" days")))</f>
        <v/>
      </c>
      <c r="G30" s="21" t="str">
        <f aca="false">IF(A30="","",Patients!H30)</f>
        <v/>
      </c>
      <c r="H30" s="1"/>
    </row>
    <row r="31" customFormat="false" ht="15" hidden="false" customHeight="false" outlineLevel="0" collapsed="false">
      <c r="A31" s="21" t="str">
        <f aca="false">IF(Patients!A31="","",IF(COUNTIF('Injection Sales'!$B$2:$B$501,Patients!A31)=0,"",Patients!A31))</f>
        <v/>
      </c>
      <c r="B31" s="24" t="str">
        <f aca="false">IF(A31="","",Patients!B31&amp;"")</f>
        <v/>
      </c>
      <c r="C31" s="21" t="str">
        <f aca="false">IF(A31="","",Patients!G31)</f>
        <v/>
      </c>
      <c r="D31" s="18" t="str">
        <f aca="false">IF(A31="","",_xlfn.MAXIFS('Injection Sales'!$A$2:$A$501,'Injection Sales'!$B$2:$B$501,A31))</f>
        <v/>
      </c>
      <c r="E31" s="19" t="str">
        <f aca="true">IF(A31="","",TODAY()-D31)</f>
        <v/>
      </c>
      <c r="F31" s="21" t="str">
        <f aca="false">IF(A31="","",IF(E31&gt;=Settings!$B$9,Settings!$B$9&amp;" Day",IF(E31&gt;=Settings!$B$8,Settings!$B$8&amp;" Day","Due in "&amp;(Settings!$B$8-E31)&amp;" days")))</f>
        <v/>
      </c>
      <c r="G31" s="21" t="str">
        <f aca="false">IF(A31="","",Patients!H31)</f>
        <v/>
      </c>
      <c r="H31" s="1"/>
    </row>
    <row r="32" customFormat="false" ht="15" hidden="false" customHeight="false" outlineLevel="0" collapsed="false">
      <c r="A32" s="21" t="str">
        <f aca="false">IF(Patients!A32="","",IF(COUNTIF('Injection Sales'!$B$2:$B$501,Patients!A32)=0,"",Patients!A32))</f>
        <v/>
      </c>
      <c r="B32" s="24" t="str">
        <f aca="false">IF(A32="","",Patients!B32&amp;"")</f>
        <v/>
      </c>
      <c r="C32" s="21" t="str">
        <f aca="false">IF(A32="","",Patients!G32)</f>
        <v/>
      </c>
      <c r="D32" s="18" t="str">
        <f aca="false">IF(A32="","",_xlfn.MAXIFS('Injection Sales'!$A$2:$A$501,'Injection Sales'!$B$2:$B$501,A32))</f>
        <v/>
      </c>
      <c r="E32" s="19" t="str">
        <f aca="true">IF(A32="","",TODAY()-D32)</f>
        <v/>
      </c>
      <c r="F32" s="21" t="str">
        <f aca="false">IF(A32="","",IF(E32&gt;=Settings!$B$9,Settings!$B$9&amp;" Day",IF(E32&gt;=Settings!$B$8,Settings!$B$8&amp;" Day","Due in "&amp;(Settings!$B$8-E32)&amp;" days")))</f>
        <v/>
      </c>
      <c r="G32" s="21" t="str">
        <f aca="false">IF(A32="","",Patients!H32)</f>
        <v/>
      </c>
      <c r="H32" s="1"/>
    </row>
    <row r="33" customFormat="false" ht="15" hidden="false" customHeight="false" outlineLevel="0" collapsed="false">
      <c r="A33" s="21" t="str">
        <f aca="false">IF(Patients!A33="","",IF(COUNTIF('Injection Sales'!$B$2:$B$501,Patients!A33)=0,"",Patients!A33))</f>
        <v/>
      </c>
      <c r="B33" s="24" t="str">
        <f aca="false">IF(A33="","",Patients!B33&amp;"")</f>
        <v/>
      </c>
      <c r="C33" s="21" t="str">
        <f aca="false">IF(A33="","",Patients!G33)</f>
        <v/>
      </c>
      <c r="D33" s="18" t="str">
        <f aca="false">IF(A33="","",_xlfn.MAXIFS('Injection Sales'!$A$2:$A$501,'Injection Sales'!$B$2:$B$501,A33))</f>
        <v/>
      </c>
      <c r="E33" s="19" t="str">
        <f aca="true">IF(A33="","",TODAY()-D33)</f>
        <v/>
      </c>
      <c r="F33" s="21" t="str">
        <f aca="false">IF(A33="","",IF(E33&gt;=Settings!$B$9,Settings!$B$9&amp;" Day",IF(E33&gt;=Settings!$B$8,Settings!$B$8&amp;" Day","Due in "&amp;(Settings!$B$8-E33)&amp;" days")))</f>
        <v/>
      </c>
      <c r="G33" s="21" t="str">
        <f aca="false">IF(A33="","",Patients!H33)</f>
        <v/>
      </c>
      <c r="H33" s="1"/>
    </row>
    <row r="34" customFormat="false" ht="15" hidden="false" customHeight="false" outlineLevel="0" collapsed="false">
      <c r="A34" s="21" t="str">
        <f aca="false">IF(Patients!A34="","",IF(COUNTIF('Injection Sales'!$B$2:$B$501,Patients!A34)=0,"",Patients!A34))</f>
        <v/>
      </c>
      <c r="B34" s="24" t="str">
        <f aca="false">IF(A34="","",Patients!B34&amp;"")</f>
        <v/>
      </c>
      <c r="C34" s="21" t="str">
        <f aca="false">IF(A34="","",Patients!G34)</f>
        <v/>
      </c>
      <c r="D34" s="18" t="str">
        <f aca="false">IF(A34="","",_xlfn.MAXIFS('Injection Sales'!$A$2:$A$501,'Injection Sales'!$B$2:$B$501,A34))</f>
        <v/>
      </c>
      <c r="E34" s="19" t="str">
        <f aca="true">IF(A34="","",TODAY()-D34)</f>
        <v/>
      </c>
      <c r="F34" s="21" t="str">
        <f aca="false">IF(A34="","",IF(E34&gt;=Settings!$B$9,Settings!$B$9&amp;" Day",IF(E34&gt;=Settings!$B$8,Settings!$B$8&amp;" Day","Due in "&amp;(Settings!$B$8-E34)&amp;" days")))</f>
        <v/>
      </c>
      <c r="G34" s="21" t="str">
        <f aca="false">IF(A34="","",Patients!H34)</f>
        <v/>
      </c>
      <c r="H34" s="1"/>
    </row>
    <row r="35" customFormat="false" ht="15" hidden="false" customHeight="false" outlineLevel="0" collapsed="false">
      <c r="A35" s="21" t="str">
        <f aca="false">IF(Patients!A35="","",IF(COUNTIF('Injection Sales'!$B$2:$B$501,Patients!A35)=0,"",Patients!A35))</f>
        <v/>
      </c>
      <c r="B35" s="24" t="str">
        <f aca="false">IF(A35="","",Patients!B35&amp;"")</f>
        <v/>
      </c>
      <c r="C35" s="21" t="str">
        <f aca="false">IF(A35="","",Patients!G35)</f>
        <v/>
      </c>
      <c r="D35" s="18" t="str">
        <f aca="false">IF(A35="","",_xlfn.MAXIFS('Injection Sales'!$A$2:$A$501,'Injection Sales'!$B$2:$B$501,A35))</f>
        <v/>
      </c>
      <c r="E35" s="19" t="str">
        <f aca="true">IF(A35="","",TODAY()-D35)</f>
        <v/>
      </c>
      <c r="F35" s="21" t="str">
        <f aca="false">IF(A35="","",IF(E35&gt;=Settings!$B$9,Settings!$B$9&amp;" Day",IF(E35&gt;=Settings!$B$8,Settings!$B$8&amp;" Day","Due in "&amp;(Settings!$B$8-E35)&amp;" days")))</f>
        <v/>
      </c>
      <c r="G35" s="21" t="str">
        <f aca="false">IF(A35="","",Patients!H35)</f>
        <v/>
      </c>
      <c r="H35" s="1"/>
    </row>
    <row r="36" customFormat="false" ht="15" hidden="false" customHeight="false" outlineLevel="0" collapsed="false">
      <c r="A36" s="21" t="str">
        <f aca="false">IF(Patients!A36="","",IF(COUNTIF('Injection Sales'!$B$2:$B$501,Patients!A36)=0,"",Patients!A36))</f>
        <v/>
      </c>
      <c r="B36" s="24" t="str">
        <f aca="false">IF(A36="","",Patients!B36&amp;"")</f>
        <v/>
      </c>
      <c r="C36" s="21" t="str">
        <f aca="false">IF(A36="","",Patients!G36)</f>
        <v/>
      </c>
      <c r="D36" s="18" t="str">
        <f aca="false">IF(A36="","",_xlfn.MAXIFS('Injection Sales'!$A$2:$A$501,'Injection Sales'!$B$2:$B$501,A36))</f>
        <v/>
      </c>
      <c r="E36" s="19" t="str">
        <f aca="true">IF(A36="","",TODAY()-D36)</f>
        <v/>
      </c>
      <c r="F36" s="21" t="str">
        <f aca="false">IF(A36="","",IF(E36&gt;=Settings!$B$9,Settings!$B$9&amp;" Day",IF(E36&gt;=Settings!$B$8,Settings!$B$8&amp;" Day","Due in "&amp;(Settings!$B$8-E36)&amp;" days")))</f>
        <v/>
      </c>
      <c r="G36" s="21" t="str">
        <f aca="false">IF(A36="","",Patients!H36)</f>
        <v/>
      </c>
      <c r="H36" s="1"/>
    </row>
    <row r="37" customFormat="false" ht="15" hidden="false" customHeight="false" outlineLevel="0" collapsed="false">
      <c r="A37" s="21" t="str">
        <f aca="false">IF(Patients!A37="","",IF(COUNTIF('Injection Sales'!$B$2:$B$501,Patients!A37)=0,"",Patients!A37))</f>
        <v/>
      </c>
      <c r="B37" s="24" t="str">
        <f aca="false">IF(A37="","",Patients!B37&amp;"")</f>
        <v/>
      </c>
      <c r="C37" s="21" t="str">
        <f aca="false">IF(A37="","",Patients!G37)</f>
        <v/>
      </c>
      <c r="D37" s="18" t="str">
        <f aca="false">IF(A37="","",_xlfn.MAXIFS('Injection Sales'!$A$2:$A$501,'Injection Sales'!$B$2:$B$501,A37))</f>
        <v/>
      </c>
      <c r="E37" s="19" t="str">
        <f aca="true">IF(A37="","",TODAY()-D37)</f>
        <v/>
      </c>
      <c r="F37" s="21" t="str">
        <f aca="false">IF(A37="","",IF(E37&gt;=Settings!$B$9,Settings!$B$9&amp;" Day",IF(E37&gt;=Settings!$B$8,Settings!$B$8&amp;" Day","Due in "&amp;(Settings!$B$8-E37)&amp;" days")))</f>
        <v/>
      </c>
      <c r="G37" s="21" t="str">
        <f aca="false">IF(A37="","",Patients!H37)</f>
        <v/>
      </c>
      <c r="H37" s="1"/>
    </row>
    <row r="38" customFormat="false" ht="15" hidden="false" customHeight="false" outlineLevel="0" collapsed="false">
      <c r="A38" s="21" t="str">
        <f aca="false">IF(Patients!A38="","",IF(COUNTIF('Injection Sales'!$B$2:$B$501,Patients!A38)=0,"",Patients!A38))</f>
        <v/>
      </c>
      <c r="B38" s="24" t="str">
        <f aca="false">IF(A38="","",Patients!B38&amp;"")</f>
        <v/>
      </c>
      <c r="C38" s="21" t="str">
        <f aca="false">IF(A38="","",Patients!G38)</f>
        <v/>
      </c>
      <c r="D38" s="18" t="str">
        <f aca="false">IF(A38="","",_xlfn.MAXIFS('Injection Sales'!$A$2:$A$501,'Injection Sales'!$B$2:$B$501,A38))</f>
        <v/>
      </c>
      <c r="E38" s="19" t="str">
        <f aca="true">IF(A38="","",TODAY()-D38)</f>
        <v/>
      </c>
      <c r="F38" s="21" t="str">
        <f aca="false">IF(A38="","",IF(E38&gt;=Settings!$B$9,Settings!$B$9&amp;" Day",IF(E38&gt;=Settings!$B$8,Settings!$B$8&amp;" Day","Due in "&amp;(Settings!$B$8-E38)&amp;" days")))</f>
        <v/>
      </c>
      <c r="G38" s="21" t="str">
        <f aca="false">IF(A38="","",Patients!H38)</f>
        <v/>
      </c>
      <c r="H38" s="1"/>
    </row>
    <row r="39" customFormat="false" ht="15" hidden="false" customHeight="false" outlineLevel="0" collapsed="false">
      <c r="A39" s="21" t="str">
        <f aca="false">IF(Patients!A39="","",IF(COUNTIF('Injection Sales'!$B$2:$B$501,Patients!A39)=0,"",Patients!A39))</f>
        <v/>
      </c>
      <c r="B39" s="24" t="str">
        <f aca="false">IF(A39="","",Patients!B39&amp;"")</f>
        <v/>
      </c>
      <c r="C39" s="21" t="str">
        <f aca="false">IF(A39="","",Patients!G39)</f>
        <v/>
      </c>
      <c r="D39" s="18" t="str">
        <f aca="false">IF(A39="","",_xlfn.MAXIFS('Injection Sales'!$A$2:$A$501,'Injection Sales'!$B$2:$B$501,A39))</f>
        <v/>
      </c>
      <c r="E39" s="19" t="str">
        <f aca="true">IF(A39="","",TODAY()-D39)</f>
        <v/>
      </c>
      <c r="F39" s="21" t="str">
        <f aca="false">IF(A39="","",IF(E39&gt;=Settings!$B$9,Settings!$B$9&amp;" Day",IF(E39&gt;=Settings!$B$8,Settings!$B$8&amp;" Day","Due in "&amp;(Settings!$B$8-E39)&amp;" days")))</f>
        <v/>
      </c>
      <c r="G39" s="21" t="str">
        <f aca="false">IF(A39="","",Patients!H39)</f>
        <v/>
      </c>
      <c r="H39" s="1"/>
    </row>
    <row r="40" customFormat="false" ht="15" hidden="false" customHeight="false" outlineLevel="0" collapsed="false">
      <c r="A40" s="21" t="str">
        <f aca="false">IF(Patients!A40="","",IF(COUNTIF('Injection Sales'!$B$2:$B$501,Patients!A40)=0,"",Patients!A40))</f>
        <v/>
      </c>
      <c r="B40" s="24" t="str">
        <f aca="false">IF(A40="","",Patients!B40&amp;"")</f>
        <v/>
      </c>
      <c r="C40" s="21" t="str">
        <f aca="false">IF(A40="","",Patients!G40)</f>
        <v/>
      </c>
      <c r="D40" s="18" t="str">
        <f aca="false">IF(A40="","",_xlfn.MAXIFS('Injection Sales'!$A$2:$A$501,'Injection Sales'!$B$2:$B$501,A40))</f>
        <v/>
      </c>
      <c r="E40" s="19" t="str">
        <f aca="true">IF(A40="","",TODAY()-D40)</f>
        <v/>
      </c>
      <c r="F40" s="21" t="str">
        <f aca="false">IF(A40="","",IF(E40&gt;=Settings!$B$9,Settings!$B$9&amp;" Day",IF(E40&gt;=Settings!$B$8,Settings!$B$8&amp;" Day","Due in "&amp;(Settings!$B$8-E40)&amp;" days")))</f>
        <v/>
      </c>
      <c r="G40" s="21" t="str">
        <f aca="false">IF(A40="","",Patients!H40)</f>
        <v/>
      </c>
      <c r="H40" s="1"/>
    </row>
    <row r="41" customFormat="false" ht="15" hidden="false" customHeight="false" outlineLevel="0" collapsed="false">
      <c r="A41" s="21" t="str">
        <f aca="false">IF(Patients!A41="","",IF(COUNTIF('Injection Sales'!$B$2:$B$501,Patients!A41)=0,"",Patients!A41))</f>
        <v/>
      </c>
      <c r="B41" s="24" t="str">
        <f aca="false">IF(A41="","",Patients!B41&amp;"")</f>
        <v/>
      </c>
      <c r="C41" s="21" t="str">
        <f aca="false">IF(A41="","",Patients!G41)</f>
        <v/>
      </c>
      <c r="D41" s="18" t="str">
        <f aca="false">IF(A41="","",_xlfn.MAXIFS('Injection Sales'!$A$2:$A$501,'Injection Sales'!$B$2:$B$501,A41))</f>
        <v/>
      </c>
      <c r="E41" s="19" t="str">
        <f aca="true">IF(A41="","",TODAY()-D41)</f>
        <v/>
      </c>
      <c r="F41" s="21" t="str">
        <f aca="false">IF(A41="","",IF(E41&gt;=Settings!$B$9,Settings!$B$9&amp;" Day",IF(E41&gt;=Settings!$B$8,Settings!$B$8&amp;" Day","Due in "&amp;(Settings!$B$8-E41)&amp;" days")))</f>
        <v/>
      </c>
      <c r="G41" s="21" t="str">
        <f aca="false">IF(A41="","",Patients!H41)</f>
        <v/>
      </c>
      <c r="H41" s="1"/>
    </row>
    <row r="42" customFormat="false" ht="15" hidden="false" customHeight="false" outlineLevel="0" collapsed="false">
      <c r="A42" s="21" t="str">
        <f aca="false">IF(Patients!A42="","",IF(COUNTIF('Injection Sales'!$B$2:$B$501,Patients!A42)=0,"",Patients!A42))</f>
        <v/>
      </c>
      <c r="B42" s="24" t="str">
        <f aca="false">IF(A42="","",Patients!B42&amp;"")</f>
        <v/>
      </c>
      <c r="C42" s="21" t="str">
        <f aca="false">IF(A42="","",Patients!G42)</f>
        <v/>
      </c>
      <c r="D42" s="18" t="str">
        <f aca="false">IF(A42="","",_xlfn.MAXIFS('Injection Sales'!$A$2:$A$501,'Injection Sales'!$B$2:$B$501,A42))</f>
        <v/>
      </c>
      <c r="E42" s="19" t="str">
        <f aca="true">IF(A42="","",TODAY()-D42)</f>
        <v/>
      </c>
      <c r="F42" s="21" t="str">
        <f aca="false">IF(A42="","",IF(E42&gt;=Settings!$B$9,Settings!$B$9&amp;" Day",IF(E42&gt;=Settings!$B$8,Settings!$B$8&amp;" Day","Due in "&amp;(Settings!$B$8-E42)&amp;" days")))</f>
        <v/>
      </c>
      <c r="G42" s="21" t="str">
        <f aca="false">IF(A42="","",Patients!H42)</f>
        <v/>
      </c>
      <c r="H42" s="1"/>
    </row>
    <row r="43" customFormat="false" ht="15" hidden="false" customHeight="false" outlineLevel="0" collapsed="false">
      <c r="A43" s="21" t="str">
        <f aca="false">IF(Patients!A43="","",IF(COUNTIF('Injection Sales'!$B$2:$B$501,Patients!A43)=0,"",Patients!A43))</f>
        <v/>
      </c>
      <c r="B43" s="24" t="str">
        <f aca="false">IF(A43="","",Patients!B43&amp;"")</f>
        <v/>
      </c>
      <c r="C43" s="21" t="str">
        <f aca="false">IF(A43="","",Patients!G43)</f>
        <v/>
      </c>
      <c r="D43" s="18" t="str">
        <f aca="false">IF(A43="","",_xlfn.MAXIFS('Injection Sales'!$A$2:$A$501,'Injection Sales'!$B$2:$B$501,A43))</f>
        <v/>
      </c>
      <c r="E43" s="19" t="str">
        <f aca="true">IF(A43="","",TODAY()-D43)</f>
        <v/>
      </c>
      <c r="F43" s="21" t="str">
        <f aca="false">IF(A43="","",IF(E43&gt;=Settings!$B$9,Settings!$B$9&amp;" Day",IF(E43&gt;=Settings!$B$8,Settings!$B$8&amp;" Day","Due in "&amp;(Settings!$B$8-E43)&amp;" days")))</f>
        <v/>
      </c>
      <c r="G43" s="21" t="str">
        <f aca="false">IF(A43="","",Patients!H43)</f>
        <v/>
      </c>
      <c r="H43" s="1"/>
    </row>
    <row r="44" customFormat="false" ht="15" hidden="false" customHeight="false" outlineLevel="0" collapsed="false">
      <c r="A44" s="21" t="str">
        <f aca="false">IF(Patients!A44="","",IF(COUNTIF('Injection Sales'!$B$2:$B$501,Patients!A44)=0,"",Patients!A44))</f>
        <v/>
      </c>
      <c r="B44" s="24" t="str">
        <f aca="false">IF(A44="","",Patients!B44&amp;"")</f>
        <v/>
      </c>
      <c r="C44" s="21" t="str">
        <f aca="false">IF(A44="","",Patients!G44)</f>
        <v/>
      </c>
      <c r="D44" s="18" t="str">
        <f aca="false">IF(A44="","",_xlfn.MAXIFS('Injection Sales'!$A$2:$A$501,'Injection Sales'!$B$2:$B$501,A44))</f>
        <v/>
      </c>
      <c r="E44" s="19" t="str">
        <f aca="true">IF(A44="","",TODAY()-D44)</f>
        <v/>
      </c>
      <c r="F44" s="21" t="str">
        <f aca="false">IF(A44="","",IF(E44&gt;=Settings!$B$9,Settings!$B$9&amp;" Day",IF(E44&gt;=Settings!$B$8,Settings!$B$8&amp;" Day","Due in "&amp;(Settings!$B$8-E44)&amp;" days")))</f>
        <v/>
      </c>
      <c r="G44" s="21" t="str">
        <f aca="false">IF(A44="","",Patients!H44)</f>
        <v/>
      </c>
      <c r="H44" s="1"/>
    </row>
    <row r="45" customFormat="false" ht="15" hidden="false" customHeight="false" outlineLevel="0" collapsed="false">
      <c r="A45" s="21" t="str">
        <f aca="false">IF(Patients!A45="","",IF(COUNTIF('Injection Sales'!$B$2:$B$501,Patients!A45)=0,"",Patients!A45))</f>
        <v/>
      </c>
      <c r="B45" s="24" t="str">
        <f aca="false">IF(A45="","",Patients!B45&amp;"")</f>
        <v/>
      </c>
      <c r="C45" s="21" t="str">
        <f aca="false">IF(A45="","",Patients!G45)</f>
        <v/>
      </c>
      <c r="D45" s="18" t="str">
        <f aca="false">IF(A45="","",_xlfn.MAXIFS('Injection Sales'!$A$2:$A$501,'Injection Sales'!$B$2:$B$501,A45))</f>
        <v/>
      </c>
      <c r="E45" s="19" t="str">
        <f aca="true">IF(A45="","",TODAY()-D45)</f>
        <v/>
      </c>
      <c r="F45" s="21" t="str">
        <f aca="false">IF(A45="","",IF(E45&gt;=Settings!$B$9,Settings!$B$9&amp;" Day",IF(E45&gt;=Settings!$B$8,Settings!$B$8&amp;" Day","Due in "&amp;(Settings!$B$8-E45)&amp;" days")))</f>
        <v/>
      </c>
      <c r="G45" s="21" t="str">
        <f aca="false">IF(A45="","",Patients!H45)</f>
        <v/>
      </c>
      <c r="H45" s="1"/>
    </row>
    <row r="46" customFormat="false" ht="15" hidden="false" customHeight="false" outlineLevel="0" collapsed="false">
      <c r="A46" s="21" t="str">
        <f aca="false">IF(Patients!A46="","",IF(COUNTIF('Injection Sales'!$B$2:$B$501,Patients!A46)=0,"",Patients!A46))</f>
        <v/>
      </c>
      <c r="B46" s="24" t="str">
        <f aca="false">IF(A46="","",Patients!B46&amp;"")</f>
        <v/>
      </c>
      <c r="C46" s="21" t="str">
        <f aca="false">IF(A46="","",Patients!G46)</f>
        <v/>
      </c>
      <c r="D46" s="18" t="str">
        <f aca="false">IF(A46="","",_xlfn.MAXIFS('Injection Sales'!$A$2:$A$501,'Injection Sales'!$B$2:$B$501,A46))</f>
        <v/>
      </c>
      <c r="E46" s="19" t="str">
        <f aca="true">IF(A46="","",TODAY()-D46)</f>
        <v/>
      </c>
      <c r="F46" s="21" t="str">
        <f aca="false">IF(A46="","",IF(E46&gt;=Settings!$B$9,Settings!$B$9&amp;" Day",IF(E46&gt;=Settings!$B$8,Settings!$B$8&amp;" Day","Due in "&amp;(Settings!$B$8-E46)&amp;" days")))</f>
        <v/>
      </c>
      <c r="G46" s="21" t="str">
        <f aca="false">IF(A46="","",Patients!H46)</f>
        <v/>
      </c>
      <c r="H46" s="1"/>
    </row>
    <row r="47" customFormat="false" ht="15" hidden="false" customHeight="false" outlineLevel="0" collapsed="false">
      <c r="A47" s="21" t="str">
        <f aca="false">IF(Patients!A47="","",IF(COUNTIF('Injection Sales'!$B$2:$B$501,Patients!A47)=0,"",Patients!A47))</f>
        <v/>
      </c>
      <c r="B47" s="24" t="str">
        <f aca="false">IF(A47="","",Patients!B47&amp;"")</f>
        <v/>
      </c>
      <c r="C47" s="21" t="str">
        <f aca="false">IF(A47="","",Patients!G47)</f>
        <v/>
      </c>
      <c r="D47" s="18" t="str">
        <f aca="false">IF(A47="","",_xlfn.MAXIFS('Injection Sales'!$A$2:$A$501,'Injection Sales'!$B$2:$B$501,A47))</f>
        <v/>
      </c>
      <c r="E47" s="19" t="str">
        <f aca="true">IF(A47="","",TODAY()-D47)</f>
        <v/>
      </c>
      <c r="F47" s="21" t="str">
        <f aca="false">IF(A47="","",IF(E47&gt;=Settings!$B$9,Settings!$B$9&amp;" Day",IF(E47&gt;=Settings!$B$8,Settings!$B$8&amp;" Day","Due in "&amp;(Settings!$B$8-E47)&amp;" days")))</f>
        <v/>
      </c>
      <c r="G47" s="21" t="str">
        <f aca="false">IF(A47="","",Patients!H47)</f>
        <v/>
      </c>
      <c r="H47" s="1"/>
    </row>
    <row r="48" customFormat="false" ht="15" hidden="false" customHeight="false" outlineLevel="0" collapsed="false">
      <c r="A48" s="21" t="str">
        <f aca="false">IF(Patients!A48="","",IF(COUNTIF('Injection Sales'!$B$2:$B$501,Patients!A48)=0,"",Patients!A48))</f>
        <v/>
      </c>
      <c r="B48" s="24" t="str">
        <f aca="false">IF(A48="","",Patients!B48&amp;"")</f>
        <v/>
      </c>
      <c r="C48" s="21" t="str">
        <f aca="false">IF(A48="","",Patients!G48)</f>
        <v/>
      </c>
      <c r="D48" s="18" t="str">
        <f aca="false">IF(A48="","",_xlfn.MAXIFS('Injection Sales'!$A$2:$A$501,'Injection Sales'!$B$2:$B$501,A48))</f>
        <v/>
      </c>
      <c r="E48" s="19" t="str">
        <f aca="true">IF(A48="","",TODAY()-D48)</f>
        <v/>
      </c>
      <c r="F48" s="21" t="str">
        <f aca="false">IF(A48="","",IF(E48&gt;=Settings!$B$9,Settings!$B$9&amp;" Day",IF(E48&gt;=Settings!$B$8,Settings!$B$8&amp;" Day","Due in "&amp;(Settings!$B$8-E48)&amp;" days")))</f>
        <v/>
      </c>
      <c r="G48" s="21" t="str">
        <f aca="false">IF(A48="","",Patients!H48)</f>
        <v/>
      </c>
      <c r="H48" s="1"/>
    </row>
    <row r="49" customFormat="false" ht="15" hidden="false" customHeight="false" outlineLevel="0" collapsed="false">
      <c r="A49" s="21" t="str">
        <f aca="false">IF(Patients!A49="","",IF(COUNTIF('Injection Sales'!$B$2:$B$501,Patients!A49)=0,"",Patients!A49))</f>
        <v/>
      </c>
      <c r="B49" s="24" t="str">
        <f aca="false">IF(A49="","",Patients!B49&amp;"")</f>
        <v/>
      </c>
      <c r="C49" s="21" t="str">
        <f aca="false">IF(A49="","",Patients!G49)</f>
        <v/>
      </c>
      <c r="D49" s="18" t="str">
        <f aca="false">IF(A49="","",_xlfn.MAXIFS('Injection Sales'!$A$2:$A$501,'Injection Sales'!$B$2:$B$501,A49))</f>
        <v/>
      </c>
      <c r="E49" s="19" t="str">
        <f aca="true">IF(A49="","",TODAY()-D49)</f>
        <v/>
      </c>
      <c r="F49" s="21" t="str">
        <f aca="false">IF(A49="","",IF(E49&gt;=Settings!$B$9,Settings!$B$9&amp;" Day",IF(E49&gt;=Settings!$B$8,Settings!$B$8&amp;" Day","Due in "&amp;(Settings!$B$8-E49)&amp;" days")))</f>
        <v/>
      </c>
      <c r="G49" s="21" t="str">
        <f aca="false">IF(A49="","",Patients!H49)</f>
        <v/>
      </c>
      <c r="H49" s="1"/>
    </row>
    <row r="50" customFormat="false" ht="15" hidden="false" customHeight="false" outlineLevel="0" collapsed="false">
      <c r="A50" s="21" t="str">
        <f aca="false">IF(Patients!A50="","",IF(COUNTIF('Injection Sales'!$B$2:$B$501,Patients!A50)=0,"",Patients!A50))</f>
        <v/>
      </c>
      <c r="B50" s="24" t="str">
        <f aca="false">IF(A50="","",Patients!B50&amp;"")</f>
        <v/>
      </c>
      <c r="C50" s="21" t="str">
        <f aca="false">IF(A50="","",Patients!G50)</f>
        <v/>
      </c>
      <c r="D50" s="18" t="str">
        <f aca="false">IF(A50="","",_xlfn.MAXIFS('Injection Sales'!$A$2:$A$501,'Injection Sales'!$B$2:$B$501,A50))</f>
        <v/>
      </c>
      <c r="E50" s="19" t="str">
        <f aca="true">IF(A50="","",TODAY()-D50)</f>
        <v/>
      </c>
      <c r="F50" s="21" t="str">
        <f aca="false">IF(A50="","",IF(E50&gt;=Settings!$B$9,Settings!$B$9&amp;" Day",IF(E50&gt;=Settings!$B$8,Settings!$B$8&amp;" Day","Due in "&amp;(Settings!$B$8-E50)&amp;" days")))</f>
        <v/>
      </c>
      <c r="G50" s="21" t="str">
        <f aca="false">IF(A50="","",Patients!H50)</f>
        <v/>
      </c>
      <c r="H50" s="1"/>
    </row>
    <row r="51" customFormat="false" ht="15" hidden="false" customHeight="false" outlineLevel="0" collapsed="false">
      <c r="A51" s="21" t="str">
        <f aca="false">IF(Patients!A51="","",IF(COUNTIF('Injection Sales'!$B$2:$B$501,Patients!A51)=0,"",Patients!A51))</f>
        <v/>
      </c>
      <c r="B51" s="24" t="str">
        <f aca="false">IF(A51="","",Patients!B51&amp;"")</f>
        <v/>
      </c>
      <c r="C51" s="21" t="str">
        <f aca="false">IF(A51="","",Patients!G51)</f>
        <v/>
      </c>
      <c r="D51" s="18" t="str">
        <f aca="false">IF(A51="","",_xlfn.MAXIFS('Injection Sales'!$A$2:$A$501,'Injection Sales'!$B$2:$B$501,A51))</f>
        <v/>
      </c>
      <c r="E51" s="19" t="str">
        <f aca="true">IF(A51="","",TODAY()-D51)</f>
        <v/>
      </c>
      <c r="F51" s="21" t="str">
        <f aca="false">IF(A51="","",IF(E51&gt;=Settings!$B$9,Settings!$B$9&amp;" Day",IF(E51&gt;=Settings!$B$8,Settings!$B$8&amp;" Day","Due in "&amp;(Settings!$B$8-E51)&amp;" days")))</f>
        <v/>
      </c>
      <c r="G51" s="21" t="str">
        <f aca="false">IF(A51="","",Patients!H51)</f>
        <v/>
      </c>
      <c r="H51" s="1"/>
    </row>
    <row r="52" customFormat="false" ht="15" hidden="false" customHeight="false" outlineLevel="0" collapsed="false">
      <c r="A52" s="21" t="str">
        <f aca="false">IF(Patients!A52="","",IF(COUNTIF('Injection Sales'!$B$2:$B$501,Patients!A52)=0,"",Patients!A52))</f>
        <v/>
      </c>
      <c r="B52" s="24" t="str">
        <f aca="false">IF(A52="","",Patients!B52&amp;"")</f>
        <v/>
      </c>
      <c r="C52" s="21" t="str">
        <f aca="false">IF(A52="","",Patients!G52)</f>
        <v/>
      </c>
      <c r="D52" s="18" t="str">
        <f aca="false">IF(A52="","",_xlfn.MAXIFS('Injection Sales'!$A$2:$A$501,'Injection Sales'!$B$2:$B$501,A52))</f>
        <v/>
      </c>
      <c r="E52" s="19" t="str">
        <f aca="true">IF(A52="","",TODAY()-D52)</f>
        <v/>
      </c>
      <c r="F52" s="21" t="str">
        <f aca="false">IF(A52="","",IF(E52&gt;=Settings!$B$9,Settings!$B$9&amp;" Day",IF(E52&gt;=Settings!$B$8,Settings!$B$8&amp;" Day","Due in "&amp;(Settings!$B$8-E52)&amp;" days")))</f>
        <v/>
      </c>
      <c r="G52" s="21" t="str">
        <f aca="false">IF(A52="","",Patients!H52)</f>
        <v/>
      </c>
      <c r="H52" s="1"/>
    </row>
    <row r="53" customFormat="false" ht="15" hidden="false" customHeight="false" outlineLevel="0" collapsed="false">
      <c r="A53" s="21" t="str">
        <f aca="false">IF(Patients!A53="","",IF(COUNTIF('Injection Sales'!$B$2:$B$501,Patients!A53)=0,"",Patients!A53))</f>
        <v/>
      </c>
      <c r="B53" s="24" t="str">
        <f aca="false">IF(A53="","",Patients!B53&amp;"")</f>
        <v/>
      </c>
      <c r="C53" s="21" t="str">
        <f aca="false">IF(A53="","",Patients!G53)</f>
        <v/>
      </c>
      <c r="D53" s="18" t="str">
        <f aca="false">IF(A53="","",_xlfn.MAXIFS('Injection Sales'!$A$2:$A$501,'Injection Sales'!$B$2:$B$501,A53))</f>
        <v/>
      </c>
      <c r="E53" s="19" t="str">
        <f aca="true">IF(A53="","",TODAY()-D53)</f>
        <v/>
      </c>
      <c r="F53" s="21" t="str">
        <f aca="false">IF(A53="","",IF(E53&gt;=Settings!$B$9,Settings!$B$9&amp;" Day",IF(E53&gt;=Settings!$B$8,Settings!$B$8&amp;" Day","Due in "&amp;(Settings!$B$8-E53)&amp;" days")))</f>
        <v/>
      </c>
      <c r="G53" s="21" t="str">
        <f aca="false">IF(A53="","",Patients!H53)</f>
        <v/>
      </c>
      <c r="H53" s="1"/>
    </row>
    <row r="54" customFormat="false" ht="15" hidden="false" customHeight="false" outlineLevel="0" collapsed="false">
      <c r="A54" s="21" t="str">
        <f aca="false">IF(Patients!A54="","",IF(COUNTIF('Injection Sales'!$B$2:$B$501,Patients!A54)=0,"",Patients!A54))</f>
        <v/>
      </c>
      <c r="B54" s="24" t="str">
        <f aca="false">IF(A54="","",Patients!B54&amp;"")</f>
        <v/>
      </c>
      <c r="C54" s="21" t="str">
        <f aca="false">IF(A54="","",Patients!G54)</f>
        <v/>
      </c>
      <c r="D54" s="18" t="str">
        <f aca="false">IF(A54="","",_xlfn.MAXIFS('Injection Sales'!$A$2:$A$501,'Injection Sales'!$B$2:$B$501,A54))</f>
        <v/>
      </c>
      <c r="E54" s="19" t="str">
        <f aca="true">IF(A54="","",TODAY()-D54)</f>
        <v/>
      </c>
      <c r="F54" s="21" t="str">
        <f aca="false">IF(A54="","",IF(E54&gt;=Settings!$B$9,Settings!$B$9&amp;" Day",IF(E54&gt;=Settings!$B$8,Settings!$B$8&amp;" Day","Due in "&amp;(Settings!$B$8-E54)&amp;" days")))</f>
        <v/>
      </c>
      <c r="G54" s="21" t="str">
        <f aca="false">IF(A54="","",Patients!H54)</f>
        <v/>
      </c>
      <c r="H54" s="1"/>
    </row>
    <row r="55" customFormat="false" ht="15" hidden="false" customHeight="false" outlineLevel="0" collapsed="false">
      <c r="A55" s="21" t="str">
        <f aca="false">IF(Patients!A55="","",IF(COUNTIF('Injection Sales'!$B$2:$B$501,Patients!A55)=0,"",Patients!A55))</f>
        <v/>
      </c>
      <c r="B55" s="24" t="str">
        <f aca="false">IF(A55="","",Patients!B55&amp;"")</f>
        <v/>
      </c>
      <c r="C55" s="21" t="str">
        <f aca="false">IF(A55="","",Patients!G55)</f>
        <v/>
      </c>
      <c r="D55" s="18" t="str">
        <f aca="false">IF(A55="","",_xlfn.MAXIFS('Injection Sales'!$A$2:$A$501,'Injection Sales'!$B$2:$B$501,A55))</f>
        <v/>
      </c>
      <c r="E55" s="19" t="str">
        <f aca="true">IF(A55="","",TODAY()-D55)</f>
        <v/>
      </c>
      <c r="F55" s="21" t="str">
        <f aca="false">IF(A55="","",IF(E55&gt;=Settings!$B$9,Settings!$B$9&amp;" Day",IF(E55&gt;=Settings!$B$8,Settings!$B$8&amp;" Day","Due in "&amp;(Settings!$B$8-E55)&amp;" days")))</f>
        <v/>
      </c>
      <c r="G55" s="21" t="str">
        <f aca="false">IF(A55="","",Patients!H55)</f>
        <v/>
      </c>
      <c r="H55" s="1"/>
    </row>
    <row r="56" customFormat="false" ht="15" hidden="false" customHeight="false" outlineLevel="0" collapsed="false">
      <c r="A56" s="21" t="str">
        <f aca="false">IF(Patients!A56="","",IF(COUNTIF('Injection Sales'!$B$2:$B$501,Patients!A56)=0,"",Patients!A56))</f>
        <v/>
      </c>
      <c r="B56" s="24" t="str">
        <f aca="false">IF(A56="","",Patients!B56&amp;"")</f>
        <v/>
      </c>
      <c r="C56" s="21" t="str">
        <f aca="false">IF(A56="","",Patients!G56)</f>
        <v/>
      </c>
      <c r="D56" s="18" t="str">
        <f aca="false">IF(A56="","",_xlfn.MAXIFS('Injection Sales'!$A$2:$A$501,'Injection Sales'!$B$2:$B$501,A56))</f>
        <v/>
      </c>
      <c r="E56" s="19" t="str">
        <f aca="true">IF(A56="","",TODAY()-D56)</f>
        <v/>
      </c>
      <c r="F56" s="21" t="str">
        <f aca="false">IF(A56="","",IF(E56&gt;=Settings!$B$9,Settings!$B$9&amp;" Day",IF(E56&gt;=Settings!$B$8,Settings!$B$8&amp;" Day","Due in "&amp;(Settings!$B$8-E56)&amp;" days")))</f>
        <v/>
      </c>
      <c r="G56" s="21" t="str">
        <f aca="false">IF(A56="","",Patients!H56)</f>
        <v/>
      </c>
      <c r="H56" s="1"/>
    </row>
    <row r="57" customFormat="false" ht="15" hidden="false" customHeight="false" outlineLevel="0" collapsed="false">
      <c r="A57" s="21" t="str">
        <f aca="false">IF(Patients!A57="","",IF(COUNTIF('Injection Sales'!$B$2:$B$501,Patients!A57)=0,"",Patients!A57))</f>
        <v/>
      </c>
      <c r="B57" s="24" t="str">
        <f aca="false">IF(A57="","",Patients!B57&amp;"")</f>
        <v/>
      </c>
      <c r="C57" s="21" t="str">
        <f aca="false">IF(A57="","",Patients!G57)</f>
        <v/>
      </c>
      <c r="D57" s="18" t="str">
        <f aca="false">IF(A57="","",_xlfn.MAXIFS('Injection Sales'!$A$2:$A$501,'Injection Sales'!$B$2:$B$501,A57))</f>
        <v/>
      </c>
      <c r="E57" s="19" t="str">
        <f aca="true">IF(A57="","",TODAY()-D57)</f>
        <v/>
      </c>
      <c r="F57" s="21" t="str">
        <f aca="false">IF(A57="","",IF(E57&gt;=Settings!$B$9,Settings!$B$9&amp;" Day",IF(E57&gt;=Settings!$B$8,Settings!$B$8&amp;" Day","Due in "&amp;(Settings!$B$8-E57)&amp;" days")))</f>
        <v/>
      </c>
      <c r="G57" s="21" t="str">
        <f aca="false">IF(A57="","",Patients!H57)</f>
        <v/>
      </c>
      <c r="H57" s="1"/>
    </row>
    <row r="58" customFormat="false" ht="15" hidden="false" customHeight="false" outlineLevel="0" collapsed="false">
      <c r="A58" s="21" t="str">
        <f aca="false">IF(Patients!A58="","",IF(COUNTIF('Injection Sales'!$B$2:$B$501,Patients!A58)=0,"",Patients!A58))</f>
        <v/>
      </c>
      <c r="B58" s="24" t="str">
        <f aca="false">IF(A58="","",Patients!B58&amp;"")</f>
        <v/>
      </c>
      <c r="C58" s="21" t="str">
        <f aca="false">IF(A58="","",Patients!G58)</f>
        <v/>
      </c>
      <c r="D58" s="18" t="str">
        <f aca="false">IF(A58="","",_xlfn.MAXIFS('Injection Sales'!$A$2:$A$501,'Injection Sales'!$B$2:$B$501,A58))</f>
        <v/>
      </c>
      <c r="E58" s="19" t="str">
        <f aca="true">IF(A58="","",TODAY()-D58)</f>
        <v/>
      </c>
      <c r="F58" s="21" t="str">
        <f aca="false">IF(A58="","",IF(E58&gt;=Settings!$B$9,Settings!$B$9&amp;" Day",IF(E58&gt;=Settings!$B$8,Settings!$B$8&amp;" Day","Due in "&amp;(Settings!$B$8-E58)&amp;" days")))</f>
        <v/>
      </c>
      <c r="G58" s="21" t="str">
        <f aca="false">IF(A58="","",Patients!H58)</f>
        <v/>
      </c>
      <c r="H58" s="1"/>
    </row>
    <row r="59" customFormat="false" ht="15" hidden="false" customHeight="false" outlineLevel="0" collapsed="false">
      <c r="A59" s="21" t="str">
        <f aca="false">IF(Patients!A59="","",IF(COUNTIF('Injection Sales'!$B$2:$B$501,Patients!A59)=0,"",Patients!A59))</f>
        <v/>
      </c>
      <c r="B59" s="24" t="str">
        <f aca="false">IF(A59="","",Patients!B59&amp;"")</f>
        <v/>
      </c>
      <c r="C59" s="21" t="str">
        <f aca="false">IF(A59="","",Patients!G59)</f>
        <v/>
      </c>
      <c r="D59" s="18" t="str">
        <f aca="false">IF(A59="","",_xlfn.MAXIFS('Injection Sales'!$A$2:$A$501,'Injection Sales'!$B$2:$B$501,A59))</f>
        <v/>
      </c>
      <c r="E59" s="19" t="str">
        <f aca="true">IF(A59="","",TODAY()-D59)</f>
        <v/>
      </c>
      <c r="F59" s="21" t="str">
        <f aca="false">IF(A59="","",IF(E59&gt;=Settings!$B$9,Settings!$B$9&amp;" Day",IF(E59&gt;=Settings!$B$8,Settings!$B$8&amp;" Day","Due in "&amp;(Settings!$B$8-E59)&amp;" days")))</f>
        <v/>
      </c>
      <c r="G59" s="21" t="str">
        <f aca="false">IF(A59="","",Patients!H59)</f>
        <v/>
      </c>
      <c r="H59" s="1"/>
    </row>
    <row r="60" customFormat="false" ht="15" hidden="false" customHeight="false" outlineLevel="0" collapsed="false">
      <c r="A60" s="21" t="str">
        <f aca="false">IF(Patients!A60="","",IF(COUNTIF('Injection Sales'!$B$2:$B$501,Patients!A60)=0,"",Patients!A60))</f>
        <v/>
      </c>
      <c r="B60" s="24" t="str">
        <f aca="false">IF(A60="","",Patients!B60&amp;"")</f>
        <v/>
      </c>
      <c r="C60" s="21" t="str">
        <f aca="false">IF(A60="","",Patients!G60)</f>
        <v/>
      </c>
      <c r="D60" s="18" t="str">
        <f aca="false">IF(A60="","",_xlfn.MAXIFS('Injection Sales'!$A$2:$A$501,'Injection Sales'!$B$2:$B$501,A60))</f>
        <v/>
      </c>
      <c r="E60" s="19" t="str">
        <f aca="true">IF(A60="","",TODAY()-D60)</f>
        <v/>
      </c>
      <c r="F60" s="21" t="str">
        <f aca="false">IF(A60="","",IF(E60&gt;=Settings!$B$9,Settings!$B$9&amp;" Day",IF(E60&gt;=Settings!$B$8,Settings!$B$8&amp;" Day","Due in "&amp;(Settings!$B$8-E60)&amp;" days")))</f>
        <v/>
      </c>
      <c r="G60" s="21" t="str">
        <f aca="false">IF(A60="","",Patients!H60)</f>
        <v/>
      </c>
      <c r="H60" s="1"/>
    </row>
    <row r="61" customFormat="false" ht="15" hidden="false" customHeight="false" outlineLevel="0" collapsed="false">
      <c r="A61" s="21" t="str">
        <f aca="false">IF(Patients!A61="","",IF(COUNTIF('Injection Sales'!$B$2:$B$501,Patients!A61)=0,"",Patients!A61))</f>
        <v/>
      </c>
      <c r="B61" s="24" t="str">
        <f aca="false">IF(A61="","",Patients!B61&amp;"")</f>
        <v/>
      </c>
      <c r="C61" s="21" t="str">
        <f aca="false">IF(A61="","",Patients!G61)</f>
        <v/>
      </c>
      <c r="D61" s="18" t="str">
        <f aca="false">IF(A61="","",_xlfn.MAXIFS('Injection Sales'!$A$2:$A$501,'Injection Sales'!$B$2:$B$501,A61))</f>
        <v/>
      </c>
      <c r="E61" s="19" t="str">
        <f aca="true">IF(A61="","",TODAY()-D61)</f>
        <v/>
      </c>
      <c r="F61" s="21" t="str">
        <f aca="false">IF(A61="","",IF(E61&gt;=Settings!$B$9,Settings!$B$9&amp;" Day",IF(E61&gt;=Settings!$B$8,Settings!$B$8&amp;" Day","Due in "&amp;(Settings!$B$8-E61)&amp;" days")))</f>
        <v/>
      </c>
      <c r="G61" s="21" t="str">
        <f aca="false">IF(A61="","",Patients!H61)</f>
        <v/>
      </c>
      <c r="H61" s="1"/>
    </row>
    <row r="62" customFormat="false" ht="15" hidden="false" customHeight="false" outlineLevel="0" collapsed="false">
      <c r="A62" s="21" t="str">
        <f aca="false">IF(Patients!A62="","",IF(COUNTIF('Injection Sales'!$B$2:$B$501,Patients!A62)=0,"",Patients!A62))</f>
        <v/>
      </c>
      <c r="B62" s="24" t="str">
        <f aca="false">IF(A62="","",Patients!B62&amp;"")</f>
        <v/>
      </c>
      <c r="C62" s="21" t="str">
        <f aca="false">IF(A62="","",Patients!G62)</f>
        <v/>
      </c>
      <c r="D62" s="18" t="str">
        <f aca="false">IF(A62="","",_xlfn.MAXIFS('Injection Sales'!$A$2:$A$501,'Injection Sales'!$B$2:$B$501,A62))</f>
        <v/>
      </c>
      <c r="E62" s="19" t="str">
        <f aca="true">IF(A62="","",TODAY()-D62)</f>
        <v/>
      </c>
      <c r="F62" s="21" t="str">
        <f aca="false">IF(A62="","",IF(E62&gt;=Settings!$B$9,Settings!$B$9&amp;" Day",IF(E62&gt;=Settings!$B$8,Settings!$B$8&amp;" Day","Due in "&amp;(Settings!$B$8-E62)&amp;" days")))</f>
        <v/>
      </c>
      <c r="G62" s="21" t="str">
        <f aca="false">IF(A62="","",Patients!H62)</f>
        <v/>
      </c>
      <c r="H62" s="1"/>
    </row>
    <row r="63" customFormat="false" ht="15" hidden="false" customHeight="false" outlineLevel="0" collapsed="false">
      <c r="A63" s="21" t="str">
        <f aca="false">IF(Patients!A63="","",IF(COUNTIF('Injection Sales'!$B$2:$B$501,Patients!A63)=0,"",Patients!A63))</f>
        <v/>
      </c>
      <c r="B63" s="24" t="str">
        <f aca="false">IF(A63="","",Patients!B63&amp;"")</f>
        <v/>
      </c>
      <c r="C63" s="21" t="str">
        <f aca="false">IF(A63="","",Patients!G63)</f>
        <v/>
      </c>
      <c r="D63" s="18" t="str">
        <f aca="false">IF(A63="","",_xlfn.MAXIFS('Injection Sales'!$A$2:$A$501,'Injection Sales'!$B$2:$B$501,A63))</f>
        <v/>
      </c>
      <c r="E63" s="19" t="str">
        <f aca="true">IF(A63="","",TODAY()-D63)</f>
        <v/>
      </c>
      <c r="F63" s="21" t="str">
        <f aca="false">IF(A63="","",IF(E63&gt;=Settings!$B$9,Settings!$B$9&amp;" Day",IF(E63&gt;=Settings!$B$8,Settings!$B$8&amp;" Day","Due in "&amp;(Settings!$B$8-E63)&amp;" days")))</f>
        <v/>
      </c>
      <c r="G63" s="21" t="str">
        <f aca="false">IF(A63="","",Patients!H63)</f>
        <v/>
      </c>
      <c r="H63" s="1"/>
    </row>
    <row r="64" customFormat="false" ht="15" hidden="false" customHeight="false" outlineLevel="0" collapsed="false">
      <c r="A64" s="21" t="str">
        <f aca="false">IF(Patients!A64="","",IF(COUNTIF('Injection Sales'!$B$2:$B$501,Patients!A64)=0,"",Patients!A64))</f>
        <v/>
      </c>
      <c r="B64" s="24" t="str">
        <f aca="false">IF(A64="","",Patients!B64&amp;"")</f>
        <v/>
      </c>
      <c r="C64" s="21" t="str">
        <f aca="false">IF(A64="","",Patients!G64)</f>
        <v/>
      </c>
      <c r="D64" s="18" t="str">
        <f aca="false">IF(A64="","",_xlfn.MAXIFS('Injection Sales'!$A$2:$A$501,'Injection Sales'!$B$2:$B$501,A64))</f>
        <v/>
      </c>
      <c r="E64" s="19" t="str">
        <f aca="true">IF(A64="","",TODAY()-D64)</f>
        <v/>
      </c>
      <c r="F64" s="21" t="str">
        <f aca="false">IF(A64="","",IF(E64&gt;=Settings!$B$9,Settings!$B$9&amp;" Day",IF(E64&gt;=Settings!$B$8,Settings!$B$8&amp;" Day","Due in "&amp;(Settings!$B$8-E64)&amp;" days")))</f>
        <v/>
      </c>
      <c r="G64" s="21" t="str">
        <f aca="false">IF(A64="","",Patients!H64)</f>
        <v/>
      </c>
      <c r="H64" s="1"/>
    </row>
    <row r="65" customFormat="false" ht="15" hidden="false" customHeight="false" outlineLevel="0" collapsed="false">
      <c r="A65" s="21" t="str">
        <f aca="false">IF(Patients!A65="","",IF(COUNTIF('Injection Sales'!$B$2:$B$501,Patients!A65)=0,"",Patients!A65))</f>
        <v/>
      </c>
      <c r="B65" s="24" t="str">
        <f aca="false">IF(A65="","",Patients!B65&amp;"")</f>
        <v/>
      </c>
      <c r="C65" s="21" t="str">
        <f aca="false">IF(A65="","",Patients!G65)</f>
        <v/>
      </c>
      <c r="D65" s="18" t="str">
        <f aca="false">IF(A65="","",_xlfn.MAXIFS('Injection Sales'!$A$2:$A$501,'Injection Sales'!$B$2:$B$501,A65))</f>
        <v/>
      </c>
      <c r="E65" s="19" t="str">
        <f aca="true">IF(A65="","",TODAY()-D65)</f>
        <v/>
      </c>
      <c r="F65" s="21" t="str">
        <f aca="false">IF(A65="","",IF(E65&gt;=Settings!$B$9,Settings!$B$9&amp;" Day",IF(E65&gt;=Settings!$B$8,Settings!$B$8&amp;" Day","Due in "&amp;(Settings!$B$8-E65)&amp;" days")))</f>
        <v/>
      </c>
      <c r="G65" s="21" t="str">
        <f aca="false">IF(A65="","",Patients!H65)</f>
        <v/>
      </c>
      <c r="H65" s="1"/>
    </row>
    <row r="66" customFormat="false" ht="15" hidden="false" customHeight="false" outlineLevel="0" collapsed="false">
      <c r="A66" s="21" t="str">
        <f aca="false">IF(Patients!A66="","",IF(COUNTIF('Injection Sales'!$B$2:$B$501,Patients!A66)=0,"",Patients!A66))</f>
        <v/>
      </c>
      <c r="B66" s="24" t="str">
        <f aca="false">IF(A66="","",Patients!B66&amp;"")</f>
        <v/>
      </c>
      <c r="C66" s="21" t="str">
        <f aca="false">IF(A66="","",Patients!G66)</f>
        <v/>
      </c>
      <c r="D66" s="18" t="str">
        <f aca="false">IF(A66="","",_xlfn.MAXIFS('Injection Sales'!$A$2:$A$501,'Injection Sales'!$B$2:$B$501,A66))</f>
        <v/>
      </c>
      <c r="E66" s="19" t="str">
        <f aca="true">IF(A66="","",TODAY()-D66)</f>
        <v/>
      </c>
      <c r="F66" s="21" t="str">
        <f aca="false">IF(A66="","",IF(E66&gt;=Settings!$B$9,Settings!$B$9&amp;" Day",IF(E66&gt;=Settings!$B$8,Settings!$B$8&amp;" Day","Due in "&amp;(Settings!$B$8-E66)&amp;" days")))</f>
        <v/>
      </c>
      <c r="G66" s="21" t="str">
        <f aca="false">IF(A66="","",Patients!H66)</f>
        <v/>
      </c>
      <c r="H66" s="1"/>
    </row>
    <row r="67" customFormat="false" ht="15" hidden="false" customHeight="false" outlineLevel="0" collapsed="false">
      <c r="A67" s="21" t="str">
        <f aca="false">IF(Patients!A67="","",IF(COUNTIF('Injection Sales'!$B$2:$B$501,Patients!A67)=0,"",Patients!A67))</f>
        <v/>
      </c>
      <c r="B67" s="24" t="str">
        <f aca="false">IF(A67="","",Patients!B67&amp;"")</f>
        <v/>
      </c>
      <c r="C67" s="21" t="str">
        <f aca="false">IF(A67="","",Patients!G67)</f>
        <v/>
      </c>
      <c r="D67" s="18" t="str">
        <f aca="false">IF(A67="","",_xlfn.MAXIFS('Injection Sales'!$A$2:$A$501,'Injection Sales'!$B$2:$B$501,A67))</f>
        <v/>
      </c>
      <c r="E67" s="19" t="str">
        <f aca="true">IF(A67="","",TODAY()-D67)</f>
        <v/>
      </c>
      <c r="F67" s="21" t="str">
        <f aca="false">IF(A67="","",IF(E67&gt;=Settings!$B$9,Settings!$B$9&amp;" Day",IF(E67&gt;=Settings!$B$8,Settings!$B$8&amp;" Day","Due in "&amp;(Settings!$B$8-E67)&amp;" days")))</f>
        <v/>
      </c>
      <c r="G67" s="21" t="str">
        <f aca="false">IF(A67="","",Patients!H67)</f>
        <v/>
      </c>
      <c r="H67" s="1"/>
    </row>
    <row r="68" customFormat="false" ht="15" hidden="false" customHeight="false" outlineLevel="0" collapsed="false">
      <c r="A68" s="21" t="str">
        <f aca="false">IF(Patients!A68="","",IF(COUNTIF('Injection Sales'!$B$2:$B$501,Patients!A68)=0,"",Patients!A68))</f>
        <v/>
      </c>
      <c r="B68" s="24" t="str">
        <f aca="false">IF(A68="","",Patients!B68&amp;"")</f>
        <v/>
      </c>
      <c r="C68" s="21" t="str">
        <f aca="false">IF(A68="","",Patients!G68)</f>
        <v/>
      </c>
      <c r="D68" s="18" t="str">
        <f aca="false">IF(A68="","",_xlfn.MAXIFS('Injection Sales'!$A$2:$A$501,'Injection Sales'!$B$2:$B$501,A68))</f>
        <v/>
      </c>
      <c r="E68" s="19" t="str">
        <f aca="true">IF(A68="","",TODAY()-D68)</f>
        <v/>
      </c>
      <c r="F68" s="21" t="str">
        <f aca="false">IF(A68="","",IF(E68&gt;=Settings!$B$9,Settings!$B$9&amp;" Day",IF(E68&gt;=Settings!$B$8,Settings!$B$8&amp;" Day","Due in "&amp;(Settings!$B$8-E68)&amp;" days")))</f>
        <v/>
      </c>
      <c r="G68" s="21" t="str">
        <f aca="false">IF(A68="","",Patients!H68)</f>
        <v/>
      </c>
      <c r="H68" s="1"/>
    </row>
    <row r="69" customFormat="false" ht="15" hidden="false" customHeight="false" outlineLevel="0" collapsed="false">
      <c r="A69" s="21" t="str">
        <f aca="false">IF(Patients!A69="","",IF(COUNTIF('Injection Sales'!$B$2:$B$501,Patients!A69)=0,"",Patients!A69))</f>
        <v/>
      </c>
      <c r="B69" s="24" t="str">
        <f aca="false">IF(A69="","",Patients!B69&amp;"")</f>
        <v/>
      </c>
      <c r="C69" s="21" t="str">
        <f aca="false">IF(A69="","",Patients!G69)</f>
        <v/>
      </c>
      <c r="D69" s="18" t="str">
        <f aca="false">IF(A69="","",_xlfn.MAXIFS('Injection Sales'!$A$2:$A$501,'Injection Sales'!$B$2:$B$501,A69))</f>
        <v/>
      </c>
      <c r="E69" s="19" t="str">
        <f aca="true">IF(A69="","",TODAY()-D69)</f>
        <v/>
      </c>
      <c r="F69" s="21" t="str">
        <f aca="false">IF(A69="","",IF(E69&gt;=Settings!$B$9,Settings!$B$9&amp;" Day",IF(E69&gt;=Settings!$B$8,Settings!$B$8&amp;" Day","Due in "&amp;(Settings!$B$8-E69)&amp;" days")))</f>
        <v/>
      </c>
      <c r="G69" s="21" t="str">
        <f aca="false">IF(A69="","",Patients!H69)</f>
        <v/>
      </c>
      <c r="H69" s="1"/>
    </row>
    <row r="70" customFormat="false" ht="15" hidden="false" customHeight="false" outlineLevel="0" collapsed="false">
      <c r="A70" s="21" t="str">
        <f aca="false">IF(Patients!A70="","",IF(COUNTIF('Injection Sales'!$B$2:$B$501,Patients!A70)=0,"",Patients!A70))</f>
        <v/>
      </c>
      <c r="B70" s="24" t="str">
        <f aca="false">IF(A70="","",Patients!B70&amp;"")</f>
        <v/>
      </c>
      <c r="C70" s="21" t="str">
        <f aca="false">IF(A70="","",Patients!G70)</f>
        <v/>
      </c>
      <c r="D70" s="18" t="str">
        <f aca="false">IF(A70="","",_xlfn.MAXIFS('Injection Sales'!$A$2:$A$501,'Injection Sales'!$B$2:$B$501,A70))</f>
        <v/>
      </c>
      <c r="E70" s="19" t="str">
        <f aca="true">IF(A70="","",TODAY()-D70)</f>
        <v/>
      </c>
      <c r="F70" s="21" t="str">
        <f aca="false">IF(A70="","",IF(E70&gt;=Settings!$B$9,Settings!$B$9&amp;" Day",IF(E70&gt;=Settings!$B$8,Settings!$B$8&amp;" Day","Due in "&amp;(Settings!$B$8-E70)&amp;" days")))</f>
        <v/>
      </c>
      <c r="G70" s="21" t="str">
        <f aca="false">IF(A70="","",Patients!H70)</f>
        <v/>
      </c>
      <c r="H70" s="1"/>
    </row>
    <row r="71" customFormat="false" ht="15" hidden="false" customHeight="false" outlineLevel="0" collapsed="false">
      <c r="A71" s="21" t="str">
        <f aca="false">IF(Patients!A71="","",IF(COUNTIF('Injection Sales'!$B$2:$B$501,Patients!A71)=0,"",Patients!A71))</f>
        <v/>
      </c>
      <c r="B71" s="24" t="str">
        <f aca="false">IF(A71="","",Patients!B71&amp;"")</f>
        <v/>
      </c>
      <c r="C71" s="21" t="str">
        <f aca="false">IF(A71="","",Patients!G71)</f>
        <v/>
      </c>
      <c r="D71" s="18" t="str">
        <f aca="false">IF(A71="","",_xlfn.MAXIFS('Injection Sales'!$A$2:$A$501,'Injection Sales'!$B$2:$B$501,A71))</f>
        <v/>
      </c>
      <c r="E71" s="19" t="str">
        <f aca="true">IF(A71="","",TODAY()-D71)</f>
        <v/>
      </c>
      <c r="F71" s="21" t="str">
        <f aca="false">IF(A71="","",IF(E71&gt;=Settings!$B$9,Settings!$B$9&amp;" Day",IF(E71&gt;=Settings!$B$8,Settings!$B$8&amp;" Day","Due in "&amp;(Settings!$B$8-E71)&amp;" days")))</f>
        <v/>
      </c>
      <c r="G71" s="21" t="str">
        <f aca="false">IF(A71="","",Patients!H71)</f>
        <v/>
      </c>
      <c r="H71" s="1"/>
    </row>
    <row r="72" customFormat="false" ht="15" hidden="false" customHeight="false" outlineLevel="0" collapsed="false">
      <c r="A72" s="21" t="str">
        <f aca="false">IF(Patients!A72="","",IF(COUNTIF('Injection Sales'!$B$2:$B$501,Patients!A72)=0,"",Patients!A72))</f>
        <v/>
      </c>
      <c r="B72" s="24" t="str">
        <f aca="false">IF(A72="","",Patients!B72&amp;"")</f>
        <v/>
      </c>
      <c r="C72" s="21" t="str">
        <f aca="false">IF(A72="","",Patients!G72)</f>
        <v/>
      </c>
      <c r="D72" s="18" t="str">
        <f aca="false">IF(A72="","",_xlfn.MAXIFS('Injection Sales'!$A$2:$A$501,'Injection Sales'!$B$2:$B$501,A72))</f>
        <v/>
      </c>
      <c r="E72" s="19" t="str">
        <f aca="true">IF(A72="","",TODAY()-D72)</f>
        <v/>
      </c>
      <c r="F72" s="21" t="str">
        <f aca="false">IF(A72="","",IF(E72&gt;=Settings!$B$9,Settings!$B$9&amp;" Day",IF(E72&gt;=Settings!$B$8,Settings!$B$8&amp;" Day","Due in "&amp;(Settings!$B$8-E72)&amp;" days")))</f>
        <v/>
      </c>
      <c r="G72" s="21" t="str">
        <f aca="false">IF(A72="","",Patients!H72)</f>
        <v/>
      </c>
      <c r="H72" s="1"/>
    </row>
    <row r="73" customFormat="false" ht="15" hidden="false" customHeight="false" outlineLevel="0" collapsed="false">
      <c r="A73" s="21" t="str">
        <f aca="false">IF(Patients!A73="","",IF(COUNTIF('Injection Sales'!$B$2:$B$501,Patients!A73)=0,"",Patients!A73))</f>
        <v/>
      </c>
      <c r="B73" s="24" t="str">
        <f aca="false">IF(A73="","",Patients!B73&amp;"")</f>
        <v/>
      </c>
      <c r="C73" s="21" t="str">
        <f aca="false">IF(A73="","",Patients!G73)</f>
        <v/>
      </c>
      <c r="D73" s="18" t="str">
        <f aca="false">IF(A73="","",_xlfn.MAXIFS('Injection Sales'!$A$2:$A$501,'Injection Sales'!$B$2:$B$501,A73))</f>
        <v/>
      </c>
      <c r="E73" s="19" t="str">
        <f aca="true">IF(A73="","",TODAY()-D73)</f>
        <v/>
      </c>
      <c r="F73" s="21" t="str">
        <f aca="false">IF(A73="","",IF(E73&gt;=Settings!$B$9,Settings!$B$9&amp;" Day",IF(E73&gt;=Settings!$B$8,Settings!$B$8&amp;" Day","Due in "&amp;(Settings!$B$8-E73)&amp;" days")))</f>
        <v/>
      </c>
      <c r="G73" s="21" t="str">
        <f aca="false">IF(A73="","",Patients!H73)</f>
        <v/>
      </c>
      <c r="H73" s="1"/>
    </row>
    <row r="74" customFormat="false" ht="15" hidden="false" customHeight="false" outlineLevel="0" collapsed="false">
      <c r="A74" s="21" t="str">
        <f aca="false">IF(Patients!A74="","",IF(COUNTIF('Injection Sales'!$B$2:$B$501,Patients!A74)=0,"",Patients!A74))</f>
        <v/>
      </c>
      <c r="B74" s="24" t="str">
        <f aca="false">IF(A74="","",Patients!B74&amp;"")</f>
        <v/>
      </c>
      <c r="C74" s="21" t="str">
        <f aca="false">IF(A74="","",Patients!G74)</f>
        <v/>
      </c>
      <c r="D74" s="18" t="str">
        <f aca="false">IF(A74="","",_xlfn.MAXIFS('Injection Sales'!$A$2:$A$501,'Injection Sales'!$B$2:$B$501,A74))</f>
        <v/>
      </c>
      <c r="E74" s="19" t="str">
        <f aca="true">IF(A74="","",TODAY()-D74)</f>
        <v/>
      </c>
      <c r="F74" s="21" t="str">
        <f aca="false">IF(A74="","",IF(E74&gt;=Settings!$B$9,Settings!$B$9&amp;" Day",IF(E74&gt;=Settings!$B$8,Settings!$B$8&amp;" Day","Due in "&amp;(Settings!$B$8-E74)&amp;" days")))</f>
        <v/>
      </c>
      <c r="G74" s="21" t="str">
        <f aca="false">IF(A74="","",Patients!H74)</f>
        <v/>
      </c>
      <c r="H74" s="1"/>
    </row>
    <row r="75" customFormat="false" ht="15" hidden="false" customHeight="false" outlineLevel="0" collapsed="false">
      <c r="A75" s="21" t="str">
        <f aca="false">IF(Patients!A75="","",IF(COUNTIF('Injection Sales'!$B$2:$B$501,Patients!A75)=0,"",Patients!A75))</f>
        <v/>
      </c>
      <c r="B75" s="24" t="str">
        <f aca="false">IF(A75="","",Patients!B75&amp;"")</f>
        <v/>
      </c>
      <c r="C75" s="21" t="str">
        <f aca="false">IF(A75="","",Patients!G75)</f>
        <v/>
      </c>
      <c r="D75" s="18" t="str">
        <f aca="false">IF(A75="","",_xlfn.MAXIFS('Injection Sales'!$A$2:$A$501,'Injection Sales'!$B$2:$B$501,A75))</f>
        <v/>
      </c>
      <c r="E75" s="19" t="str">
        <f aca="true">IF(A75="","",TODAY()-D75)</f>
        <v/>
      </c>
      <c r="F75" s="21" t="str">
        <f aca="false">IF(A75="","",IF(E75&gt;=Settings!$B$9,Settings!$B$9&amp;" Day",IF(E75&gt;=Settings!$B$8,Settings!$B$8&amp;" Day","Due in "&amp;(Settings!$B$8-E75)&amp;" days")))</f>
        <v/>
      </c>
      <c r="G75" s="21" t="str">
        <f aca="false">IF(A75="","",Patients!H75)</f>
        <v/>
      </c>
      <c r="H75" s="1"/>
    </row>
    <row r="76" customFormat="false" ht="15" hidden="false" customHeight="false" outlineLevel="0" collapsed="false">
      <c r="A76" s="21" t="str">
        <f aca="false">IF(Patients!A76="","",IF(COUNTIF('Injection Sales'!$B$2:$B$501,Patients!A76)=0,"",Patients!A76))</f>
        <v/>
      </c>
      <c r="B76" s="24" t="str">
        <f aca="false">IF(A76="","",Patients!B76&amp;"")</f>
        <v/>
      </c>
      <c r="C76" s="21" t="str">
        <f aca="false">IF(A76="","",Patients!G76)</f>
        <v/>
      </c>
      <c r="D76" s="18" t="str">
        <f aca="false">IF(A76="","",_xlfn.MAXIFS('Injection Sales'!$A$2:$A$501,'Injection Sales'!$B$2:$B$501,A76))</f>
        <v/>
      </c>
      <c r="E76" s="19" t="str">
        <f aca="true">IF(A76="","",TODAY()-D76)</f>
        <v/>
      </c>
      <c r="F76" s="21" t="str">
        <f aca="false">IF(A76="","",IF(E76&gt;=Settings!$B$9,Settings!$B$9&amp;" Day",IF(E76&gt;=Settings!$B$8,Settings!$B$8&amp;" Day","Due in "&amp;(Settings!$B$8-E76)&amp;" days")))</f>
        <v/>
      </c>
      <c r="G76" s="21" t="str">
        <f aca="false">IF(A76="","",Patients!H76)</f>
        <v/>
      </c>
      <c r="H76" s="1"/>
    </row>
    <row r="77" customFormat="false" ht="15" hidden="false" customHeight="false" outlineLevel="0" collapsed="false">
      <c r="A77" s="21" t="str">
        <f aca="false">IF(Patients!A77="","",IF(COUNTIF('Injection Sales'!$B$2:$B$501,Patients!A77)=0,"",Patients!A77))</f>
        <v/>
      </c>
      <c r="B77" s="24" t="str">
        <f aca="false">IF(A77="","",Patients!B77&amp;"")</f>
        <v/>
      </c>
      <c r="C77" s="21" t="str">
        <f aca="false">IF(A77="","",Patients!G77)</f>
        <v/>
      </c>
      <c r="D77" s="18" t="str">
        <f aca="false">IF(A77="","",_xlfn.MAXIFS('Injection Sales'!$A$2:$A$501,'Injection Sales'!$B$2:$B$501,A77))</f>
        <v/>
      </c>
      <c r="E77" s="19" t="str">
        <f aca="true">IF(A77="","",TODAY()-D77)</f>
        <v/>
      </c>
      <c r="F77" s="21" t="str">
        <f aca="false">IF(A77="","",IF(E77&gt;=Settings!$B$9,Settings!$B$9&amp;" Day",IF(E77&gt;=Settings!$B$8,Settings!$B$8&amp;" Day","Due in "&amp;(Settings!$B$8-E77)&amp;" days")))</f>
        <v/>
      </c>
      <c r="G77" s="21" t="str">
        <f aca="false">IF(A77="","",Patients!H77)</f>
        <v/>
      </c>
      <c r="H77" s="1"/>
    </row>
    <row r="78" customFormat="false" ht="15" hidden="false" customHeight="false" outlineLevel="0" collapsed="false">
      <c r="A78" s="21" t="str">
        <f aca="false">IF(Patients!A78="","",IF(COUNTIF('Injection Sales'!$B$2:$B$501,Patients!A78)=0,"",Patients!A78))</f>
        <v/>
      </c>
      <c r="B78" s="24" t="str">
        <f aca="false">IF(A78="","",Patients!B78&amp;"")</f>
        <v/>
      </c>
      <c r="C78" s="21" t="str">
        <f aca="false">IF(A78="","",Patients!G78)</f>
        <v/>
      </c>
      <c r="D78" s="18" t="str">
        <f aca="false">IF(A78="","",_xlfn.MAXIFS('Injection Sales'!$A$2:$A$501,'Injection Sales'!$B$2:$B$501,A78))</f>
        <v/>
      </c>
      <c r="E78" s="19" t="str">
        <f aca="true">IF(A78="","",TODAY()-D78)</f>
        <v/>
      </c>
      <c r="F78" s="21" t="str">
        <f aca="false">IF(A78="","",IF(E78&gt;=Settings!$B$9,Settings!$B$9&amp;" Day",IF(E78&gt;=Settings!$B$8,Settings!$B$8&amp;" Day","Due in "&amp;(Settings!$B$8-E78)&amp;" days")))</f>
        <v/>
      </c>
      <c r="G78" s="21" t="str">
        <f aca="false">IF(A78="","",Patients!H78)</f>
        <v/>
      </c>
      <c r="H78" s="1"/>
    </row>
    <row r="79" customFormat="false" ht="15" hidden="false" customHeight="false" outlineLevel="0" collapsed="false">
      <c r="A79" s="21" t="str">
        <f aca="false">IF(Patients!A79="","",IF(COUNTIF('Injection Sales'!$B$2:$B$501,Patients!A79)=0,"",Patients!A79))</f>
        <v/>
      </c>
      <c r="B79" s="24" t="str">
        <f aca="false">IF(A79="","",Patients!B79&amp;"")</f>
        <v/>
      </c>
      <c r="C79" s="21" t="str">
        <f aca="false">IF(A79="","",Patients!G79)</f>
        <v/>
      </c>
      <c r="D79" s="18" t="str">
        <f aca="false">IF(A79="","",_xlfn.MAXIFS('Injection Sales'!$A$2:$A$501,'Injection Sales'!$B$2:$B$501,A79))</f>
        <v/>
      </c>
      <c r="E79" s="19" t="str">
        <f aca="true">IF(A79="","",TODAY()-D79)</f>
        <v/>
      </c>
      <c r="F79" s="21" t="str">
        <f aca="false">IF(A79="","",IF(E79&gt;=Settings!$B$9,Settings!$B$9&amp;" Day",IF(E79&gt;=Settings!$B$8,Settings!$B$8&amp;" Day","Due in "&amp;(Settings!$B$8-E79)&amp;" days")))</f>
        <v/>
      </c>
      <c r="G79" s="21" t="str">
        <f aca="false">IF(A79="","",Patients!H79)</f>
        <v/>
      </c>
      <c r="H79" s="1"/>
    </row>
    <row r="80" customFormat="false" ht="15" hidden="false" customHeight="false" outlineLevel="0" collapsed="false">
      <c r="A80" s="21" t="str">
        <f aca="false">IF(Patients!A80="","",IF(COUNTIF('Injection Sales'!$B$2:$B$501,Patients!A80)=0,"",Patients!A80))</f>
        <v/>
      </c>
      <c r="B80" s="24" t="str">
        <f aca="false">IF(A80="","",Patients!B80&amp;"")</f>
        <v/>
      </c>
      <c r="C80" s="21" t="str">
        <f aca="false">IF(A80="","",Patients!G80)</f>
        <v/>
      </c>
      <c r="D80" s="18" t="str">
        <f aca="false">IF(A80="","",_xlfn.MAXIFS('Injection Sales'!$A$2:$A$501,'Injection Sales'!$B$2:$B$501,A80))</f>
        <v/>
      </c>
      <c r="E80" s="19" t="str">
        <f aca="true">IF(A80="","",TODAY()-D80)</f>
        <v/>
      </c>
      <c r="F80" s="21" t="str">
        <f aca="false">IF(A80="","",IF(E80&gt;=Settings!$B$9,Settings!$B$9&amp;" Day",IF(E80&gt;=Settings!$B$8,Settings!$B$8&amp;" Day","Due in "&amp;(Settings!$B$8-E80)&amp;" days")))</f>
        <v/>
      </c>
      <c r="G80" s="21" t="str">
        <f aca="false">IF(A80="","",Patients!H80)</f>
        <v/>
      </c>
      <c r="H80" s="1"/>
    </row>
    <row r="81" customFormat="false" ht="15" hidden="false" customHeight="false" outlineLevel="0" collapsed="false">
      <c r="A81" s="21" t="str">
        <f aca="false">IF(Patients!A81="","",IF(COUNTIF('Injection Sales'!$B$2:$B$501,Patients!A81)=0,"",Patients!A81))</f>
        <v/>
      </c>
      <c r="B81" s="24" t="str">
        <f aca="false">IF(A81="","",Patients!B81&amp;"")</f>
        <v/>
      </c>
      <c r="C81" s="21" t="str">
        <f aca="false">IF(A81="","",Patients!G81)</f>
        <v/>
      </c>
      <c r="D81" s="18" t="str">
        <f aca="false">IF(A81="","",_xlfn.MAXIFS('Injection Sales'!$A$2:$A$501,'Injection Sales'!$B$2:$B$501,A81))</f>
        <v/>
      </c>
      <c r="E81" s="19" t="str">
        <f aca="true">IF(A81="","",TODAY()-D81)</f>
        <v/>
      </c>
      <c r="F81" s="21" t="str">
        <f aca="false">IF(A81="","",IF(E81&gt;=Settings!$B$9,Settings!$B$9&amp;" Day",IF(E81&gt;=Settings!$B$8,Settings!$B$8&amp;" Day","Due in "&amp;(Settings!$B$8-E81)&amp;" days")))</f>
        <v/>
      </c>
      <c r="G81" s="21" t="str">
        <f aca="false">IF(A81="","",Patients!H81)</f>
        <v/>
      </c>
      <c r="H81" s="1"/>
    </row>
    <row r="82" customFormat="false" ht="15" hidden="false" customHeight="false" outlineLevel="0" collapsed="false">
      <c r="A82" s="21" t="str">
        <f aca="false">IF(Patients!A82="","",IF(COUNTIF('Injection Sales'!$B$2:$B$501,Patients!A82)=0,"",Patients!A82))</f>
        <v/>
      </c>
      <c r="B82" s="24" t="str">
        <f aca="false">IF(A82="","",Patients!B82&amp;"")</f>
        <v/>
      </c>
      <c r="C82" s="21" t="str">
        <f aca="false">IF(A82="","",Patients!G82)</f>
        <v/>
      </c>
      <c r="D82" s="18" t="str">
        <f aca="false">IF(A82="","",_xlfn.MAXIFS('Injection Sales'!$A$2:$A$501,'Injection Sales'!$B$2:$B$501,A82))</f>
        <v/>
      </c>
      <c r="E82" s="19" t="str">
        <f aca="true">IF(A82="","",TODAY()-D82)</f>
        <v/>
      </c>
      <c r="F82" s="21" t="str">
        <f aca="false">IF(A82="","",IF(E82&gt;=Settings!$B$9,Settings!$B$9&amp;" Day",IF(E82&gt;=Settings!$B$8,Settings!$B$8&amp;" Day","Due in "&amp;(Settings!$B$8-E82)&amp;" days")))</f>
        <v/>
      </c>
      <c r="G82" s="21" t="str">
        <f aca="false">IF(A82="","",Patients!H82)</f>
        <v/>
      </c>
      <c r="H82" s="1"/>
    </row>
    <row r="83" customFormat="false" ht="15" hidden="false" customHeight="false" outlineLevel="0" collapsed="false">
      <c r="A83" s="21" t="str">
        <f aca="false">IF(Patients!A83="","",IF(COUNTIF('Injection Sales'!$B$2:$B$501,Patients!A83)=0,"",Patients!A83))</f>
        <v/>
      </c>
      <c r="B83" s="24" t="str">
        <f aca="false">IF(A83="","",Patients!B83&amp;"")</f>
        <v/>
      </c>
      <c r="C83" s="21" t="str">
        <f aca="false">IF(A83="","",Patients!G83)</f>
        <v/>
      </c>
      <c r="D83" s="18" t="str">
        <f aca="false">IF(A83="","",_xlfn.MAXIFS('Injection Sales'!$A$2:$A$501,'Injection Sales'!$B$2:$B$501,A83))</f>
        <v/>
      </c>
      <c r="E83" s="19" t="str">
        <f aca="true">IF(A83="","",TODAY()-D83)</f>
        <v/>
      </c>
      <c r="F83" s="21" t="str">
        <f aca="false">IF(A83="","",IF(E83&gt;=Settings!$B$9,Settings!$B$9&amp;" Day",IF(E83&gt;=Settings!$B$8,Settings!$B$8&amp;" Day","Due in "&amp;(Settings!$B$8-E83)&amp;" days")))</f>
        <v/>
      </c>
      <c r="G83" s="21" t="str">
        <f aca="false">IF(A83="","",Patients!H83)</f>
        <v/>
      </c>
      <c r="H83" s="1"/>
    </row>
    <row r="84" customFormat="false" ht="15" hidden="false" customHeight="false" outlineLevel="0" collapsed="false">
      <c r="A84" s="21" t="str">
        <f aca="false">IF(Patients!A84="","",IF(COUNTIF('Injection Sales'!$B$2:$B$501,Patients!A84)=0,"",Patients!A84))</f>
        <v/>
      </c>
      <c r="B84" s="24" t="str">
        <f aca="false">IF(A84="","",Patients!B84&amp;"")</f>
        <v/>
      </c>
      <c r="C84" s="21" t="str">
        <f aca="false">IF(A84="","",Patients!G84)</f>
        <v/>
      </c>
      <c r="D84" s="18" t="str">
        <f aca="false">IF(A84="","",_xlfn.MAXIFS('Injection Sales'!$A$2:$A$501,'Injection Sales'!$B$2:$B$501,A84))</f>
        <v/>
      </c>
      <c r="E84" s="19" t="str">
        <f aca="true">IF(A84="","",TODAY()-D84)</f>
        <v/>
      </c>
      <c r="F84" s="21" t="str">
        <f aca="false">IF(A84="","",IF(E84&gt;=Settings!$B$9,Settings!$B$9&amp;" Day",IF(E84&gt;=Settings!$B$8,Settings!$B$8&amp;" Day","Due in "&amp;(Settings!$B$8-E84)&amp;" days")))</f>
        <v/>
      </c>
      <c r="G84" s="21" t="str">
        <f aca="false">IF(A84="","",Patients!H84)</f>
        <v/>
      </c>
      <c r="H84" s="1"/>
    </row>
    <row r="85" customFormat="false" ht="15" hidden="false" customHeight="false" outlineLevel="0" collapsed="false">
      <c r="A85" s="21" t="str">
        <f aca="false">IF(Patients!A85="","",IF(COUNTIF('Injection Sales'!$B$2:$B$501,Patients!A85)=0,"",Patients!A85))</f>
        <v/>
      </c>
      <c r="B85" s="24" t="str">
        <f aca="false">IF(A85="","",Patients!B85&amp;"")</f>
        <v/>
      </c>
      <c r="C85" s="21" t="str">
        <f aca="false">IF(A85="","",Patients!G85)</f>
        <v/>
      </c>
      <c r="D85" s="18" t="str">
        <f aca="false">IF(A85="","",_xlfn.MAXIFS('Injection Sales'!$A$2:$A$501,'Injection Sales'!$B$2:$B$501,A85))</f>
        <v/>
      </c>
      <c r="E85" s="19" t="str">
        <f aca="true">IF(A85="","",TODAY()-D85)</f>
        <v/>
      </c>
      <c r="F85" s="21" t="str">
        <f aca="false">IF(A85="","",IF(E85&gt;=Settings!$B$9,Settings!$B$9&amp;" Day",IF(E85&gt;=Settings!$B$8,Settings!$B$8&amp;" Day","Due in "&amp;(Settings!$B$8-E85)&amp;" days")))</f>
        <v/>
      </c>
      <c r="G85" s="21" t="str">
        <f aca="false">IF(A85="","",Patients!H85)</f>
        <v/>
      </c>
      <c r="H85" s="1"/>
    </row>
    <row r="86" customFormat="false" ht="15" hidden="false" customHeight="false" outlineLevel="0" collapsed="false">
      <c r="A86" s="21" t="str">
        <f aca="false">IF(Patients!A86="","",IF(COUNTIF('Injection Sales'!$B$2:$B$501,Patients!A86)=0,"",Patients!A86))</f>
        <v/>
      </c>
      <c r="B86" s="24" t="str">
        <f aca="false">IF(A86="","",Patients!B86&amp;"")</f>
        <v/>
      </c>
      <c r="C86" s="21" t="str">
        <f aca="false">IF(A86="","",Patients!G86)</f>
        <v/>
      </c>
      <c r="D86" s="18" t="str">
        <f aca="false">IF(A86="","",_xlfn.MAXIFS('Injection Sales'!$A$2:$A$501,'Injection Sales'!$B$2:$B$501,A86))</f>
        <v/>
      </c>
      <c r="E86" s="19" t="str">
        <f aca="true">IF(A86="","",TODAY()-D86)</f>
        <v/>
      </c>
      <c r="F86" s="21" t="str">
        <f aca="false">IF(A86="","",IF(E86&gt;=Settings!$B$9,Settings!$B$9&amp;" Day",IF(E86&gt;=Settings!$B$8,Settings!$B$8&amp;" Day","Due in "&amp;(Settings!$B$8-E86)&amp;" days")))</f>
        <v/>
      </c>
      <c r="G86" s="21" t="str">
        <f aca="false">IF(A86="","",Patients!H86)</f>
        <v/>
      </c>
      <c r="H86" s="1"/>
    </row>
    <row r="87" customFormat="false" ht="15" hidden="false" customHeight="false" outlineLevel="0" collapsed="false">
      <c r="A87" s="21" t="str">
        <f aca="false">IF(Patients!A87="","",IF(COUNTIF('Injection Sales'!$B$2:$B$501,Patients!A87)=0,"",Patients!A87))</f>
        <v/>
      </c>
      <c r="B87" s="24" t="str">
        <f aca="false">IF(A87="","",Patients!B87&amp;"")</f>
        <v/>
      </c>
      <c r="C87" s="21" t="str">
        <f aca="false">IF(A87="","",Patients!G87)</f>
        <v/>
      </c>
      <c r="D87" s="18" t="str">
        <f aca="false">IF(A87="","",_xlfn.MAXIFS('Injection Sales'!$A$2:$A$501,'Injection Sales'!$B$2:$B$501,A87))</f>
        <v/>
      </c>
      <c r="E87" s="19" t="str">
        <f aca="true">IF(A87="","",TODAY()-D87)</f>
        <v/>
      </c>
      <c r="F87" s="21" t="str">
        <f aca="false">IF(A87="","",IF(E87&gt;=Settings!$B$9,Settings!$B$9&amp;" Day",IF(E87&gt;=Settings!$B$8,Settings!$B$8&amp;" Day","Due in "&amp;(Settings!$B$8-E87)&amp;" days")))</f>
        <v/>
      </c>
      <c r="G87" s="21" t="str">
        <f aca="false">IF(A87="","",Patients!H87)</f>
        <v/>
      </c>
      <c r="H87" s="1"/>
    </row>
    <row r="88" customFormat="false" ht="15" hidden="false" customHeight="false" outlineLevel="0" collapsed="false">
      <c r="A88" s="21" t="str">
        <f aca="false">IF(Patients!A88="","",IF(COUNTIF('Injection Sales'!$B$2:$B$501,Patients!A88)=0,"",Patients!A88))</f>
        <v/>
      </c>
      <c r="B88" s="24" t="str">
        <f aca="false">IF(A88="","",Patients!B88&amp;"")</f>
        <v/>
      </c>
      <c r="C88" s="21" t="str">
        <f aca="false">IF(A88="","",Patients!G88)</f>
        <v/>
      </c>
      <c r="D88" s="18" t="str">
        <f aca="false">IF(A88="","",_xlfn.MAXIFS('Injection Sales'!$A$2:$A$501,'Injection Sales'!$B$2:$B$501,A88))</f>
        <v/>
      </c>
      <c r="E88" s="19" t="str">
        <f aca="true">IF(A88="","",TODAY()-D88)</f>
        <v/>
      </c>
      <c r="F88" s="21" t="str">
        <f aca="false">IF(A88="","",IF(E88&gt;=Settings!$B$9,Settings!$B$9&amp;" Day",IF(E88&gt;=Settings!$B$8,Settings!$B$8&amp;" Day","Due in "&amp;(Settings!$B$8-E88)&amp;" days")))</f>
        <v/>
      </c>
      <c r="G88" s="21" t="str">
        <f aca="false">IF(A88="","",Patients!H88)</f>
        <v/>
      </c>
      <c r="H88" s="1"/>
    </row>
    <row r="89" customFormat="false" ht="15" hidden="false" customHeight="false" outlineLevel="0" collapsed="false">
      <c r="A89" s="21" t="str">
        <f aca="false">IF(Patients!A89="","",IF(COUNTIF('Injection Sales'!$B$2:$B$501,Patients!A89)=0,"",Patients!A89))</f>
        <v/>
      </c>
      <c r="B89" s="24" t="str">
        <f aca="false">IF(A89="","",Patients!B89&amp;"")</f>
        <v/>
      </c>
      <c r="C89" s="21" t="str">
        <f aca="false">IF(A89="","",Patients!G89)</f>
        <v/>
      </c>
      <c r="D89" s="18" t="str">
        <f aca="false">IF(A89="","",_xlfn.MAXIFS('Injection Sales'!$A$2:$A$501,'Injection Sales'!$B$2:$B$501,A89))</f>
        <v/>
      </c>
      <c r="E89" s="19" t="str">
        <f aca="true">IF(A89="","",TODAY()-D89)</f>
        <v/>
      </c>
      <c r="F89" s="21" t="str">
        <f aca="false">IF(A89="","",IF(E89&gt;=Settings!$B$9,Settings!$B$9&amp;" Day",IF(E89&gt;=Settings!$B$8,Settings!$B$8&amp;" Day","Due in "&amp;(Settings!$B$8-E89)&amp;" days")))</f>
        <v/>
      </c>
      <c r="G89" s="21" t="str">
        <f aca="false">IF(A89="","",Patients!H89)</f>
        <v/>
      </c>
      <c r="H89" s="1"/>
    </row>
    <row r="90" customFormat="false" ht="15" hidden="false" customHeight="false" outlineLevel="0" collapsed="false">
      <c r="A90" s="21" t="str">
        <f aca="false">IF(Patients!A90="","",IF(COUNTIF('Injection Sales'!$B$2:$B$501,Patients!A90)=0,"",Patients!A90))</f>
        <v/>
      </c>
      <c r="B90" s="24" t="str">
        <f aca="false">IF(A90="","",Patients!B90&amp;"")</f>
        <v/>
      </c>
      <c r="C90" s="21" t="str">
        <f aca="false">IF(A90="","",Patients!G90)</f>
        <v/>
      </c>
      <c r="D90" s="18" t="str">
        <f aca="false">IF(A90="","",_xlfn.MAXIFS('Injection Sales'!$A$2:$A$501,'Injection Sales'!$B$2:$B$501,A90))</f>
        <v/>
      </c>
      <c r="E90" s="19" t="str">
        <f aca="true">IF(A90="","",TODAY()-D90)</f>
        <v/>
      </c>
      <c r="F90" s="21" t="str">
        <f aca="false">IF(A90="","",IF(E90&gt;=Settings!$B$9,Settings!$B$9&amp;" Day",IF(E90&gt;=Settings!$B$8,Settings!$B$8&amp;" Day","Due in "&amp;(Settings!$B$8-E90)&amp;" days")))</f>
        <v/>
      </c>
      <c r="G90" s="21" t="str">
        <f aca="false">IF(A90="","",Patients!H90)</f>
        <v/>
      </c>
      <c r="H90" s="1"/>
    </row>
    <row r="91" customFormat="false" ht="15" hidden="false" customHeight="false" outlineLevel="0" collapsed="false">
      <c r="A91" s="21" t="str">
        <f aca="false">IF(Patients!A91="","",IF(COUNTIF('Injection Sales'!$B$2:$B$501,Patients!A91)=0,"",Patients!A91))</f>
        <v/>
      </c>
      <c r="B91" s="24" t="str">
        <f aca="false">IF(A91="","",Patients!B91&amp;"")</f>
        <v/>
      </c>
      <c r="C91" s="21" t="str">
        <f aca="false">IF(A91="","",Patients!G91)</f>
        <v/>
      </c>
      <c r="D91" s="18" t="str">
        <f aca="false">IF(A91="","",_xlfn.MAXIFS('Injection Sales'!$A$2:$A$501,'Injection Sales'!$B$2:$B$501,A91))</f>
        <v/>
      </c>
      <c r="E91" s="19" t="str">
        <f aca="true">IF(A91="","",TODAY()-D91)</f>
        <v/>
      </c>
      <c r="F91" s="21" t="str">
        <f aca="false">IF(A91="","",IF(E91&gt;=Settings!$B$9,Settings!$B$9&amp;" Day",IF(E91&gt;=Settings!$B$8,Settings!$B$8&amp;" Day","Due in "&amp;(Settings!$B$8-E91)&amp;" days")))</f>
        <v/>
      </c>
      <c r="G91" s="21" t="str">
        <f aca="false">IF(A91="","",Patients!H91)</f>
        <v/>
      </c>
      <c r="H91" s="1"/>
    </row>
    <row r="92" customFormat="false" ht="15" hidden="false" customHeight="false" outlineLevel="0" collapsed="false">
      <c r="A92" s="21" t="str">
        <f aca="false">IF(Patients!A92="","",IF(COUNTIF('Injection Sales'!$B$2:$B$501,Patients!A92)=0,"",Patients!A92))</f>
        <v/>
      </c>
      <c r="B92" s="24" t="str">
        <f aca="false">IF(A92="","",Patients!B92&amp;"")</f>
        <v/>
      </c>
      <c r="C92" s="21" t="str">
        <f aca="false">IF(A92="","",Patients!G92)</f>
        <v/>
      </c>
      <c r="D92" s="18" t="str">
        <f aca="false">IF(A92="","",_xlfn.MAXIFS('Injection Sales'!$A$2:$A$501,'Injection Sales'!$B$2:$B$501,A92))</f>
        <v/>
      </c>
      <c r="E92" s="19" t="str">
        <f aca="true">IF(A92="","",TODAY()-D92)</f>
        <v/>
      </c>
      <c r="F92" s="21" t="str">
        <f aca="false">IF(A92="","",IF(E92&gt;=Settings!$B$9,Settings!$B$9&amp;" Day",IF(E92&gt;=Settings!$B$8,Settings!$B$8&amp;" Day","Due in "&amp;(Settings!$B$8-E92)&amp;" days")))</f>
        <v/>
      </c>
      <c r="G92" s="21" t="str">
        <f aca="false">IF(A92="","",Patients!H92)</f>
        <v/>
      </c>
      <c r="H92" s="1"/>
    </row>
    <row r="93" customFormat="false" ht="15" hidden="false" customHeight="false" outlineLevel="0" collapsed="false">
      <c r="A93" s="21" t="str">
        <f aca="false">IF(Patients!A93="","",IF(COUNTIF('Injection Sales'!$B$2:$B$501,Patients!A93)=0,"",Patients!A93))</f>
        <v/>
      </c>
      <c r="B93" s="24" t="str">
        <f aca="false">IF(A93="","",Patients!B93&amp;"")</f>
        <v/>
      </c>
      <c r="C93" s="21" t="str">
        <f aca="false">IF(A93="","",Patients!G93)</f>
        <v/>
      </c>
      <c r="D93" s="18" t="str">
        <f aca="false">IF(A93="","",_xlfn.MAXIFS('Injection Sales'!$A$2:$A$501,'Injection Sales'!$B$2:$B$501,A93))</f>
        <v/>
      </c>
      <c r="E93" s="19" t="str">
        <f aca="true">IF(A93="","",TODAY()-D93)</f>
        <v/>
      </c>
      <c r="F93" s="21" t="str">
        <f aca="false">IF(A93="","",IF(E93&gt;=Settings!$B$9,Settings!$B$9&amp;" Day",IF(E93&gt;=Settings!$B$8,Settings!$B$8&amp;" Day","Due in "&amp;(Settings!$B$8-E93)&amp;" days")))</f>
        <v/>
      </c>
      <c r="G93" s="21" t="str">
        <f aca="false">IF(A93="","",Patients!H93)</f>
        <v/>
      </c>
      <c r="H93" s="1"/>
    </row>
    <row r="94" customFormat="false" ht="15" hidden="false" customHeight="false" outlineLevel="0" collapsed="false">
      <c r="A94" s="21" t="str">
        <f aca="false">IF(Patients!A94="","",IF(COUNTIF('Injection Sales'!$B$2:$B$501,Patients!A94)=0,"",Patients!A94))</f>
        <v/>
      </c>
      <c r="B94" s="24" t="str">
        <f aca="false">IF(A94="","",Patients!B94&amp;"")</f>
        <v/>
      </c>
      <c r="C94" s="21" t="str">
        <f aca="false">IF(A94="","",Patients!G94)</f>
        <v/>
      </c>
      <c r="D94" s="18" t="str">
        <f aca="false">IF(A94="","",_xlfn.MAXIFS('Injection Sales'!$A$2:$A$501,'Injection Sales'!$B$2:$B$501,A94))</f>
        <v/>
      </c>
      <c r="E94" s="19" t="str">
        <f aca="true">IF(A94="","",TODAY()-D94)</f>
        <v/>
      </c>
      <c r="F94" s="21" t="str">
        <f aca="false">IF(A94="","",IF(E94&gt;=Settings!$B$9,Settings!$B$9&amp;" Day",IF(E94&gt;=Settings!$B$8,Settings!$B$8&amp;" Day","Due in "&amp;(Settings!$B$8-E94)&amp;" days")))</f>
        <v/>
      </c>
      <c r="G94" s="21" t="str">
        <f aca="false">IF(A94="","",Patients!H94)</f>
        <v/>
      </c>
      <c r="H94" s="1"/>
    </row>
    <row r="95" customFormat="false" ht="15" hidden="false" customHeight="false" outlineLevel="0" collapsed="false">
      <c r="A95" s="21" t="str">
        <f aca="false">IF(Patients!A95="","",IF(COUNTIF('Injection Sales'!$B$2:$B$501,Patients!A95)=0,"",Patients!A95))</f>
        <v/>
      </c>
      <c r="B95" s="24" t="str">
        <f aca="false">IF(A95="","",Patients!B95&amp;"")</f>
        <v/>
      </c>
      <c r="C95" s="21" t="str">
        <f aca="false">IF(A95="","",Patients!G95)</f>
        <v/>
      </c>
      <c r="D95" s="18" t="str">
        <f aca="false">IF(A95="","",_xlfn.MAXIFS('Injection Sales'!$A$2:$A$501,'Injection Sales'!$B$2:$B$501,A95))</f>
        <v/>
      </c>
      <c r="E95" s="19" t="str">
        <f aca="true">IF(A95="","",TODAY()-D95)</f>
        <v/>
      </c>
      <c r="F95" s="21" t="str">
        <f aca="false">IF(A95="","",IF(E95&gt;=Settings!$B$9,Settings!$B$9&amp;" Day",IF(E95&gt;=Settings!$B$8,Settings!$B$8&amp;" Day","Due in "&amp;(Settings!$B$8-E95)&amp;" days")))</f>
        <v/>
      </c>
      <c r="G95" s="21" t="str">
        <f aca="false">IF(A95="","",Patients!H95)</f>
        <v/>
      </c>
      <c r="H95" s="1"/>
    </row>
    <row r="96" customFormat="false" ht="15" hidden="false" customHeight="false" outlineLevel="0" collapsed="false">
      <c r="A96" s="21" t="str">
        <f aca="false">IF(Patients!A96="","",IF(COUNTIF('Injection Sales'!$B$2:$B$501,Patients!A96)=0,"",Patients!A96))</f>
        <v/>
      </c>
      <c r="B96" s="24" t="str">
        <f aca="false">IF(A96="","",Patients!B96&amp;"")</f>
        <v/>
      </c>
      <c r="C96" s="21" t="str">
        <f aca="false">IF(A96="","",Patients!G96)</f>
        <v/>
      </c>
      <c r="D96" s="18" t="str">
        <f aca="false">IF(A96="","",_xlfn.MAXIFS('Injection Sales'!$A$2:$A$501,'Injection Sales'!$B$2:$B$501,A96))</f>
        <v/>
      </c>
      <c r="E96" s="19" t="str">
        <f aca="true">IF(A96="","",TODAY()-D96)</f>
        <v/>
      </c>
      <c r="F96" s="21" t="str">
        <f aca="false">IF(A96="","",IF(E96&gt;=Settings!$B$9,Settings!$B$9&amp;" Day",IF(E96&gt;=Settings!$B$8,Settings!$B$8&amp;" Day","Due in "&amp;(Settings!$B$8-E96)&amp;" days")))</f>
        <v/>
      </c>
      <c r="G96" s="21" t="str">
        <f aca="false">IF(A96="","",Patients!H96)</f>
        <v/>
      </c>
      <c r="H96" s="1"/>
    </row>
    <row r="97" customFormat="false" ht="15" hidden="false" customHeight="false" outlineLevel="0" collapsed="false">
      <c r="A97" s="21" t="str">
        <f aca="false">IF(Patients!A97="","",IF(COUNTIF('Injection Sales'!$B$2:$B$501,Patients!A97)=0,"",Patients!A97))</f>
        <v/>
      </c>
      <c r="B97" s="24" t="str">
        <f aca="false">IF(A97="","",Patients!B97&amp;"")</f>
        <v/>
      </c>
      <c r="C97" s="21" t="str">
        <f aca="false">IF(A97="","",Patients!G97)</f>
        <v/>
      </c>
      <c r="D97" s="18" t="str">
        <f aca="false">IF(A97="","",_xlfn.MAXIFS('Injection Sales'!$A$2:$A$501,'Injection Sales'!$B$2:$B$501,A97))</f>
        <v/>
      </c>
      <c r="E97" s="19" t="str">
        <f aca="true">IF(A97="","",TODAY()-D97)</f>
        <v/>
      </c>
      <c r="F97" s="21" t="str">
        <f aca="false">IF(A97="","",IF(E97&gt;=Settings!$B$9,Settings!$B$9&amp;" Day",IF(E97&gt;=Settings!$B$8,Settings!$B$8&amp;" Day","Due in "&amp;(Settings!$B$8-E97)&amp;" days")))</f>
        <v/>
      </c>
      <c r="G97" s="21" t="str">
        <f aca="false">IF(A97="","",Patients!H97)</f>
        <v/>
      </c>
      <c r="H97" s="1"/>
    </row>
    <row r="98" customFormat="false" ht="15" hidden="false" customHeight="false" outlineLevel="0" collapsed="false">
      <c r="A98" s="21" t="str">
        <f aca="false">IF(Patients!A98="","",IF(COUNTIF('Injection Sales'!$B$2:$B$501,Patients!A98)=0,"",Patients!A98))</f>
        <v/>
      </c>
      <c r="B98" s="24" t="str">
        <f aca="false">IF(A98="","",Patients!B98&amp;"")</f>
        <v/>
      </c>
      <c r="C98" s="21" t="str">
        <f aca="false">IF(A98="","",Patients!G98)</f>
        <v/>
      </c>
      <c r="D98" s="18" t="str">
        <f aca="false">IF(A98="","",_xlfn.MAXIFS('Injection Sales'!$A$2:$A$501,'Injection Sales'!$B$2:$B$501,A98))</f>
        <v/>
      </c>
      <c r="E98" s="19" t="str">
        <f aca="true">IF(A98="","",TODAY()-D98)</f>
        <v/>
      </c>
      <c r="F98" s="21" t="str">
        <f aca="false">IF(A98="","",IF(E98&gt;=Settings!$B$9,Settings!$B$9&amp;" Day",IF(E98&gt;=Settings!$B$8,Settings!$B$8&amp;" Day","Due in "&amp;(Settings!$B$8-E98)&amp;" days")))</f>
        <v/>
      </c>
      <c r="G98" s="21" t="str">
        <f aca="false">IF(A98="","",Patients!H98)</f>
        <v/>
      </c>
      <c r="H98" s="1"/>
    </row>
    <row r="99" customFormat="false" ht="15" hidden="false" customHeight="false" outlineLevel="0" collapsed="false">
      <c r="A99" s="21" t="str">
        <f aca="false">IF(Patients!A99="","",IF(COUNTIF('Injection Sales'!$B$2:$B$501,Patients!A99)=0,"",Patients!A99))</f>
        <v/>
      </c>
      <c r="B99" s="24" t="str">
        <f aca="false">IF(A99="","",Patients!B99&amp;"")</f>
        <v/>
      </c>
      <c r="C99" s="21" t="str">
        <f aca="false">IF(A99="","",Patients!G99)</f>
        <v/>
      </c>
      <c r="D99" s="18" t="str">
        <f aca="false">IF(A99="","",_xlfn.MAXIFS('Injection Sales'!$A$2:$A$501,'Injection Sales'!$B$2:$B$501,A99))</f>
        <v/>
      </c>
      <c r="E99" s="19" t="str">
        <f aca="true">IF(A99="","",TODAY()-D99)</f>
        <v/>
      </c>
      <c r="F99" s="21" t="str">
        <f aca="false">IF(A99="","",IF(E99&gt;=Settings!$B$9,Settings!$B$9&amp;" Day",IF(E99&gt;=Settings!$B$8,Settings!$B$8&amp;" Day","Due in "&amp;(Settings!$B$8-E99)&amp;" days")))</f>
        <v/>
      </c>
      <c r="G99" s="21" t="str">
        <f aca="false">IF(A99="","",Patients!H99)</f>
        <v/>
      </c>
      <c r="H99" s="1"/>
    </row>
    <row r="100" customFormat="false" ht="15" hidden="false" customHeight="false" outlineLevel="0" collapsed="false">
      <c r="A100" s="21" t="str">
        <f aca="false">IF(Patients!A100="","",IF(COUNTIF('Injection Sales'!$B$2:$B$501,Patients!A100)=0,"",Patients!A100))</f>
        <v/>
      </c>
      <c r="B100" s="24" t="str">
        <f aca="false">IF(A100="","",Patients!B100&amp;"")</f>
        <v/>
      </c>
      <c r="C100" s="21" t="str">
        <f aca="false">IF(A100="","",Patients!G100)</f>
        <v/>
      </c>
      <c r="D100" s="18" t="str">
        <f aca="false">IF(A100="","",_xlfn.MAXIFS('Injection Sales'!$A$2:$A$501,'Injection Sales'!$B$2:$B$501,A100))</f>
        <v/>
      </c>
      <c r="E100" s="19" t="str">
        <f aca="true">IF(A100="","",TODAY()-D100)</f>
        <v/>
      </c>
      <c r="F100" s="21" t="str">
        <f aca="false">IF(A100="","",IF(E100&gt;=Settings!$B$9,Settings!$B$9&amp;" Day",IF(E100&gt;=Settings!$B$8,Settings!$B$8&amp;" Day","Due in "&amp;(Settings!$B$8-E100)&amp;" days")))</f>
        <v/>
      </c>
      <c r="G100" s="21" t="str">
        <f aca="false">IF(A100="","",Patients!H100)</f>
        <v/>
      </c>
      <c r="H100" s="1"/>
    </row>
    <row r="101" customFormat="false" ht="15" hidden="false" customHeight="false" outlineLevel="0" collapsed="false">
      <c r="A101" s="21" t="str">
        <f aca="false">IF(Patients!A101="","",IF(COUNTIF('Injection Sales'!$B$2:$B$501,Patients!A101)=0,"",Patients!A101))</f>
        <v/>
      </c>
      <c r="B101" s="24" t="str">
        <f aca="false">IF(A101="","",Patients!B101&amp;"")</f>
        <v/>
      </c>
      <c r="C101" s="21" t="str">
        <f aca="false">IF(A101="","",Patients!G101)</f>
        <v/>
      </c>
      <c r="D101" s="18" t="str">
        <f aca="false">IF(A101="","",_xlfn.MAXIFS('Injection Sales'!$A$2:$A$501,'Injection Sales'!$B$2:$B$501,A101))</f>
        <v/>
      </c>
      <c r="E101" s="19" t="str">
        <f aca="true">IF(A101="","",TODAY()-D101)</f>
        <v/>
      </c>
      <c r="F101" s="21" t="str">
        <f aca="false">IF(A101="","",IF(E101&gt;=Settings!$B$9,Settings!$B$9&amp;" Day",IF(E101&gt;=Settings!$B$8,Settings!$B$8&amp;" Day","Due in "&amp;(Settings!$B$8-E101)&amp;" days")))</f>
        <v/>
      </c>
      <c r="G101" s="21" t="str">
        <f aca="false">IF(A101="","",Patients!H101)</f>
        <v/>
      </c>
      <c r="H101" s="1"/>
    </row>
    <row r="102" customFormat="false" ht="15" hidden="false" customHeight="false" outlineLevel="0" collapsed="false">
      <c r="A102" s="21" t="str">
        <f aca="false">IF(Patients!A102="","",IF(COUNTIF('Injection Sales'!$B$2:$B$501,Patients!A102)=0,"",Patients!A102))</f>
        <v/>
      </c>
      <c r="B102" s="24" t="str">
        <f aca="false">IF(A102="","",Patients!B102&amp;"")</f>
        <v/>
      </c>
      <c r="C102" s="21" t="str">
        <f aca="false">IF(A102="","",Patients!G102)</f>
        <v/>
      </c>
      <c r="D102" s="18" t="str">
        <f aca="false">IF(A102="","",_xlfn.MAXIFS('Injection Sales'!$A$2:$A$501,'Injection Sales'!$B$2:$B$501,A102))</f>
        <v/>
      </c>
      <c r="E102" s="19" t="str">
        <f aca="true">IF(A102="","",TODAY()-D102)</f>
        <v/>
      </c>
      <c r="F102" s="21" t="str">
        <f aca="false">IF(A102="","",IF(E102&gt;=Settings!$B$9,Settings!$B$9&amp;" Day",IF(E102&gt;=Settings!$B$8,Settings!$B$8&amp;" Day","Due in "&amp;(Settings!$B$8-E102)&amp;" days")))</f>
        <v/>
      </c>
      <c r="G102" s="21" t="str">
        <f aca="false">IF(A102="","",Patients!H102)</f>
        <v/>
      </c>
      <c r="H102" s="1"/>
    </row>
    <row r="103" customFormat="false" ht="15" hidden="false" customHeight="false" outlineLevel="0" collapsed="false">
      <c r="A103" s="21" t="str">
        <f aca="false">IF(Patients!A103="","",IF(COUNTIF('Injection Sales'!$B$2:$B$501,Patients!A103)=0,"",Patients!A103))</f>
        <v/>
      </c>
      <c r="B103" s="24" t="str">
        <f aca="false">IF(A103="","",Patients!B103&amp;"")</f>
        <v/>
      </c>
      <c r="C103" s="21" t="str">
        <f aca="false">IF(A103="","",Patients!G103)</f>
        <v/>
      </c>
      <c r="D103" s="18" t="str">
        <f aca="false">IF(A103="","",_xlfn.MAXIFS('Injection Sales'!$A$2:$A$501,'Injection Sales'!$B$2:$B$501,A103))</f>
        <v/>
      </c>
      <c r="E103" s="19" t="str">
        <f aca="true">IF(A103="","",TODAY()-D103)</f>
        <v/>
      </c>
      <c r="F103" s="21" t="str">
        <f aca="false">IF(A103="","",IF(E103&gt;=Settings!$B$9,Settings!$B$9&amp;" Day",IF(E103&gt;=Settings!$B$8,Settings!$B$8&amp;" Day","Due in "&amp;(Settings!$B$8-E103)&amp;" days")))</f>
        <v/>
      </c>
      <c r="G103" s="21" t="str">
        <f aca="false">IF(A103="","",Patients!H103)</f>
        <v/>
      </c>
      <c r="H103" s="1"/>
    </row>
    <row r="104" customFormat="false" ht="15" hidden="false" customHeight="false" outlineLevel="0" collapsed="false">
      <c r="A104" s="21" t="str">
        <f aca="false">IF(Patients!A104="","",IF(COUNTIF('Injection Sales'!$B$2:$B$501,Patients!A104)=0,"",Patients!A104))</f>
        <v/>
      </c>
      <c r="B104" s="24" t="str">
        <f aca="false">IF(A104="","",Patients!B104&amp;"")</f>
        <v/>
      </c>
      <c r="C104" s="21" t="str">
        <f aca="false">IF(A104="","",Patients!G104)</f>
        <v/>
      </c>
      <c r="D104" s="18" t="str">
        <f aca="false">IF(A104="","",_xlfn.MAXIFS('Injection Sales'!$A$2:$A$501,'Injection Sales'!$B$2:$B$501,A104))</f>
        <v/>
      </c>
      <c r="E104" s="19" t="str">
        <f aca="true">IF(A104="","",TODAY()-D104)</f>
        <v/>
      </c>
      <c r="F104" s="21" t="str">
        <f aca="false">IF(A104="","",IF(E104&gt;=Settings!$B$9,Settings!$B$9&amp;" Day",IF(E104&gt;=Settings!$B$8,Settings!$B$8&amp;" Day","Due in "&amp;(Settings!$B$8-E104)&amp;" days")))</f>
        <v/>
      </c>
      <c r="G104" s="21" t="str">
        <f aca="false">IF(A104="","",Patients!H104)</f>
        <v/>
      </c>
      <c r="H104" s="1"/>
    </row>
    <row r="105" customFormat="false" ht="15" hidden="false" customHeight="false" outlineLevel="0" collapsed="false">
      <c r="A105" s="21" t="str">
        <f aca="false">IF(Patients!A105="","",IF(COUNTIF('Injection Sales'!$B$2:$B$501,Patients!A105)=0,"",Patients!A105))</f>
        <v/>
      </c>
      <c r="B105" s="24" t="str">
        <f aca="false">IF(A105="","",Patients!B105&amp;"")</f>
        <v/>
      </c>
      <c r="C105" s="21" t="str">
        <f aca="false">IF(A105="","",Patients!G105)</f>
        <v/>
      </c>
      <c r="D105" s="18" t="str">
        <f aca="false">IF(A105="","",_xlfn.MAXIFS('Injection Sales'!$A$2:$A$501,'Injection Sales'!$B$2:$B$501,A105))</f>
        <v/>
      </c>
      <c r="E105" s="19" t="str">
        <f aca="true">IF(A105="","",TODAY()-D105)</f>
        <v/>
      </c>
      <c r="F105" s="21" t="str">
        <f aca="false">IF(A105="","",IF(E105&gt;=Settings!$B$9,Settings!$B$9&amp;" Day",IF(E105&gt;=Settings!$B$8,Settings!$B$8&amp;" Day","Due in "&amp;(Settings!$B$8-E105)&amp;" days")))</f>
        <v/>
      </c>
      <c r="G105" s="21" t="str">
        <f aca="false">IF(A105="","",Patients!H105)</f>
        <v/>
      </c>
      <c r="H105" s="1"/>
    </row>
    <row r="106" customFormat="false" ht="15" hidden="false" customHeight="false" outlineLevel="0" collapsed="false">
      <c r="A106" s="21" t="str">
        <f aca="false">IF(Patients!A106="","",IF(COUNTIF('Injection Sales'!$B$2:$B$501,Patients!A106)=0,"",Patients!A106))</f>
        <v/>
      </c>
      <c r="B106" s="24" t="str">
        <f aca="false">IF(A106="","",Patients!B106&amp;"")</f>
        <v/>
      </c>
      <c r="C106" s="21" t="str">
        <f aca="false">IF(A106="","",Patients!G106)</f>
        <v/>
      </c>
      <c r="D106" s="18" t="str">
        <f aca="false">IF(A106="","",_xlfn.MAXIFS('Injection Sales'!$A$2:$A$501,'Injection Sales'!$B$2:$B$501,A106))</f>
        <v/>
      </c>
      <c r="E106" s="19" t="str">
        <f aca="true">IF(A106="","",TODAY()-D106)</f>
        <v/>
      </c>
      <c r="F106" s="21" t="str">
        <f aca="false">IF(A106="","",IF(E106&gt;=Settings!$B$9,Settings!$B$9&amp;" Day",IF(E106&gt;=Settings!$B$8,Settings!$B$8&amp;" Day","Due in "&amp;(Settings!$B$8-E106)&amp;" days")))</f>
        <v/>
      </c>
      <c r="G106" s="21" t="str">
        <f aca="false">IF(A106="","",Patients!H106)</f>
        <v/>
      </c>
      <c r="H106" s="1"/>
    </row>
    <row r="107" customFormat="false" ht="15" hidden="false" customHeight="false" outlineLevel="0" collapsed="false">
      <c r="A107" s="21" t="str">
        <f aca="false">IF(Patients!A107="","",IF(COUNTIF('Injection Sales'!$B$2:$B$501,Patients!A107)=0,"",Patients!A107))</f>
        <v/>
      </c>
      <c r="B107" s="24" t="str">
        <f aca="false">IF(A107="","",Patients!B107&amp;"")</f>
        <v/>
      </c>
      <c r="C107" s="21" t="str">
        <f aca="false">IF(A107="","",Patients!G107)</f>
        <v/>
      </c>
      <c r="D107" s="18" t="str">
        <f aca="false">IF(A107="","",_xlfn.MAXIFS('Injection Sales'!$A$2:$A$501,'Injection Sales'!$B$2:$B$501,A107))</f>
        <v/>
      </c>
      <c r="E107" s="19" t="str">
        <f aca="true">IF(A107="","",TODAY()-D107)</f>
        <v/>
      </c>
      <c r="F107" s="21" t="str">
        <f aca="false">IF(A107="","",IF(E107&gt;=Settings!$B$9,Settings!$B$9&amp;" Day",IF(E107&gt;=Settings!$B$8,Settings!$B$8&amp;" Day","Due in "&amp;(Settings!$B$8-E107)&amp;" days")))</f>
        <v/>
      </c>
      <c r="G107" s="21" t="str">
        <f aca="false">IF(A107="","",Patients!H107)</f>
        <v/>
      </c>
      <c r="H107" s="1"/>
    </row>
    <row r="108" customFormat="false" ht="15" hidden="false" customHeight="false" outlineLevel="0" collapsed="false">
      <c r="A108" s="21" t="str">
        <f aca="false">IF(Patients!A108="","",IF(COUNTIF('Injection Sales'!$B$2:$B$501,Patients!A108)=0,"",Patients!A108))</f>
        <v/>
      </c>
      <c r="B108" s="24" t="str">
        <f aca="false">IF(A108="","",Patients!B108&amp;"")</f>
        <v/>
      </c>
      <c r="C108" s="21" t="str">
        <f aca="false">IF(A108="","",Patients!G108)</f>
        <v/>
      </c>
      <c r="D108" s="18" t="str">
        <f aca="false">IF(A108="","",_xlfn.MAXIFS('Injection Sales'!$A$2:$A$501,'Injection Sales'!$B$2:$B$501,A108))</f>
        <v/>
      </c>
      <c r="E108" s="19" t="str">
        <f aca="true">IF(A108="","",TODAY()-D108)</f>
        <v/>
      </c>
      <c r="F108" s="21" t="str">
        <f aca="false">IF(A108="","",IF(E108&gt;=Settings!$B$9,Settings!$B$9&amp;" Day",IF(E108&gt;=Settings!$B$8,Settings!$B$8&amp;" Day","Due in "&amp;(Settings!$B$8-E108)&amp;" days")))</f>
        <v/>
      </c>
      <c r="G108" s="21" t="str">
        <f aca="false">IF(A108="","",Patients!H108)</f>
        <v/>
      </c>
      <c r="H108" s="1"/>
    </row>
    <row r="109" customFormat="false" ht="15" hidden="false" customHeight="false" outlineLevel="0" collapsed="false">
      <c r="A109" s="21" t="str">
        <f aca="false">IF(Patients!A109="","",IF(COUNTIF('Injection Sales'!$B$2:$B$501,Patients!A109)=0,"",Patients!A109))</f>
        <v/>
      </c>
      <c r="B109" s="24" t="str">
        <f aca="false">IF(A109="","",Patients!B109&amp;"")</f>
        <v/>
      </c>
      <c r="C109" s="21" t="str">
        <f aca="false">IF(A109="","",Patients!G109)</f>
        <v/>
      </c>
      <c r="D109" s="18" t="str">
        <f aca="false">IF(A109="","",_xlfn.MAXIFS('Injection Sales'!$A$2:$A$501,'Injection Sales'!$B$2:$B$501,A109))</f>
        <v/>
      </c>
      <c r="E109" s="19" t="str">
        <f aca="true">IF(A109="","",TODAY()-D109)</f>
        <v/>
      </c>
      <c r="F109" s="21" t="str">
        <f aca="false">IF(A109="","",IF(E109&gt;=Settings!$B$9,Settings!$B$9&amp;" Day",IF(E109&gt;=Settings!$B$8,Settings!$B$8&amp;" Day","Due in "&amp;(Settings!$B$8-E109)&amp;" days")))</f>
        <v/>
      </c>
      <c r="G109" s="21" t="str">
        <f aca="false">IF(A109="","",Patients!H109)</f>
        <v/>
      </c>
      <c r="H109" s="1"/>
    </row>
    <row r="110" customFormat="false" ht="15" hidden="false" customHeight="false" outlineLevel="0" collapsed="false">
      <c r="A110" s="21" t="str">
        <f aca="false">IF(Patients!A110="","",IF(COUNTIF('Injection Sales'!$B$2:$B$501,Patients!A110)=0,"",Patients!A110))</f>
        <v/>
      </c>
      <c r="B110" s="24" t="str">
        <f aca="false">IF(A110="","",Patients!B110&amp;"")</f>
        <v/>
      </c>
      <c r="C110" s="21" t="str">
        <f aca="false">IF(A110="","",Patients!G110)</f>
        <v/>
      </c>
      <c r="D110" s="18" t="str">
        <f aca="false">IF(A110="","",_xlfn.MAXIFS('Injection Sales'!$A$2:$A$501,'Injection Sales'!$B$2:$B$501,A110))</f>
        <v/>
      </c>
      <c r="E110" s="19" t="str">
        <f aca="true">IF(A110="","",TODAY()-D110)</f>
        <v/>
      </c>
      <c r="F110" s="21" t="str">
        <f aca="false">IF(A110="","",IF(E110&gt;=Settings!$B$9,Settings!$B$9&amp;" Day",IF(E110&gt;=Settings!$B$8,Settings!$B$8&amp;" Day","Due in "&amp;(Settings!$B$8-E110)&amp;" days")))</f>
        <v/>
      </c>
      <c r="G110" s="21" t="str">
        <f aca="false">IF(A110="","",Patients!H110)</f>
        <v/>
      </c>
      <c r="H110" s="1"/>
    </row>
    <row r="111" customFormat="false" ht="15" hidden="false" customHeight="false" outlineLevel="0" collapsed="false">
      <c r="A111" s="21" t="str">
        <f aca="false">IF(Patients!A111="","",IF(COUNTIF('Injection Sales'!$B$2:$B$501,Patients!A111)=0,"",Patients!A111))</f>
        <v/>
      </c>
      <c r="B111" s="24" t="str">
        <f aca="false">IF(A111="","",Patients!B111&amp;"")</f>
        <v/>
      </c>
      <c r="C111" s="21" t="str">
        <f aca="false">IF(A111="","",Patients!G111)</f>
        <v/>
      </c>
      <c r="D111" s="18" t="str">
        <f aca="false">IF(A111="","",_xlfn.MAXIFS('Injection Sales'!$A$2:$A$501,'Injection Sales'!$B$2:$B$501,A111))</f>
        <v/>
      </c>
      <c r="E111" s="19" t="str">
        <f aca="true">IF(A111="","",TODAY()-D111)</f>
        <v/>
      </c>
      <c r="F111" s="21" t="str">
        <f aca="false">IF(A111="","",IF(E111&gt;=Settings!$B$9,Settings!$B$9&amp;" Day",IF(E111&gt;=Settings!$B$8,Settings!$B$8&amp;" Day","Due in "&amp;(Settings!$B$8-E111)&amp;" days")))</f>
        <v/>
      </c>
      <c r="G111" s="21" t="str">
        <f aca="false">IF(A111="","",Patients!H111)</f>
        <v/>
      </c>
      <c r="H111" s="1"/>
    </row>
    <row r="112" customFormat="false" ht="15" hidden="false" customHeight="false" outlineLevel="0" collapsed="false">
      <c r="A112" s="21" t="str">
        <f aca="false">IF(Patients!A112="","",IF(COUNTIF('Injection Sales'!$B$2:$B$501,Patients!A112)=0,"",Patients!A112))</f>
        <v/>
      </c>
      <c r="B112" s="24" t="str">
        <f aca="false">IF(A112="","",Patients!B112&amp;"")</f>
        <v/>
      </c>
      <c r="C112" s="21" t="str">
        <f aca="false">IF(A112="","",Patients!G112)</f>
        <v/>
      </c>
      <c r="D112" s="18" t="str">
        <f aca="false">IF(A112="","",_xlfn.MAXIFS('Injection Sales'!$A$2:$A$501,'Injection Sales'!$B$2:$B$501,A112))</f>
        <v/>
      </c>
      <c r="E112" s="19" t="str">
        <f aca="true">IF(A112="","",TODAY()-D112)</f>
        <v/>
      </c>
      <c r="F112" s="21" t="str">
        <f aca="false">IF(A112="","",IF(E112&gt;=Settings!$B$9,Settings!$B$9&amp;" Day",IF(E112&gt;=Settings!$B$8,Settings!$B$8&amp;" Day","Due in "&amp;(Settings!$B$8-E112)&amp;" days")))</f>
        <v/>
      </c>
      <c r="G112" s="21" t="str">
        <f aca="false">IF(A112="","",Patients!H112)</f>
        <v/>
      </c>
      <c r="H112" s="1"/>
    </row>
    <row r="113" customFormat="false" ht="15" hidden="false" customHeight="false" outlineLevel="0" collapsed="false">
      <c r="A113" s="21" t="str">
        <f aca="false">IF(Patients!A113="","",IF(COUNTIF('Injection Sales'!$B$2:$B$501,Patients!A113)=0,"",Patients!A113))</f>
        <v/>
      </c>
      <c r="B113" s="24" t="str">
        <f aca="false">IF(A113="","",Patients!B113&amp;"")</f>
        <v/>
      </c>
      <c r="C113" s="21" t="str">
        <f aca="false">IF(A113="","",Patients!G113)</f>
        <v/>
      </c>
      <c r="D113" s="18" t="str">
        <f aca="false">IF(A113="","",_xlfn.MAXIFS('Injection Sales'!$A$2:$A$501,'Injection Sales'!$B$2:$B$501,A113))</f>
        <v/>
      </c>
      <c r="E113" s="19" t="str">
        <f aca="true">IF(A113="","",TODAY()-D113)</f>
        <v/>
      </c>
      <c r="F113" s="21" t="str">
        <f aca="false">IF(A113="","",IF(E113&gt;=Settings!$B$9,Settings!$B$9&amp;" Day",IF(E113&gt;=Settings!$B$8,Settings!$B$8&amp;" Day","Due in "&amp;(Settings!$B$8-E113)&amp;" days")))</f>
        <v/>
      </c>
      <c r="G113" s="21" t="str">
        <f aca="false">IF(A113="","",Patients!H113)</f>
        <v/>
      </c>
      <c r="H113" s="1"/>
    </row>
    <row r="114" customFormat="false" ht="15" hidden="false" customHeight="false" outlineLevel="0" collapsed="false">
      <c r="A114" s="21" t="str">
        <f aca="false">IF(Patients!A114="","",IF(COUNTIF('Injection Sales'!$B$2:$B$501,Patients!A114)=0,"",Patients!A114))</f>
        <v/>
      </c>
      <c r="B114" s="24" t="str">
        <f aca="false">IF(A114="","",Patients!B114&amp;"")</f>
        <v/>
      </c>
      <c r="C114" s="21" t="str">
        <f aca="false">IF(A114="","",Patients!G114)</f>
        <v/>
      </c>
      <c r="D114" s="18" t="str">
        <f aca="false">IF(A114="","",_xlfn.MAXIFS('Injection Sales'!$A$2:$A$501,'Injection Sales'!$B$2:$B$501,A114))</f>
        <v/>
      </c>
      <c r="E114" s="19" t="str">
        <f aca="true">IF(A114="","",TODAY()-D114)</f>
        <v/>
      </c>
      <c r="F114" s="21" t="str">
        <f aca="false">IF(A114="","",IF(E114&gt;=Settings!$B$9,Settings!$B$9&amp;" Day",IF(E114&gt;=Settings!$B$8,Settings!$B$8&amp;" Day","Due in "&amp;(Settings!$B$8-E114)&amp;" days")))</f>
        <v/>
      </c>
      <c r="G114" s="21" t="str">
        <f aca="false">IF(A114="","",Patients!H114)</f>
        <v/>
      </c>
      <c r="H114" s="1"/>
    </row>
    <row r="115" customFormat="false" ht="15" hidden="false" customHeight="false" outlineLevel="0" collapsed="false">
      <c r="A115" s="21" t="str">
        <f aca="false">IF(Patients!A115="","",IF(COUNTIF('Injection Sales'!$B$2:$B$501,Patients!A115)=0,"",Patients!A115))</f>
        <v/>
      </c>
      <c r="B115" s="24" t="str">
        <f aca="false">IF(A115="","",Patients!B115&amp;"")</f>
        <v/>
      </c>
      <c r="C115" s="21" t="str">
        <f aca="false">IF(A115="","",Patients!G115)</f>
        <v/>
      </c>
      <c r="D115" s="18" t="str">
        <f aca="false">IF(A115="","",_xlfn.MAXIFS('Injection Sales'!$A$2:$A$501,'Injection Sales'!$B$2:$B$501,A115))</f>
        <v/>
      </c>
      <c r="E115" s="19" t="str">
        <f aca="true">IF(A115="","",TODAY()-D115)</f>
        <v/>
      </c>
      <c r="F115" s="21" t="str">
        <f aca="false">IF(A115="","",IF(E115&gt;=Settings!$B$9,Settings!$B$9&amp;" Day",IF(E115&gt;=Settings!$B$8,Settings!$B$8&amp;" Day","Due in "&amp;(Settings!$B$8-E115)&amp;" days")))</f>
        <v/>
      </c>
      <c r="G115" s="21" t="str">
        <f aca="false">IF(A115="","",Patients!H115)</f>
        <v/>
      </c>
      <c r="H115" s="1"/>
    </row>
    <row r="116" customFormat="false" ht="15" hidden="false" customHeight="false" outlineLevel="0" collapsed="false">
      <c r="A116" s="21" t="str">
        <f aca="false">IF(Patients!A116="","",IF(COUNTIF('Injection Sales'!$B$2:$B$501,Patients!A116)=0,"",Patients!A116))</f>
        <v/>
      </c>
      <c r="B116" s="24" t="str">
        <f aca="false">IF(A116="","",Patients!B116&amp;"")</f>
        <v/>
      </c>
      <c r="C116" s="21" t="str">
        <f aca="false">IF(A116="","",Patients!G116)</f>
        <v/>
      </c>
      <c r="D116" s="18" t="str">
        <f aca="false">IF(A116="","",_xlfn.MAXIFS('Injection Sales'!$A$2:$A$501,'Injection Sales'!$B$2:$B$501,A116))</f>
        <v/>
      </c>
      <c r="E116" s="19" t="str">
        <f aca="true">IF(A116="","",TODAY()-D116)</f>
        <v/>
      </c>
      <c r="F116" s="21" t="str">
        <f aca="false">IF(A116="","",IF(E116&gt;=Settings!$B$9,Settings!$B$9&amp;" Day",IF(E116&gt;=Settings!$B$8,Settings!$B$8&amp;" Day","Due in "&amp;(Settings!$B$8-E116)&amp;" days")))</f>
        <v/>
      </c>
      <c r="G116" s="21" t="str">
        <f aca="false">IF(A116="","",Patients!H116)</f>
        <v/>
      </c>
      <c r="H116" s="1"/>
    </row>
    <row r="117" customFormat="false" ht="15" hidden="false" customHeight="false" outlineLevel="0" collapsed="false">
      <c r="A117" s="21" t="str">
        <f aca="false">IF(Patients!A117="","",IF(COUNTIF('Injection Sales'!$B$2:$B$501,Patients!A117)=0,"",Patients!A117))</f>
        <v/>
      </c>
      <c r="B117" s="24" t="str">
        <f aca="false">IF(A117="","",Patients!B117&amp;"")</f>
        <v/>
      </c>
      <c r="C117" s="21" t="str">
        <f aca="false">IF(A117="","",Patients!G117)</f>
        <v/>
      </c>
      <c r="D117" s="18" t="str">
        <f aca="false">IF(A117="","",_xlfn.MAXIFS('Injection Sales'!$A$2:$A$501,'Injection Sales'!$B$2:$B$501,A117))</f>
        <v/>
      </c>
      <c r="E117" s="19" t="str">
        <f aca="true">IF(A117="","",TODAY()-D117)</f>
        <v/>
      </c>
      <c r="F117" s="21" t="str">
        <f aca="false">IF(A117="","",IF(E117&gt;=Settings!$B$9,Settings!$B$9&amp;" Day",IF(E117&gt;=Settings!$B$8,Settings!$B$8&amp;" Day","Due in "&amp;(Settings!$B$8-E117)&amp;" days")))</f>
        <v/>
      </c>
      <c r="G117" s="21" t="str">
        <f aca="false">IF(A117="","",Patients!H117)</f>
        <v/>
      </c>
      <c r="H117" s="1"/>
    </row>
    <row r="118" customFormat="false" ht="15" hidden="false" customHeight="false" outlineLevel="0" collapsed="false">
      <c r="A118" s="21" t="str">
        <f aca="false">IF(Patients!A118="","",IF(COUNTIF('Injection Sales'!$B$2:$B$501,Patients!A118)=0,"",Patients!A118))</f>
        <v/>
      </c>
      <c r="B118" s="24" t="str">
        <f aca="false">IF(A118="","",Patients!B118&amp;"")</f>
        <v/>
      </c>
      <c r="C118" s="21" t="str">
        <f aca="false">IF(A118="","",Patients!G118)</f>
        <v/>
      </c>
      <c r="D118" s="18" t="str">
        <f aca="false">IF(A118="","",_xlfn.MAXIFS('Injection Sales'!$A$2:$A$501,'Injection Sales'!$B$2:$B$501,A118))</f>
        <v/>
      </c>
      <c r="E118" s="19" t="str">
        <f aca="true">IF(A118="","",TODAY()-D118)</f>
        <v/>
      </c>
      <c r="F118" s="21" t="str">
        <f aca="false">IF(A118="","",IF(E118&gt;=Settings!$B$9,Settings!$B$9&amp;" Day",IF(E118&gt;=Settings!$B$8,Settings!$B$8&amp;" Day","Due in "&amp;(Settings!$B$8-E118)&amp;" days")))</f>
        <v/>
      </c>
      <c r="G118" s="21" t="str">
        <f aca="false">IF(A118="","",Patients!H118)</f>
        <v/>
      </c>
      <c r="H118" s="1"/>
    </row>
    <row r="119" customFormat="false" ht="15" hidden="false" customHeight="false" outlineLevel="0" collapsed="false">
      <c r="A119" s="21" t="str">
        <f aca="false">IF(Patients!A119="","",IF(COUNTIF('Injection Sales'!$B$2:$B$501,Patients!A119)=0,"",Patients!A119))</f>
        <v/>
      </c>
      <c r="B119" s="24" t="str">
        <f aca="false">IF(A119="","",Patients!B119&amp;"")</f>
        <v/>
      </c>
      <c r="C119" s="21" t="str">
        <f aca="false">IF(A119="","",Patients!G119)</f>
        <v/>
      </c>
      <c r="D119" s="18" t="str">
        <f aca="false">IF(A119="","",_xlfn.MAXIFS('Injection Sales'!$A$2:$A$501,'Injection Sales'!$B$2:$B$501,A119))</f>
        <v/>
      </c>
      <c r="E119" s="19" t="str">
        <f aca="true">IF(A119="","",TODAY()-D119)</f>
        <v/>
      </c>
      <c r="F119" s="21" t="str">
        <f aca="false">IF(A119="","",IF(E119&gt;=Settings!$B$9,Settings!$B$9&amp;" Day",IF(E119&gt;=Settings!$B$8,Settings!$B$8&amp;" Day","Due in "&amp;(Settings!$B$8-E119)&amp;" days")))</f>
        <v/>
      </c>
      <c r="G119" s="21" t="str">
        <f aca="false">IF(A119="","",Patients!H119)</f>
        <v/>
      </c>
      <c r="H119" s="1"/>
    </row>
    <row r="120" customFormat="false" ht="15" hidden="false" customHeight="false" outlineLevel="0" collapsed="false">
      <c r="A120" s="21" t="str">
        <f aca="false">IF(Patients!A120="","",IF(COUNTIF('Injection Sales'!$B$2:$B$501,Patients!A120)=0,"",Patients!A120))</f>
        <v/>
      </c>
      <c r="B120" s="24" t="str">
        <f aca="false">IF(A120="","",Patients!B120&amp;"")</f>
        <v/>
      </c>
      <c r="C120" s="21" t="str">
        <f aca="false">IF(A120="","",Patients!G120)</f>
        <v/>
      </c>
      <c r="D120" s="18" t="str">
        <f aca="false">IF(A120="","",_xlfn.MAXIFS('Injection Sales'!$A$2:$A$501,'Injection Sales'!$B$2:$B$501,A120))</f>
        <v/>
      </c>
      <c r="E120" s="19" t="str">
        <f aca="true">IF(A120="","",TODAY()-D120)</f>
        <v/>
      </c>
      <c r="F120" s="21" t="str">
        <f aca="false">IF(A120="","",IF(E120&gt;=Settings!$B$9,Settings!$B$9&amp;" Day",IF(E120&gt;=Settings!$B$8,Settings!$B$8&amp;" Day","Due in "&amp;(Settings!$B$8-E120)&amp;" days")))</f>
        <v/>
      </c>
      <c r="G120" s="21" t="str">
        <f aca="false">IF(A120="","",Patients!H120)</f>
        <v/>
      </c>
      <c r="H120" s="1"/>
    </row>
    <row r="121" customFormat="false" ht="15" hidden="false" customHeight="false" outlineLevel="0" collapsed="false">
      <c r="A121" s="21" t="str">
        <f aca="false">IF(Patients!A121="","",IF(COUNTIF('Injection Sales'!$B$2:$B$501,Patients!A121)=0,"",Patients!A121))</f>
        <v/>
      </c>
      <c r="B121" s="24" t="str">
        <f aca="false">IF(A121="","",Patients!B121&amp;"")</f>
        <v/>
      </c>
      <c r="C121" s="21" t="str">
        <f aca="false">IF(A121="","",Patients!G121)</f>
        <v/>
      </c>
      <c r="D121" s="18" t="str">
        <f aca="false">IF(A121="","",_xlfn.MAXIFS('Injection Sales'!$A$2:$A$501,'Injection Sales'!$B$2:$B$501,A121))</f>
        <v/>
      </c>
      <c r="E121" s="19" t="str">
        <f aca="true">IF(A121="","",TODAY()-D121)</f>
        <v/>
      </c>
      <c r="F121" s="21" t="str">
        <f aca="false">IF(A121="","",IF(E121&gt;=Settings!$B$9,Settings!$B$9&amp;" Day",IF(E121&gt;=Settings!$B$8,Settings!$B$8&amp;" Day","Due in "&amp;(Settings!$B$8-E121)&amp;" days")))</f>
        <v/>
      </c>
      <c r="G121" s="21" t="str">
        <f aca="false">IF(A121="","",Patients!H121)</f>
        <v/>
      </c>
      <c r="H121" s="1"/>
    </row>
    <row r="122" customFormat="false" ht="15" hidden="false" customHeight="false" outlineLevel="0" collapsed="false">
      <c r="A122" s="21" t="str">
        <f aca="false">IF(Patients!A122="","",IF(COUNTIF('Injection Sales'!$B$2:$B$501,Patients!A122)=0,"",Patients!A122))</f>
        <v/>
      </c>
      <c r="B122" s="24" t="str">
        <f aca="false">IF(A122="","",Patients!B122&amp;"")</f>
        <v/>
      </c>
      <c r="C122" s="21" t="str">
        <f aca="false">IF(A122="","",Patients!G122)</f>
        <v/>
      </c>
      <c r="D122" s="18" t="str">
        <f aca="false">IF(A122="","",_xlfn.MAXIFS('Injection Sales'!$A$2:$A$501,'Injection Sales'!$B$2:$B$501,A122))</f>
        <v/>
      </c>
      <c r="E122" s="19" t="str">
        <f aca="true">IF(A122="","",TODAY()-D122)</f>
        <v/>
      </c>
      <c r="F122" s="21" t="str">
        <f aca="false">IF(A122="","",IF(E122&gt;=Settings!$B$9,Settings!$B$9&amp;" Day",IF(E122&gt;=Settings!$B$8,Settings!$B$8&amp;" Day","Due in "&amp;(Settings!$B$8-E122)&amp;" days")))</f>
        <v/>
      </c>
      <c r="G122" s="21" t="str">
        <f aca="false">IF(A122="","",Patients!H122)</f>
        <v/>
      </c>
      <c r="H122" s="1"/>
    </row>
    <row r="123" customFormat="false" ht="15" hidden="false" customHeight="false" outlineLevel="0" collapsed="false">
      <c r="A123" s="21" t="str">
        <f aca="false">IF(Patients!A123="","",IF(COUNTIF('Injection Sales'!$B$2:$B$501,Patients!A123)=0,"",Patients!A123))</f>
        <v/>
      </c>
      <c r="B123" s="24" t="str">
        <f aca="false">IF(A123="","",Patients!B123&amp;"")</f>
        <v/>
      </c>
      <c r="C123" s="21" t="str">
        <f aca="false">IF(A123="","",Patients!G123)</f>
        <v/>
      </c>
      <c r="D123" s="18" t="str">
        <f aca="false">IF(A123="","",_xlfn.MAXIFS('Injection Sales'!$A$2:$A$501,'Injection Sales'!$B$2:$B$501,A123))</f>
        <v/>
      </c>
      <c r="E123" s="19" t="str">
        <f aca="true">IF(A123="","",TODAY()-D123)</f>
        <v/>
      </c>
      <c r="F123" s="21" t="str">
        <f aca="false">IF(A123="","",IF(E123&gt;=Settings!$B$9,Settings!$B$9&amp;" Day",IF(E123&gt;=Settings!$B$8,Settings!$B$8&amp;" Day","Due in "&amp;(Settings!$B$8-E123)&amp;" days")))</f>
        <v/>
      </c>
      <c r="G123" s="21" t="str">
        <f aca="false">IF(A123="","",Patients!H123)</f>
        <v/>
      </c>
      <c r="H123" s="1"/>
    </row>
    <row r="124" customFormat="false" ht="15" hidden="false" customHeight="false" outlineLevel="0" collapsed="false">
      <c r="A124" s="21" t="str">
        <f aca="false">IF(Patients!A124="","",IF(COUNTIF('Injection Sales'!$B$2:$B$501,Patients!A124)=0,"",Patients!A124))</f>
        <v/>
      </c>
      <c r="B124" s="24" t="str">
        <f aca="false">IF(A124="","",Patients!B124&amp;"")</f>
        <v/>
      </c>
      <c r="C124" s="21" t="str">
        <f aca="false">IF(A124="","",Patients!G124)</f>
        <v/>
      </c>
      <c r="D124" s="18" t="str">
        <f aca="false">IF(A124="","",_xlfn.MAXIFS('Injection Sales'!$A$2:$A$501,'Injection Sales'!$B$2:$B$501,A124))</f>
        <v/>
      </c>
      <c r="E124" s="19" t="str">
        <f aca="true">IF(A124="","",TODAY()-D124)</f>
        <v/>
      </c>
      <c r="F124" s="21" t="str">
        <f aca="false">IF(A124="","",IF(E124&gt;=Settings!$B$9,Settings!$B$9&amp;" Day",IF(E124&gt;=Settings!$B$8,Settings!$B$8&amp;" Day","Due in "&amp;(Settings!$B$8-E124)&amp;" days")))</f>
        <v/>
      </c>
      <c r="G124" s="21" t="str">
        <f aca="false">IF(A124="","",Patients!H124)</f>
        <v/>
      </c>
      <c r="H124" s="1"/>
    </row>
    <row r="125" customFormat="false" ht="15" hidden="false" customHeight="false" outlineLevel="0" collapsed="false">
      <c r="A125" s="21" t="str">
        <f aca="false">IF(Patients!A125="","",IF(COUNTIF('Injection Sales'!$B$2:$B$501,Patients!A125)=0,"",Patients!A125))</f>
        <v/>
      </c>
      <c r="B125" s="24" t="str">
        <f aca="false">IF(A125="","",Patients!B125&amp;"")</f>
        <v/>
      </c>
      <c r="C125" s="21" t="str">
        <f aca="false">IF(A125="","",Patients!G125)</f>
        <v/>
      </c>
      <c r="D125" s="18" t="str">
        <f aca="false">IF(A125="","",_xlfn.MAXIFS('Injection Sales'!$A$2:$A$501,'Injection Sales'!$B$2:$B$501,A125))</f>
        <v/>
      </c>
      <c r="E125" s="19" t="str">
        <f aca="true">IF(A125="","",TODAY()-D125)</f>
        <v/>
      </c>
      <c r="F125" s="21" t="str">
        <f aca="false">IF(A125="","",IF(E125&gt;=Settings!$B$9,Settings!$B$9&amp;" Day",IF(E125&gt;=Settings!$B$8,Settings!$B$8&amp;" Day","Due in "&amp;(Settings!$B$8-E125)&amp;" days")))</f>
        <v/>
      </c>
      <c r="G125" s="21" t="str">
        <f aca="false">IF(A125="","",Patients!H125)</f>
        <v/>
      </c>
      <c r="H125" s="1"/>
    </row>
    <row r="126" customFormat="false" ht="15" hidden="false" customHeight="false" outlineLevel="0" collapsed="false">
      <c r="A126" s="21" t="str">
        <f aca="false">IF(Patients!A126="","",IF(COUNTIF('Injection Sales'!$B$2:$B$501,Patients!A126)=0,"",Patients!A126))</f>
        <v/>
      </c>
      <c r="B126" s="24" t="str">
        <f aca="false">IF(A126="","",Patients!B126&amp;"")</f>
        <v/>
      </c>
      <c r="C126" s="21" t="str">
        <f aca="false">IF(A126="","",Patients!G126)</f>
        <v/>
      </c>
      <c r="D126" s="18" t="str">
        <f aca="false">IF(A126="","",_xlfn.MAXIFS('Injection Sales'!$A$2:$A$501,'Injection Sales'!$B$2:$B$501,A126))</f>
        <v/>
      </c>
      <c r="E126" s="19" t="str">
        <f aca="true">IF(A126="","",TODAY()-D126)</f>
        <v/>
      </c>
      <c r="F126" s="21" t="str">
        <f aca="false">IF(A126="","",IF(E126&gt;=Settings!$B$9,Settings!$B$9&amp;" Day",IF(E126&gt;=Settings!$B$8,Settings!$B$8&amp;" Day","Due in "&amp;(Settings!$B$8-E126)&amp;" days")))</f>
        <v/>
      </c>
      <c r="G126" s="21" t="str">
        <f aca="false">IF(A126="","",Patients!H126)</f>
        <v/>
      </c>
      <c r="H126" s="1"/>
    </row>
    <row r="127" customFormat="false" ht="15" hidden="false" customHeight="false" outlineLevel="0" collapsed="false">
      <c r="A127" s="21" t="str">
        <f aca="false">IF(Patients!A127="","",IF(COUNTIF('Injection Sales'!$B$2:$B$501,Patients!A127)=0,"",Patients!A127))</f>
        <v/>
      </c>
      <c r="B127" s="24" t="str">
        <f aca="false">IF(A127="","",Patients!B127&amp;"")</f>
        <v/>
      </c>
      <c r="C127" s="21" t="str">
        <f aca="false">IF(A127="","",Patients!G127)</f>
        <v/>
      </c>
      <c r="D127" s="18" t="str">
        <f aca="false">IF(A127="","",_xlfn.MAXIFS('Injection Sales'!$A$2:$A$501,'Injection Sales'!$B$2:$B$501,A127))</f>
        <v/>
      </c>
      <c r="E127" s="19" t="str">
        <f aca="true">IF(A127="","",TODAY()-D127)</f>
        <v/>
      </c>
      <c r="F127" s="21" t="str">
        <f aca="false">IF(A127="","",IF(E127&gt;=Settings!$B$9,Settings!$B$9&amp;" Day",IF(E127&gt;=Settings!$B$8,Settings!$B$8&amp;" Day","Due in "&amp;(Settings!$B$8-E127)&amp;" days")))</f>
        <v/>
      </c>
      <c r="G127" s="21" t="str">
        <f aca="false">IF(A127="","",Patients!H127)</f>
        <v/>
      </c>
      <c r="H127" s="1"/>
    </row>
    <row r="128" customFormat="false" ht="15" hidden="false" customHeight="false" outlineLevel="0" collapsed="false">
      <c r="A128" s="21" t="str">
        <f aca="false">IF(Patients!A128="","",IF(COUNTIF('Injection Sales'!$B$2:$B$501,Patients!A128)=0,"",Patients!A128))</f>
        <v/>
      </c>
      <c r="B128" s="24" t="str">
        <f aca="false">IF(A128="","",Patients!B128&amp;"")</f>
        <v/>
      </c>
      <c r="C128" s="21" t="str">
        <f aca="false">IF(A128="","",Patients!G128)</f>
        <v/>
      </c>
      <c r="D128" s="18" t="str">
        <f aca="false">IF(A128="","",_xlfn.MAXIFS('Injection Sales'!$A$2:$A$501,'Injection Sales'!$B$2:$B$501,A128))</f>
        <v/>
      </c>
      <c r="E128" s="19" t="str">
        <f aca="true">IF(A128="","",TODAY()-D128)</f>
        <v/>
      </c>
      <c r="F128" s="21" t="str">
        <f aca="false">IF(A128="","",IF(E128&gt;=Settings!$B$9,Settings!$B$9&amp;" Day",IF(E128&gt;=Settings!$B$8,Settings!$B$8&amp;" Day","Due in "&amp;(Settings!$B$8-E128)&amp;" days")))</f>
        <v/>
      </c>
      <c r="G128" s="21" t="str">
        <f aca="false">IF(A128="","",Patients!H128)</f>
        <v/>
      </c>
      <c r="H128" s="1"/>
    </row>
    <row r="129" customFormat="false" ht="15" hidden="false" customHeight="false" outlineLevel="0" collapsed="false">
      <c r="A129" s="21" t="str">
        <f aca="false">IF(Patients!A129="","",IF(COUNTIF('Injection Sales'!$B$2:$B$501,Patients!A129)=0,"",Patients!A129))</f>
        <v/>
      </c>
      <c r="B129" s="24" t="str">
        <f aca="false">IF(A129="","",Patients!B129&amp;"")</f>
        <v/>
      </c>
      <c r="C129" s="21" t="str">
        <f aca="false">IF(A129="","",Patients!G129)</f>
        <v/>
      </c>
      <c r="D129" s="18" t="str">
        <f aca="false">IF(A129="","",_xlfn.MAXIFS('Injection Sales'!$A$2:$A$501,'Injection Sales'!$B$2:$B$501,A129))</f>
        <v/>
      </c>
      <c r="E129" s="19" t="str">
        <f aca="true">IF(A129="","",TODAY()-D129)</f>
        <v/>
      </c>
      <c r="F129" s="21" t="str">
        <f aca="false">IF(A129="","",IF(E129&gt;=Settings!$B$9,Settings!$B$9&amp;" Day",IF(E129&gt;=Settings!$B$8,Settings!$B$8&amp;" Day","Due in "&amp;(Settings!$B$8-E129)&amp;" days")))</f>
        <v/>
      </c>
      <c r="G129" s="21" t="str">
        <f aca="false">IF(A129="","",Patients!H129)</f>
        <v/>
      </c>
      <c r="H129" s="1"/>
    </row>
    <row r="130" customFormat="false" ht="15" hidden="false" customHeight="false" outlineLevel="0" collapsed="false">
      <c r="A130" s="21" t="str">
        <f aca="false">IF(Patients!A130="","",IF(COUNTIF('Injection Sales'!$B$2:$B$501,Patients!A130)=0,"",Patients!A130))</f>
        <v/>
      </c>
      <c r="B130" s="24" t="str">
        <f aca="false">IF(A130="","",Patients!B130&amp;"")</f>
        <v/>
      </c>
      <c r="C130" s="21" t="str">
        <f aca="false">IF(A130="","",Patients!G130)</f>
        <v/>
      </c>
      <c r="D130" s="18" t="str">
        <f aca="false">IF(A130="","",_xlfn.MAXIFS('Injection Sales'!$A$2:$A$501,'Injection Sales'!$B$2:$B$501,A130))</f>
        <v/>
      </c>
      <c r="E130" s="19" t="str">
        <f aca="true">IF(A130="","",TODAY()-D130)</f>
        <v/>
      </c>
      <c r="F130" s="21" t="str">
        <f aca="false">IF(A130="","",IF(E130&gt;=Settings!$B$9,Settings!$B$9&amp;" Day",IF(E130&gt;=Settings!$B$8,Settings!$B$8&amp;" Day","Due in "&amp;(Settings!$B$8-E130)&amp;" days")))</f>
        <v/>
      </c>
      <c r="G130" s="21" t="str">
        <f aca="false">IF(A130="","",Patients!H130)</f>
        <v/>
      </c>
      <c r="H130" s="1"/>
    </row>
    <row r="131" customFormat="false" ht="15" hidden="false" customHeight="false" outlineLevel="0" collapsed="false">
      <c r="A131" s="21" t="str">
        <f aca="false">IF(Patients!A131="","",IF(COUNTIF('Injection Sales'!$B$2:$B$501,Patients!A131)=0,"",Patients!A131))</f>
        <v/>
      </c>
      <c r="B131" s="24" t="str">
        <f aca="false">IF(A131="","",Patients!B131&amp;"")</f>
        <v/>
      </c>
      <c r="C131" s="21" t="str">
        <f aca="false">IF(A131="","",Patients!G131)</f>
        <v/>
      </c>
      <c r="D131" s="18" t="str">
        <f aca="false">IF(A131="","",_xlfn.MAXIFS('Injection Sales'!$A$2:$A$501,'Injection Sales'!$B$2:$B$501,A131))</f>
        <v/>
      </c>
      <c r="E131" s="19" t="str">
        <f aca="true">IF(A131="","",TODAY()-D131)</f>
        <v/>
      </c>
      <c r="F131" s="21" t="str">
        <f aca="false">IF(A131="","",IF(E131&gt;=Settings!$B$9,Settings!$B$9&amp;" Day",IF(E131&gt;=Settings!$B$8,Settings!$B$8&amp;" Day","Due in "&amp;(Settings!$B$8-E131)&amp;" days")))</f>
        <v/>
      </c>
      <c r="G131" s="21" t="str">
        <f aca="false">IF(A131="","",Patients!H131)</f>
        <v/>
      </c>
      <c r="H131" s="1"/>
    </row>
    <row r="132" customFormat="false" ht="15" hidden="false" customHeight="false" outlineLevel="0" collapsed="false">
      <c r="A132" s="21" t="str">
        <f aca="false">IF(Patients!A132="","",IF(COUNTIF('Injection Sales'!$B$2:$B$501,Patients!A132)=0,"",Patients!A132))</f>
        <v/>
      </c>
      <c r="B132" s="24" t="str">
        <f aca="false">IF(A132="","",Patients!B132&amp;"")</f>
        <v/>
      </c>
      <c r="C132" s="21" t="str">
        <f aca="false">IF(A132="","",Patients!G132)</f>
        <v/>
      </c>
      <c r="D132" s="18" t="str">
        <f aca="false">IF(A132="","",_xlfn.MAXIFS('Injection Sales'!$A$2:$A$501,'Injection Sales'!$B$2:$B$501,A132))</f>
        <v/>
      </c>
      <c r="E132" s="19" t="str">
        <f aca="true">IF(A132="","",TODAY()-D132)</f>
        <v/>
      </c>
      <c r="F132" s="21" t="str">
        <f aca="false">IF(A132="","",IF(E132&gt;=Settings!$B$9,Settings!$B$9&amp;" Day",IF(E132&gt;=Settings!$B$8,Settings!$B$8&amp;" Day","Due in "&amp;(Settings!$B$8-E132)&amp;" days")))</f>
        <v/>
      </c>
      <c r="G132" s="21" t="str">
        <f aca="false">IF(A132="","",Patients!H132)</f>
        <v/>
      </c>
      <c r="H132" s="1"/>
    </row>
    <row r="133" customFormat="false" ht="15" hidden="false" customHeight="false" outlineLevel="0" collapsed="false">
      <c r="A133" s="21" t="str">
        <f aca="false">IF(Patients!A133="","",IF(COUNTIF('Injection Sales'!$B$2:$B$501,Patients!A133)=0,"",Patients!A133))</f>
        <v/>
      </c>
      <c r="B133" s="24" t="str">
        <f aca="false">IF(A133="","",Patients!B133&amp;"")</f>
        <v/>
      </c>
      <c r="C133" s="21" t="str">
        <f aca="false">IF(A133="","",Patients!G133)</f>
        <v/>
      </c>
      <c r="D133" s="18" t="str">
        <f aca="false">IF(A133="","",_xlfn.MAXIFS('Injection Sales'!$A$2:$A$501,'Injection Sales'!$B$2:$B$501,A133))</f>
        <v/>
      </c>
      <c r="E133" s="19" t="str">
        <f aca="true">IF(A133="","",TODAY()-D133)</f>
        <v/>
      </c>
      <c r="F133" s="21" t="str">
        <f aca="false">IF(A133="","",IF(E133&gt;=Settings!$B$9,Settings!$B$9&amp;" Day",IF(E133&gt;=Settings!$B$8,Settings!$B$8&amp;" Day","Due in "&amp;(Settings!$B$8-E133)&amp;" days")))</f>
        <v/>
      </c>
      <c r="G133" s="21" t="str">
        <f aca="false">IF(A133="","",Patients!H133)</f>
        <v/>
      </c>
      <c r="H133" s="1"/>
    </row>
    <row r="134" customFormat="false" ht="15" hidden="false" customHeight="false" outlineLevel="0" collapsed="false">
      <c r="A134" s="21" t="str">
        <f aca="false">IF(Patients!A134="","",IF(COUNTIF('Injection Sales'!$B$2:$B$501,Patients!A134)=0,"",Patients!A134))</f>
        <v/>
      </c>
      <c r="B134" s="24" t="str">
        <f aca="false">IF(A134="","",Patients!B134&amp;"")</f>
        <v/>
      </c>
      <c r="C134" s="21" t="str">
        <f aca="false">IF(A134="","",Patients!G134)</f>
        <v/>
      </c>
      <c r="D134" s="18" t="str">
        <f aca="false">IF(A134="","",_xlfn.MAXIFS('Injection Sales'!$A$2:$A$501,'Injection Sales'!$B$2:$B$501,A134))</f>
        <v/>
      </c>
      <c r="E134" s="19" t="str">
        <f aca="true">IF(A134="","",TODAY()-D134)</f>
        <v/>
      </c>
      <c r="F134" s="21" t="str">
        <f aca="false">IF(A134="","",IF(E134&gt;=Settings!$B$9,Settings!$B$9&amp;" Day",IF(E134&gt;=Settings!$B$8,Settings!$B$8&amp;" Day","Due in "&amp;(Settings!$B$8-E134)&amp;" days")))</f>
        <v/>
      </c>
      <c r="G134" s="21" t="str">
        <f aca="false">IF(A134="","",Patients!H134)</f>
        <v/>
      </c>
      <c r="H134" s="1"/>
    </row>
    <row r="135" customFormat="false" ht="15" hidden="false" customHeight="false" outlineLevel="0" collapsed="false">
      <c r="A135" s="21" t="str">
        <f aca="false">IF(Patients!A135="","",IF(COUNTIF('Injection Sales'!$B$2:$B$501,Patients!A135)=0,"",Patients!A135))</f>
        <v/>
      </c>
      <c r="B135" s="24" t="str">
        <f aca="false">IF(A135="","",Patients!B135&amp;"")</f>
        <v/>
      </c>
      <c r="C135" s="21" t="str">
        <f aca="false">IF(A135="","",Patients!G135)</f>
        <v/>
      </c>
      <c r="D135" s="18" t="str">
        <f aca="false">IF(A135="","",_xlfn.MAXIFS('Injection Sales'!$A$2:$A$501,'Injection Sales'!$B$2:$B$501,A135))</f>
        <v/>
      </c>
      <c r="E135" s="19" t="str">
        <f aca="true">IF(A135="","",TODAY()-D135)</f>
        <v/>
      </c>
      <c r="F135" s="21" t="str">
        <f aca="false">IF(A135="","",IF(E135&gt;=Settings!$B$9,Settings!$B$9&amp;" Day",IF(E135&gt;=Settings!$B$8,Settings!$B$8&amp;" Day","Due in "&amp;(Settings!$B$8-E135)&amp;" days")))</f>
        <v/>
      </c>
      <c r="G135" s="21" t="str">
        <f aca="false">IF(A135="","",Patients!H135)</f>
        <v/>
      </c>
      <c r="H135" s="1"/>
    </row>
    <row r="136" customFormat="false" ht="15" hidden="false" customHeight="false" outlineLevel="0" collapsed="false">
      <c r="A136" s="21" t="str">
        <f aca="false">IF(Patients!A136="","",IF(COUNTIF('Injection Sales'!$B$2:$B$501,Patients!A136)=0,"",Patients!A136))</f>
        <v/>
      </c>
      <c r="B136" s="24" t="str">
        <f aca="false">IF(A136="","",Patients!B136&amp;"")</f>
        <v/>
      </c>
      <c r="C136" s="21" t="str">
        <f aca="false">IF(A136="","",Patients!G136)</f>
        <v/>
      </c>
      <c r="D136" s="18" t="str">
        <f aca="false">IF(A136="","",_xlfn.MAXIFS('Injection Sales'!$A$2:$A$501,'Injection Sales'!$B$2:$B$501,A136))</f>
        <v/>
      </c>
      <c r="E136" s="19" t="str">
        <f aca="true">IF(A136="","",TODAY()-D136)</f>
        <v/>
      </c>
      <c r="F136" s="21" t="str">
        <f aca="false">IF(A136="","",IF(E136&gt;=Settings!$B$9,Settings!$B$9&amp;" Day",IF(E136&gt;=Settings!$B$8,Settings!$B$8&amp;" Day","Due in "&amp;(Settings!$B$8-E136)&amp;" days")))</f>
        <v/>
      </c>
      <c r="G136" s="21" t="str">
        <f aca="false">IF(A136="","",Patients!H136)</f>
        <v/>
      </c>
      <c r="H136" s="1"/>
    </row>
    <row r="137" customFormat="false" ht="15" hidden="false" customHeight="false" outlineLevel="0" collapsed="false">
      <c r="A137" s="21" t="str">
        <f aca="false">IF(Patients!A137="","",IF(COUNTIF('Injection Sales'!$B$2:$B$501,Patients!A137)=0,"",Patients!A137))</f>
        <v/>
      </c>
      <c r="B137" s="24" t="str">
        <f aca="false">IF(A137="","",Patients!B137&amp;"")</f>
        <v/>
      </c>
      <c r="C137" s="21" t="str">
        <f aca="false">IF(A137="","",Patients!G137)</f>
        <v/>
      </c>
      <c r="D137" s="18" t="str">
        <f aca="false">IF(A137="","",_xlfn.MAXIFS('Injection Sales'!$A$2:$A$501,'Injection Sales'!$B$2:$B$501,A137))</f>
        <v/>
      </c>
      <c r="E137" s="19" t="str">
        <f aca="true">IF(A137="","",TODAY()-D137)</f>
        <v/>
      </c>
      <c r="F137" s="21" t="str">
        <f aca="false">IF(A137="","",IF(E137&gt;=Settings!$B$9,Settings!$B$9&amp;" Day",IF(E137&gt;=Settings!$B$8,Settings!$B$8&amp;" Day","Due in "&amp;(Settings!$B$8-E137)&amp;" days")))</f>
        <v/>
      </c>
      <c r="G137" s="21" t="str">
        <f aca="false">IF(A137="","",Patients!H137)</f>
        <v/>
      </c>
      <c r="H137" s="1"/>
    </row>
    <row r="138" customFormat="false" ht="15" hidden="false" customHeight="false" outlineLevel="0" collapsed="false">
      <c r="A138" s="21" t="str">
        <f aca="false">IF(Patients!A138="","",IF(COUNTIF('Injection Sales'!$B$2:$B$501,Patients!A138)=0,"",Patients!A138))</f>
        <v/>
      </c>
      <c r="B138" s="24" t="str">
        <f aca="false">IF(A138="","",Patients!B138&amp;"")</f>
        <v/>
      </c>
      <c r="C138" s="21" t="str">
        <f aca="false">IF(A138="","",Patients!G138)</f>
        <v/>
      </c>
      <c r="D138" s="18" t="str">
        <f aca="false">IF(A138="","",_xlfn.MAXIFS('Injection Sales'!$A$2:$A$501,'Injection Sales'!$B$2:$B$501,A138))</f>
        <v/>
      </c>
      <c r="E138" s="19" t="str">
        <f aca="true">IF(A138="","",TODAY()-D138)</f>
        <v/>
      </c>
      <c r="F138" s="21" t="str">
        <f aca="false">IF(A138="","",IF(E138&gt;=Settings!$B$9,Settings!$B$9&amp;" Day",IF(E138&gt;=Settings!$B$8,Settings!$B$8&amp;" Day","Due in "&amp;(Settings!$B$8-E138)&amp;" days")))</f>
        <v/>
      </c>
      <c r="G138" s="21" t="str">
        <f aca="false">IF(A138="","",Patients!H138)</f>
        <v/>
      </c>
      <c r="H138" s="1"/>
    </row>
    <row r="139" customFormat="false" ht="15" hidden="false" customHeight="false" outlineLevel="0" collapsed="false">
      <c r="A139" s="21" t="str">
        <f aca="false">IF(Patients!A139="","",IF(COUNTIF('Injection Sales'!$B$2:$B$501,Patients!A139)=0,"",Patients!A139))</f>
        <v/>
      </c>
      <c r="B139" s="24" t="str">
        <f aca="false">IF(A139="","",Patients!B139&amp;"")</f>
        <v/>
      </c>
      <c r="C139" s="21" t="str">
        <f aca="false">IF(A139="","",Patients!G139)</f>
        <v/>
      </c>
      <c r="D139" s="18" t="str">
        <f aca="false">IF(A139="","",_xlfn.MAXIFS('Injection Sales'!$A$2:$A$501,'Injection Sales'!$B$2:$B$501,A139))</f>
        <v/>
      </c>
      <c r="E139" s="19" t="str">
        <f aca="true">IF(A139="","",TODAY()-D139)</f>
        <v/>
      </c>
      <c r="F139" s="21" t="str">
        <f aca="false">IF(A139="","",IF(E139&gt;=Settings!$B$9,Settings!$B$9&amp;" Day",IF(E139&gt;=Settings!$B$8,Settings!$B$8&amp;" Day","Due in "&amp;(Settings!$B$8-E139)&amp;" days")))</f>
        <v/>
      </c>
      <c r="G139" s="21" t="str">
        <f aca="false">IF(A139="","",Patients!H139)</f>
        <v/>
      </c>
      <c r="H139" s="1"/>
    </row>
    <row r="140" customFormat="false" ht="15" hidden="false" customHeight="false" outlineLevel="0" collapsed="false">
      <c r="A140" s="21" t="str">
        <f aca="false">IF(Patients!A140="","",IF(COUNTIF('Injection Sales'!$B$2:$B$501,Patients!A140)=0,"",Patients!A140))</f>
        <v/>
      </c>
      <c r="B140" s="24" t="str">
        <f aca="false">IF(A140="","",Patients!B140&amp;"")</f>
        <v/>
      </c>
      <c r="C140" s="21" t="str">
        <f aca="false">IF(A140="","",Patients!G140)</f>
        <v/>
      </c>
      <c r="D140" s="18" t="str">
        <f aca="false">IF(A140="","",_xlfn.MAXIFS('Injection Sales'!$A$2:$A$501,'Injection Sales'!$B$2:$B$501,A140))</f>
        <v/>
      </c>
      <c r="E140" s="19" t="str">
        <f aca="true">IF(A140="","",TODAY()-D140)</f>
        <v/>
      </c>
      <c r="F140" s="21" t="str">
        <f aca="false">IF(A140="","",IF(E140&gt;=Settings!$B$9,Settings!$B$9&amp;" Day",IF(E140&gt;=Settings!$B$8,Settings!$B$8&amp;" Day","Due in "&amp;(Settings!$B$8-E140)&amp;" days")))</f>
        <v/>
      </c>
      <c r="G140" s="21" t="str">
        <f aca="false">IF(A140="","",Patients!H140)</f>
        <v/>
      </c>
      <c r="H140" s="1"/>
    </row>
    <row r="141" customFormat="false" ht="15" hidden="false" customHeight="false" outlineLevel="0" collapsed="false">
      <c r="A141" s="21" t="str">
        <f aca="false">IF(Patients!A141="","",IF(COUNTIF('Injection Sales'!$B$2:$B$501,Patients!A141)=0,"",Patients!A141))</f>
        <v/>
      </c>
      <c r="B141" s="24" t="str">
        <f aca="false">IF(A141="","",Patients!B141&amp;"")</f>
        <v/>
      </c>
      <c r="C141" s="21" t="str">
        <f aca="false">IF(A141="","",Patients!G141)</f>
        <v/>
      </c>
      <c r="D141" s="18" t="str">
        <f aca="false">IF(A141="","",_xlfn.MAXIFS('Injection Sales'!$A$2:$A$501,'Injection Sales'!$B$2:$B$501,A141))</f>
        <v/>
      </c>
      <c r="E141" s="19" t="str">
        <f aca="true">IF(A141="","",TODAY()-D141)</f>
        <v/>
      </c>
      <c r="F141" s="21" t="str">
        <f aca="false">IF(A141="","",IF(E141&gt;=Settings!$B$9,Settings!$B$9&amp;" Day",IF(E141&gt;=Settings!$B$8,Settings!$B$8&amp;" Day","Due in "&amp;(Settings!$B$8-E141)&amp;" days")))</f>
        <v/>
      </c>
      <c r="G141" s="21" t="str">
        <f aca="false">IF(A141="","",Patients!H141)</f>
        <v/>
      </c>
      <c r="H141" s="1"/>
    </row>
    <row r="142" customFormat="false" ht="15" hidden="false" customHeight="false" outlineLevel="0" collapsed="false">
      <c r="A142" s="21" t="str">
        <f aca="false">IF(Patients!A142="","",IF(COUNTIF('Injection Sales'!$B$2:$B$501,Patients!A142)=0,"",Patients!A142))</f>
        <v/>
      </c>
      <c r="B142" s="24" t="str">
        <f aca="false">IF(A142="","",Patients!B142&amp;"")</f>
        <v/>
      </c>
      <c r="C142" s="21" t="str">
        <f aca="false">IF(A142="","",Patients!G142)</f>
        <v/>
      </c>
      <c r="D142" s="18" t="str">
        <f aca="false">IF(A142="","",_xlfn.MAXIFS('Injection Sales'!$A$2:$A$501,'Injection Sales'!$B$2:$B$501,A142))</f>
        <v/>
      </c>
      <c r="E142" s="19" t="str">
        <f aca="true">IF(A142="","",TODAY()-D142)</f>
        <v/>
      </c>
      <c r="F142" s="21" t="str">
        <f aca="false">IF(A142="","",IF(E142&gt;=Settings!$B$9,Settings!$B$9&amp;" Day",IF(E142&gt;=Settings!$B$8,Settings!$B$8&amp;" Day","Due in "&amp;(Settings!$B$8-E142)&amp;" days")))</f>
        <v/>
      </c>
      <c r="G142" s="21" t="str">
        <f aca="false">IF(A142="","",Patients!H142)</f>
        <v/>
      </c>
      <c r="H142" s="1"/>
    </row>
    <row r="143" customFormat="false" ht="15" hidden="false" customHeight="false" outlineLevel="0" collapsed="false">
      <c r="A143" s="21" t="str">
        <f aca="false">IF(Patients!A143="","",IF(COUNTIF('Injection Sales'!$B$2:$B$501,Patients!A143)=0,"",Patients!A143))</f>
        <v/>
      </c>
      <c r="B143" s="24" t="str">
        <f aca="false">IF(A143="","",Patients!B143&amp;"")</f>
        <v/>
      </c>
      <c r="C143" s="21" t="str">
        <f aca="false">IF(A143="","",Patients!G143)</f>
        <v/>
      </c>
      <c r="D143" s="18" t="str">
        <f aca="false">IF(A143="","",_xlfn.MAXIFS('Injection Sales'!$A$2:$A$501,'Injection Sales'!$B$2:$B$501,A143))</f>
        <v/>
      </c>
      <c r="E143" s="19" t="str">
        <f aca="true">IF(A143="","",TODAY()-D143)</f>
        <v/>
      </c>
      <c r="F143" s="21" t="str">
        <f aca="false">IF(A143="","",IF(E143&gt;=Settings!$B$9,Settings!$B$9&amp;" Day",IF(E143&gt;=Settings!$B$8,Settings!$B$8&amp;" Day","Due in "&amp;(Settings!$B$8-E143)&amp;" days")))</f>
        <v/>
      </c>
      <c r="G143" s="21" t="str">
        <f aca="false">IF(A143="","",Patients!H143)</f>
        <v/>
      </c>
      <c r="H143" s="1"/>
    </row>
    <row r="144" customFormat="false" ht="15" hidden="false" customHeight="false" outlineLevel="0" collapsed="false">
      <c r="A144" s="21" t="str">
        <f aca="false">IF(Patients!A144="","",IF(COUNTIF('Injection Sales'!$B$2:$B$501,Patients!A144)=0,"",Patients!A144))</f>
        <v/>
      </c>
      <c r="B144" s="24" t="str">
        <f aca="false">IF(A144="","",Patients!B144&amp;"")</f>
        <v/>
      </c>
      <c r="C144" s="21" t="str">
        <f aca="false">IF(A144="","",Patients!G144)</f>
        <v/>
      </c>
      <c r="D144" s="18" t="str">
        <f aca="false">IF(A144="","",_xlfn.MAXIFS('Injection Sales'!$A$2:$A$501,'Injection Sales'!$B$2:$B$501,A144))</f>
        <v/>
      </c>
      <c r="E144" s="19" t="str">
        <f aca="true">IF(A144="","",TODAY()-D144)</f>
        <v/>
      </c>
      <c r="F144" s="21" t="str">
        <f aca="false">IF(A144="","",IF(E144&gt;=Settings!$B$9,Settings!$B$9&amp;" Day",IF(E144&gt;=Settings!$B$8,Settings!$B$8&amp;" Day","Due in "&amp;(Settings!$B$8-E144)&amp;" days")))</f>
        <v/>
      </c>
      <c r="G144" s="21" t="str">
        <f aca="false">IF(A144="","",Patients!H144)</f>
        <v/>
      </c>
      <c r="H144" s="1"/>
    </row>
    <row r="145" customFormat="false" ht="15" hidden="false" customHeight="false" outlineLevel="0" collapsed="false">
      <c r="A145" s="21" t="str">
        <f aca="false">IF(Patients!A145="","",IF(COUNTIF('Injection Sales'!$B$2:$B$501,Patients!A145)=0,"",Patients!A145))</f>
        <v/>
      </c>
      <c r="B145" s="24" t="str">
        <f aca="false">IF(A145="","",Patients!B145&amp;"")</f>
        <v/>
      </c>
      <c r="C145" s="21" t="str">
        <f aca="false">IF(A145="","",Patients!G145)</f>
        <v/>
      </c>
      <c r="D145" s="18" t="str">
        <f aca="false">IF(A145="","",_xlfn.MAXIFS('Injection Sales'!$A$2:$A$501,'Injection Sales'!$B$2:$B$501,A145))</f>
        <v/>
      </c>
      <c r="E145" s="19" t="str">
        <f aca="true">IF(A145="","",TODAY()-D145)</f>
        <v/>
      </c>
      <c r="F145" s="21" t="str">
        <f aca="false">IF(A145="","",IF(E145&gt;=Settings!$B$9,Settings!$B$9&amp;" Day",IF(E145&gt;=Settings!$B$8,Settings!$B$8&amp;" Day","Due in "&amp;(Settings!$B$8-E145)&amp;" days")))</f>
        <v/>
      </c>
      <c r="G145" s="21" t="str">
        <f aca="false">IF(A145="","",Patients!H145)</f>
        <v/>
      </c>
      <c r="H145" s="1"/>
    </row>
    <row r="146" customFormat="false" ht="15" hidden="false" customHeight="false" outlineLevel="0" collapsed="false">
      <c r="A146" s="21" t="str">
        <f aca="false">IF(Patients!A146="","",IF(COUNTIF('Injection Sales'!$B$2:$B$501,Patients!A146)=0,"",Patients!A146))</f>
        <v/>
      </c>
      <c r="B146" s="24" t="str">
        <f aca="false">IF(A146="","",Patients!B146&amp;"")</f>
        <v/>
      </c>
      <c r="C146" s="21" t="str">
        <f aca="false">IF(A146="","",Patients!G146)</f>
        <v/>
      </c>
      <c r="D146" s="18" t="str">
        <f aca="false">IF(A146="","",_xlfn.MAXIFS('Injection Sales'!$A$2:$A$501,'Injection Sales'!$B$2:$B$501,A146))</f>
        <v/>
      </c>
      <c r="E146" s="19" t="str">
        <f aca="true">IF(A146="","",TODAY()-D146)</f>
        <v/>
      </c>
      <c r="F146" s="21" t="str">
        <f aca="false">IF(A146="","",IF(E146&gt;=Settings!$B$9,Settings!$B$9&amp;" Day",IF(E146&gt;=Settings!$B$8,Settings!$B$8&amp;" Day","Due in "&amp;(Settings!$B$8-E146)&amp;" days")))</f>
        <v/>
      </c>
      <c r="G146" s="21" t="str">
        <f aca="false">IF(A146="","",Patients!H146)</f>
        <v/>
      </c>
      <c r="H146" s="1"/>
    </row>
    <row r="147" customFormat="false" ht="15" hidden="false" customHeight="false" outlineLevel="0" collapsed="false">
      <c r="A147" s="21" t="str">
        <f aca="false">IF(Patients!A147="","",IF(COUNTIF('Injection Sales'!$B$2:$B$501,Patients!A147)=0,"",Patients!A147))</f>
        <v/>
      </c>
      <c r="B147" s="24" t="str">
        <f aca="false">IF(A147="","",Patients!B147&amp;"")</f>
        <v/>
      </c>
      <c r="C147" s="21" t="str">
        <f aca="false">IF(A147="","",Patients!G147)</f>
        <v/>
      </c>
      <c r="D147" s="18" t="str">
        <f aca="false">IF(A147="","",_xlfn.MAXIFS('Injection Sales'!$A$2:$A$501,'Injection Sales'!$B$2:$B$501,A147))</f>
        <v/>
      </c>
      <c r="E147" s="19" t="str">
        <f aca="true">IF(A147="","",TODAY()-D147)</f>
        <v/>
      </c>
      <c r="F147" s="21" t="str">
        <f aca="false">IF(A147="","",IF(E147&gt;=Settings!$B$9,Settings!$B$9&amp;" Day",IF(E147&gt;=Settings!$B$8,Settings!$B$8&amp;" Day","Due in "&amp;(Settings!$B$8-E147)&amp;" days")))</f>
        <v/>
      </c>
      <c r="G147" s="21" t="str">
        <f aca="false">IF(A147="","",Patients!H147)</f>
        <v/>
      </c>
      <c r="H147" s="1"/>
    </row>
    <row r="148" customFormat="false" ht="15" hidden="false" customHeight="false" outlineLevel="0" collapsed="false">
      <c r="A148" s="21" t="str">
        <f aca="false">IF(Patients!A148="","",IF(COUNTIF('Injection Sales'!$B$2:$B$501,Patients!A148)=0,"",Patients!A148))</f>
        <v/>
      </c>
      <c r="B148" s="24" t="str">
        <f aca="false">IF(A148="","",Patients!B148&amp;"")</f>
        <v/>
      </c>
      <c r="C148" s="21" t="str">
        <f aca="false">IF(A148="","",Patients!G148)</f>
        <v/>
      </c>
      <c r="D148" s="18" t="str">
        <f aca="false">IF(A148="","",_xlfn.MAXIFS('Injection Sales'!$A$2:$A$501,'Injection Sales'!$B$2:$B$501,A148))</f>
        <v/>
      </c>
      <c r="E148" s="19" t="str">
        <f aca="true">IF(A148="","",TODAY()-D148)</f>
        <v/>
      </c>
      <c r="F148" s="21" t="str">
        <f aca="false">IF(A148="","",IF(E148&gt;=Settings!$B$9,Settings!$B$9&amp;" Day",IF(E148&gt;=Settings!$B$8,Settings!$B$8&amp;" Day","Due in "&amp;(Settings!$B$8-E148)&amp;" days")))</f>
        <v/>
      </c>
      <c r="G148" s="21" t="str">
        <f aca="false">IF(A148="","",Patients!H148)</f>
        <v/>
      </c>
      <c r="H148" s="1"/>
    </row>
    <row r="149" customFormat="false" ht="15" hidden="false" customHeight="false" outlineLevel="0" collapsed="false">
      <c r="A149" s="21" t="str">
        <f aca="false">IF(Patients!A149="","",IF(COUNTIF('Injection Sales'!$B$2:$B$501,Patients!A149)=0,"",Patients!A149))</f>
        <v/>
      </c>
      <c r="B149" s="24" t="str">
        <f aca="false">IF(A149="","",Patients!B149&amp;"")</f>
        <v/>
      </c>
      <c r="C149" s="21" t="str">
        <f aca="false">IF(A149="","",Patients!G149)</f>
        <v/>
      </c>
      <c r="D149" s="18" t="str">
        <f aca="false">IF(A149="","",_xlfn.MAXIFS('Injection Sales'!$A$2:$A$501,'Injection Sales'!$B$2:$B$501,A149))</f>
        <v/>
      </c>
      <c r="E149" s="19" t="str">
        <f aca="true">IF(A149="","",TODAY()-D149)</f>
        <v/>
      </c>
      <c r="F149" s="21" t="str">
        <f aca="false">IF(A149="","",IF(E149&gt;=Settings!$B$9,Settings!$B$9&amp;" Day",IF(E149&gt;=Settings!$B$8,Settings!$B$8&amp;" Day","Due in "&amp;(Settings!$B$8-E149)&amp;" days")))</f>
        <v/>
      </c>
      <c r="G149" s="21" t="str">
        <f aca="false">IF(A149="","",Patients!H149)</f>
        <v/>
      </c>
      <c r="H149" s="1"/>
    </row>
    <row r="150" customFormat="false" ht="15" hidden="false" customHeight="false" outlineLevel="0" collapsed="false">
      <c r="A150" s="21" t="str">
        <f aca="false">IF(Patients!A150="","",IF(COUNTIF('Injection Sales'!$B$2:$B$501,Patients!A150)=0,"",Patients!A150))</f>
        <v/>
      </c>
      <c r="B150" s="24" t="str">
        <f aca="false">IF(A150="","",Patients!B150&amp;"")</f>
        <v/>
      </c>
      <c r="C150" s="21" t="str">
        <f aca="false">IF(A150="","",Patients!G150)</f>
        <v/>
      </c>
      <c r="D150" s="18" t="str">
        <f aca="false">IF(A150="","",_xlfn.MAXIFS('Injection Sales'!$A$2:$A$501,'Injection Sales'!$B$2:$B$501,A150))</f>
        <v/>
      </c>
      <c r="E150" s="19" t="str">
        <f aca="true">IF(A150="","",TODAY()-D150)</f>
        <v/>
      </c>
      <c r="F150" s="21" t="str">
        <f aca="false">IF(A150="","",IF(E150&gt;=Settings!$B$9,Settings!$B$9&amp;" Day",IF(E150&gt;=Settings!$B$8,Settings!$B$8&amp;" Day","Due in "&amp;(Settings!$B$8-E150)&amp;" days")))</f>
        <v/>
      </c>
      <c r="G150" s="21" t="str">
        <f aca="false">IF(A150="","",Patients!H150)</f>
        <v/>
      </c>
      <c r="H150" s="1"/>
    </row>
    <row r="151" customFormat="false" ht="15" hidden="false" customHeight="false" outlineLevel="0" collapsed="false">
      <c r="A151" s="21" t="str">
        <f aca="false">IF(Patients!A151="","",IF(COUNTIF('Injection Sales'!$B$2:$B$501,Patients!A151)=0,"",Patients!A151))</f>
        <v/>
      </c>
      <c r="B151" s="24" t="str">
        <f aca="false">IF(A151="","",Patients!B151&amp;"")</f>
        <v/>
      </c>
      <c r="C151" s="21" t="str">
        <f aca="false">IF(A151="","",Patients!G151)</f>
        <v/>
      </c>
      <c r="D151" s="18" t="str">
        <f aca="false">IF(A151="","",_xlfn.MAXIFS('Injection Sales'!$A$2:$A$501,'Injection Sales'!$B$2:$B$501,A151))</f>
        <v/>
      </c>
      <c r="E151" s="19" t="str">
        <f aca="true">IF(A151="","",TODAY()-D151)</f>
        <v/>
      </c>
      <c r="F151" s="21" t="str">
        <f aca="false">IF(A151="","",IF(E151&gt;=Settings!$B$9,Settings!$B$9&amp;" Day",IF(E151&gt;=Settings!$B$8,Settings!$B$8&amp;" Day","Due in "&amp;(Settings!$B$8-E151)&amp;" days")))</f>
        <v/>
      </c>
      <c r="G151" s="21" t="str">
        <f aca="false">IF(A151="","",Patients!H151)</f>
        <v/>
      </c>
      <c r="H151" s="1"/>
    </row>
    <row r="152" customFormat="false" ht="15" hidden="false" customHeight="false" outlineLevel="0" collapsed="false">
      <c r="A152" s="21" t="str">
        <f aca="false">IF(Patients!A152="","",IF(COUNTIF('Injection Sales'!$B$2:$B$501,Patients!A152)=0,"",Patients!A152))</f>
        <v/>
      </c>
      <c r="B152" s="24" t="str">
        <f aca="false">IF(A152="","",Patients!B152&amp;"")</f>
        <v/>
      </c>
      <c r="C152" s="21" t="str">
        <f aca="false">IF(A152="","",Patients!G152)</f>
        <v/>
      </c>
      <c r="D152" s="18" t="str">
        <f aca="false">IF(A152="","",_xlfn.MAXIFS('Injection Sales'!$A$2:$A$501,'Injection Sales'!$B$2:$B$501,A152))</f>
        <v/>
      </c>
      <c r="E152" s="19" t="str">
        <f aca="true">IF(A152="","",TODAY()-D152)</f>
        <v/>
      </c>
      <c r="F152" s="21" t="str">
        <f aca="false">IF(A152="","",IF(E152&gt;=Settings!$B$9,Settings!$B$9&amp;" Day",IF(E152&gt;=Settings!$B$8,Settings!$B$8&amp;" Day","Due in "&amp;(Settings!$B$8-E152)&amp;" days")))</f>
        <v/>
      </c>
      <c r="G152" s="21" t="str">
        <f aca="false">IF(A152="","",Patients!H152)</f>
        <v/>
      </c>
      <c r="H152" s="1"/>
    </row>
    <row r="153" customFormat="false" ht="15" hidden="false" customHeight="false" outlineLevel="0" collapsed="false">
      <c r="A153" s="21" t="str">
        <f aca="false">IF(Patients!A153="","",IF(COUNTIF('Injection Sales'!$B$2:$B$501,Patients!A153)=0,"",Patients!A153))</f>
        <v/>
      </c>
      <c r="B153" s="24" t="str">
        <f aca="false">IF(A153="","",Patients!B153&amp;"")</f>
        <v/>
      </c>
      <c r="C153" s="21" t="str">
        <f aca="false">IF(A153="","",Patients!G153)</f>
        <v/>
      </c>
      <c r="D153" s="18" t="str">
        <f aca="false">IF(A153="","",_xlfn.MAXIFS('Injection Sales'!$A$2:$A$501,'Injection Sales'!$B$2:$B$501,A153))</f>
        <v/>
      </c>
      <c r="E153" s="19" t="str">
        <f aca="true">IF(A153="","",TODAY()-D153)</f>
        <v/>
      </c>
      <c r="F153" s="21" t="str">
        <f aca="false">IF(A153="","",IF(E153&gt;=Settings!$B$9,Settings!$B$9&amp;" Day",IF(E153&gt;=Settings!$B$8,Settings!$B$8&amp;" Day","Due in "&amp;(Settings!$B$8-E153)&amp;" days")))</f>
        <v/>
      </c>
      <c r="G153" s="21" t="str">
        <f aca="false">IF(A153="","",Patients!H153)</f>
        <v/>
      </c>
      <c r="H153" s="1"/>
    </row>
    <row r="154" customFormat="false" ht="15" hidden="false" customHeight="false" outlineLevel="0" collapsed="false">
      <c r="A154" s="21" t="str">
        <f aca="false">IF(Patients!A154="","",IF(COUNTIF('Injection Sales'!$B$2:$B$501,Patients!A154)=0,"",Patients!A154))</f>
        <v/>
      </c>
      <c r="B154" s="24" t="str">
        <f aca="false">IF(A154="","",Patients!B154&amp;"")</f>
        <v/>
      </c>
      <c r="C154" s="21" t="str">
        <f aca="false">IF(A154="","",Patients!G154)</f>
        <v/>
      </c>
      <c r="D154" s="18" t="str">
        <f aca="false">IF(A154="","",_xlfn.MAXIFS('Injection Sales'!$A$2:$A$501,'Injection Sales'!$B$2:$B$501,A154))</f>
        <v/>
      </c>
      <c r="E154" s="19" t="str">
        <f aca="true">IF(A154="","",TODAY()-D154)</f>
        <v/>
      </c>
      <c r="F154" s="21" t="str">
        <f aca="false">IF(A154="","",IF(E154&gt;=Settings!$B$9,Settings!$B$9&amp;" Day",IF(E154&gt;=Settings!$B$8,Settings!$B$8&amp;" Day","Due in "&amp;(Settings!$B$8-E154)&amp;" days")))</f>
        <v/>
      </c>
      <c r="G154" s="21" t="str">
        <f aca="false">IF(A154="","",Patients!H154)</f>
        <v/>
      </c>
      <c r="H154" s="1"/>
    </row>
    <row r="155" customFormat="false" ht="15" hidden="false" customHeight="false" outlineLevel="0" collapsed="false">
      <c r="A155" s="21" t="str">
        <f aca="false">IF(Patients!A155="","",IF(COUNTIF('Injection Sales'!$B$2:$B$501,Patients!A155)=0,"",Patients!A155))</f>
        <v/>
      </c>
      <c r="B155" s="24" t="str">
        <f aca="false">IF(A155="","",Patients!B155&amp;"")</f>
        <v/>
      </c>
      <c r="C155" s="21" t="str">
        <f aca="false">IF(A155="","",Patients!G155)</f>
        <v/>
      </c>
      <c r="D155" s="18" t="str">
        <f aca="false">IF(A155="","",_xlfn.MAXIFS('Injection Sales'!$A$2:$A$501,'Injection Sales'!$B$2:$B$501,A155))</f>
        <v/>
      </c>
      <c r="E155" s="19" t="str">
        <f aca="true">IF(A155="","",TODAY()-D155)</f>
        <v/>
      </c>
      <c r="F155" s="21" t="str">
        <f aca="false">IF(A155="","",IF(E155&gt;=Settings!$B$9,Settings!$B$9&amp;" Day",IF(E155&gt;=Settings!$B$8,Settings!$B$8&amp;" Day","Due in "&amp;(Settings!$B$8-E155)&amp;" days")))</f>
        <v/>
      </c>
      <c r="G155" s="21" t="str">
        <f aca="false">IF(A155="","",Patients!H155)</f>
        <v/>
      </c>
      <c r="H155" s="1"/>
    </row>
    <row r="156" customFormat="false" ht="15" hidden="false" customHeight="false" outlineLevel="0" collapsed="false">
      <c r="A156" s="21" t="str">
        <f aca="false">IF(Patients!A156="","",IF(COUNTIF('Injection Sales'!$B$2:$B$501,Patients!A156)=0,"",Patients!A156))</f>
        <v/>
      </c>
      <c r="B156" s="24" t="str">
        <f aca="false">IF(A156="","",Patients!B156&amp;"")</f>
        <v/>
      </c>
      <c r="C156" s="21" t="str">
        <f aca="false">IF(A156="","",Patients!G156)</f>
        <v/>
      </c>
      <c r="D156" s="18" t="str">
        <f aca="false">IF(A156="","",_xlfn.MAXIFS('Injection Sales'!$A$2:$A$501,'Injection Sales'!$B$2:$B$501,A156))</f>
        <v/>
      </c>
      <c r="E156" s="19" t="str">
        <f aca="true">IF(A156="","",TODAY()-D156)</f>
        <v/>
      </c>
      <c r="F156" s="21" t="str">
        <f aca="false">IF(A156="","",IF(E156&gt;=Settings!$B$9,Settings!$B$9&amp;" Day",IF(E156&gt;=Settings!$B$8,Settings!$B$8&amp;" Day","Due in "&amp;(Settings!$B$8-E156)&amp;" days")))</f>
        <v/>
      </c>
      <c r="G156" s="21" t="str">
        <f aca="false">IF(A156="","",Patients!H156)</f>
        <v/>
      </c>
      <c r="H156" s="1"/>
    </row>
    <row r="157" customFormat="false" ht="15" hidden="false" customHeight="false" outlineLevel="0" collapsed="false">
      <c r="A157" s="21" t="str">
        <f aca="false">IF(Patients!A157="","",IF(COUNTIF('Injection Sales'!$B$2:$B$501,Patients!A157)=0,"",Patients!A157))</f>
        <v/>
      </c>
      <c r="B157" s="24" t="str">
        <f aca="false">IF(A157="","",Patients!B157&amp;"")</f>
        <v/>
      </c>
      <c r="C157" s="21" t="str">
        <f aca="false">IF(A157="","",Patients!G157)</f>
        <v/>
      </c>
      <c r="D157" s="18" t="str">
        <f aca="false">IF(A157="","",_xlfn.MAXIFS('Injection Sales'!$A$2:$A$501,'Injection Sales'!$B$2:$B$501,A157))</f>
        <v/>
      </c>
      <c r="E157" s="19" t="str">
        <f aca="true">IF(A157="","",TODAY()-D157)</f>
        <v/>
      </c>
      <c r="F157" s="21" t="str">
        <f aca="false">IF(A157="","",IF(E157&gt;=Settings!$B$9,Settings!$B$9&amp;" Day",IF(E157&gt;=Settings!$B$8,Settings!$B$8&amp;" Day","Due in "&amp;(Settings!$B$8-E157)&amp;" days")))</f>
        <v/>
      </c>
      <c r="G157" s="21" t="str">
        <f aca="false">IF(A157="","",Patients!H157)</f>
        <v/>
      </c>
      <c r="H157" s="1"/>
    </row>
    <row r="158" customFormat="false" ht="15" hidden="false" customHeight="false" outlineLevel="0" collapsed="false">
      <c r="A158" s="21" t="str">
        <f aca="false">IF(Patients!A158="","",IF(COUNTIF('Injection Sales'!$B$2:$B$501,Patients!A158)=0,"",Patients!A158))</f>
        <v/>
      </c>
      <c r="B158" s="24" t="str">
        <f aca="false">IF(A158="","",Patients!B158&amp;"")</f>
        <v/>
      </c>
      <c r="C158" s="21" t="str">
        <f aca="false">IF(A158="","",Patients!G158)</f>
        <v/>
      </c>
      <c r="D158" s="18" t="str">
        <f aca="false">IF(A158="","",_xlfn.MAXIFS('Injection Sales'!$A$2:$A$501,'Injection Sales'!$B$2:$B$501,A158))</f>
        <v/>
      </c>
      <c r="E158" s="19" t="str">
        <f aca="true">IF(A158="","",TODAY()-D158)</f>
        <v/>
      </c>
      <c r="F158" s="21" t="str">
        <f aca="false">IF(A158="","",IF(E158&gt;=Settings!$B$9,Settings!$B$9&amp;" Day",IF(E158&gt;=Settings!$B$8,Settings!$B$8&amp;" Day","Due in "&amp;(Settings!$B$8-E158)&amp;" days")))</f>
        <v/>
      </c>
      <c r="G158" s="21" t="str">
        <f aca="false">IF(A158="","",Patients!H158)</f>
        <v/>
      </c>
      <c r="H158" s="1"/>
    </row>
    <row r="159" customFormat="false" ht="15" hidden="false" customHeight="false" outlineLevel="0" collapsed="false">
      <c r="A159" s="21" t="str">
        <f aca="false">IF(Patients!A159="","",IF(COUNTIF('Injection Sales'!$B$2:$B$501,Patients!A159)=0,"",Patients!A159))</f>
        <v/>
      </c>
      <c r="B159" s="24" t="str">
        <f aca="false">IF(A159="","",Patients!B159&amp;"")</f>
        <v/>
      </c>
      <c r="C159" s="21" t="str">
        <f aca="false">IF(A159="","",Patients!G159)</f>
        <v/>
      </c>
      <c r="D159" s="18" t="str">
        <f aca="false">IF(A159="","",_xlfn.MAXIFS('Injection Sales'!$A$2:$A$501,'Injection Sales'!$B$2:$B$501,A159))</f>
        <v/>
      </c>
      <c r="E159" s="19" t="str">
        <f aca="true">IF(A159="","",TODAY()-D159)</f>
        <v/>
      </c>
      <c r="F159" s="21" t="str">
        <f aca="false">IF(A159="","",IF(E159&gt;=Settings!$B$9,Settings!$B$9&amp;" Day",IF(E159&gt;=Settings!$B$8,Settings!$B$8&amp;" Day","Due in "&amp;(Settings!$B$8-E159)&amp;" days")))</f>
        <v/>
      </c>
      <c r="G159" s="21" t="str">
        <f aca="false">IF(A159="","",Patients!H159)</f>
        <v/>
      </c>
      <c r="H159" s="1"/>
    </row>
    <row r="160" customFormat="false" ht="15" hidden="false" customHeight="false" outlineLevel="0" collapsed="false">
      <c r="A160" s="21" t="str">
        <f aca="false">IF(Patients!A160="","",IF(COUNTIF('Injection Sales'!$B$2:$B$501,Patients!A160)=0,"",Patients!A160))</f>
        <v/>
      </c>
      <c r="B160" s="24" t="str">
        <f aca="false">IF(A160="","",Patients!B160&amp;"")</f>
        <v/>
      </c>
      <c r="C160" s="21" t="str">
        <f aca="false">IF(A160="","",Patients!G160)</f>
        <v/>
      </c>
      <c r="D160" s="18" t="str">
        <f aca="false">IF(A160="","",_xlfn.MAXIFS('Injection Sales'!$A$2:$A$501,'Injection Sales'!$B$2:$B$501,A160))</f>
        <v/>
      </c>
      <c r="E160" s="19" t="str">
        <f aca="true">IF(A160="","",TODAY()-D160)</f>
        <v/>
      </c>
      <c r="F160" s="21" t="str">
        <f aca="false">IF(A160="","",IF(E160&gt;=Settings!$B$9,Settings!$B$9&amp;" Day",IF(E160&gt;=Settings!$B$8,Settings!$B$8&amp;" Day","Due in "&amp;(Settings!$B$8-E160)&amp;" days")))</f>
        <v/>
      </c>
      <c r="G160" s="21" t="str">
        <f aca="false">IF(A160="","",Patients!H160)</f>
        <v/>
      </c>
      <c r="H160" s="1"/>
    </row>
    <row r="161" customFormat="false" ht="15" hidden="false" customHeight="false" outlineLevel="0" collapsed="false">
      <c r="A161" s="21" t="str">
        <f aca="false">IF(Patients!A161="","",IF(COUNTIF('Injection Sales'!$B$2:$B$501,Patients!A161)=0,"",Patients!A161))</f>
        <v/>
      </c>
      <c r="B161" s="24" t="str">
        <f aca="false">IF(A161="","",Patients!B161&amp;"")</f>
        <v/>
      </c>
      <c r="C161" s="21" t="str">
        <f aca="false">IF(A161="","",Patients!G161)</f>
        <v/>
      </c>
      <c r="D161" s="18" t="str">
        <f aca="false">IF(A161="","",_xlfn.MAXIFS('Injection Sales'!$A$2:$A$501,'Injection Sales'!$B$2:$B$501,A161))</f>
        <v/>
      </c>
      <c r="E161" s="19" t="str">
        <f aca="true">IF(A161="","",TODAY()-D161)</f>
        <v/>
      </c>
      <c r="F161" s="21" t="str">
        <f aca="false">IF(A161="","",IF(E161&gt;=Settings!$B$9,Settings!$B$9&amp;" Day",IF(E161&gt;=Settings!$B$8,Settings!$B$8&amp;" Day","Due in "&amp;(Settings!$B$8-E161)&amp;" days")))</f>
        <v/>
      </c>
      <c r="G161" s="21" t="str">
        <f aca="false">IF(A161="","",Patients!H161)</f>
        <v/>
      </c>
      <c r="H161" s="1"/>
    </row>
    <row r="162" customFormat="false" ht="15" hidden="false" customHeight="false" outlineLevel="0" collapsed="false">
      <c r="A162" s="21" t="str">
        <f aca="false">IF(Patients!A162="","",IF(COUNTIF('Injection Sales'!$B$2:$B$501,Patients!A162)=0,"",Patients!A162))</f>
        <v/>
      </c>
      <c r="B162" s="24" t="str">
        <f aca="false">IF(A162="","",Patients!B162&amp;"")</f>
        <v/>
      </c>
      <c r="C162" s="21" t="str">
        <f aca="false">IF(A162="","",Patients!G162)</f>
        <v/>
      </c>
      <c r="D162" s="18" t="str">
        <f aca="false">IF(A162="","",_xlfn.MAXIFS('Injection Sales'!$A$2:$A$501,'Injection Sales'!$B$2:$B$501,A162))</f>
        <v/>
      </c>
      <c r="E162" s="19" t="str">
        <f aca="true">IF(A162="","",TODAY()-D162)</f>
        <v/>
      </c>
      <c r="F162" s="21" t="str">
        <f aca="false">IF(A162="","",IF(E162&gt;=Settings!$B$9,Settings!$B$9&amp;" Day",IF(E162&gt;=Settings!$B$8,Settings!$B$8&amp;" Day","Due in "&amp;(Settings!$B$8-E162)&amp;" days")))</f>
        <v/>
      </c>
      <c r="G162" s="21" t="str">
        <f aca="false">IF(A162="","",Patients!H162)</f>
        <v/>
      </c>
      <c r="H162" s="1"/>
    </row>
    <row r="163" customFormat="false" ht="15" hidden="false" customHeight="false" outlineLevel="0" collapsed="false">
      <c r="A163" s="21" t="str">
        <f aca="false">IF(Patients!A163="","",IF(COUNTIF('Injection Sales'!$B$2:$B$501,Patients!A163)=0,"",Patients!A163))</f>
        <v/>
      </c>
      <c r="B163" s="24" t="str">
        <f aca="false">IF(A163="","",Patients!B163&amp;"")</f>
        <v/>
      </c>
      <c r="C163" s="21" t="str">
        <f aca="false">IF(A163="","",Patients!G163)</f>
        <v/>
      </c>
      <c r="D163" s="18" t="str">
        <f aca="false">IF(A163="","",_xlfn.MAXIFS('Injection Sales'!$A$2:$A$501,'Injection Sales'!$B$2:$B$501,A163))</f>
        <v/>
      </c>
      <c r="E163" s="19" t="str">
        <f aca="true">IF(A163="","",TODAY()-D163)</f>
        <v/>
      </c>
      <c r="F163" s="21" t="str">
        <f aca="false">IF(A163="","",IF(E163&gt;=Settings!$B$9,Settings!$B$9&amp;" Day",IF(E163&gt;=Settings!$B$8,Settings!$B$8&amp;" Day","Due in "&amp;(Settings!$B$8-E163)&amp;" days")))</f>
        <v/>
      </c>
      <c r="G163" s="21" t="str">
        <f aca="false">IF(A163="","",Patients!H163)</f>
        <v/>
      </c>
      <c r="H163" s="1"/>
    </row>
    <row r="164" customFormat="false" ht="15" hidden="false" customHeight="false" outlineLevel="0" collapsed="false">
      <c r="A164" s="21" t="str">
        <f aca="false">IF(Patients!A164="","",IF(COUNTIF('Injection Sales'!$B$2:$B$501,Patients!A164)=0,"",Patients!A164))</f>
        <v/>
      </c>
      <c r="B164" s="24" t="str">
        <f aca="false">IF(A164="","",Patients!B164&amp;"")</f>
        <v/>
      </c>
      <c r="C164" s="21" t="str">
        <f aca="false">IF(A164="","",Patients!G164)</f>
        <v/>
      </c>
      <c r="D164" s="18" t="str">
        <f aca="false">IF(A164="","",_xlfn.MAXIFS('Injection Sales'!$A$2:$A$501,'Injection Sales'!$B$2:$B$501,A164))</f>
        <v/>
      </c>
      <c r="E164" s="19" t="str">
        <f aca="true">IF(A164="","",TODAY()-D164)</f>
        <v/>
      </c>
      <c r="F164" s="21" t="str">
        <f aca="false">IF(A164="","",IF(E164&gt;=Settings!$B$9,Settings!$B$9&amp;" Day",IF(E164&gt;=Settings!$B$8,Settings!$B$8&amp;" Day","Due in "&amp;(Settings!$B$8-E164)&amp;" days")))</f>
        <v/>
      </c>
      <c r="G164" s="21" t="str">
        <f aca="false">IF(A164="","",Patients!H164)</f>
        <v/>
      </c>
      <c r="H164" s="1"/>
    </row>
    <row r="165" customFormat="false" ht="15" hidden="false" customHeight="false" outlineLevel="0" collapsed="false">
      <c r="A165" s="21" t="str">
        <f aca="false">IF(Patients!A165="","",IF(COUNTIF('Injection Sales'!$B$2:$B$501,Patients!A165)=0,"",Patients!A165))</f>
        <v/>
      </c>
      <c r="B165" s="24" t="str">
        <f aca="false">IF(A165="","",Patients!B165&amp;"")</f>
        <v/>
      </c>
      <c r="C165" s="21" t="str">
        <f aca="false">IF(A165="","",Patients!G165)</f>
        <v/>
      </c>
      <c r="D165" s="18" t="str">
        <f aca="false">IF(A165="","",_xlfn.MAXIFS('Injection Sales'!$A$2:$A$501,'Injection Sales'!$B$2:$B$501,A165))</f>
        <v/>
      </c>
      <c r="E165" s="19" t="str">
        <f aca="true">IF(A165="","",TODAY()-D165)</f>
        <v/>
      </c>
      <c r="F165" s="21" t="str">
        <f aca="false">IF(A165="","",IF(E165&gt;=Settings!$B$9,Settings!$B$9&amp;" Day",IF(E165&gt;=Settings!$B$8,Settings!$B$8&amp;" Day","Due in "&amp;(Settings!$B$8-E165)&amp;" days")))</f>
        <v/>
      </c>
      <c r="G165" s="21" t="str">
        <f aca="false">IF(A165="","",Patients!H165)</f>
        <v/>
      </c>
      <c r="H165" s="1"/>
    </row>
    <row r="166" customFormat="false" ht="15" hidden="false" customHeight="false" outlineLevel="0" collapsed="false">
      <c r="A166" s="21" t="str">
        <f aca="false">IF(Patients!A166="","",IF(COUNTIF('Injection Sales'!$B$2:$B$501,Patients!A166)=0,"",Patients!A166))</f>
        <v/>
      </c>
      <c r="B166" s="24" t="str">
        <f aca="false">IF(A166="","",Patients!B166&amp;"")</f>
        <v/>
      </c>
      <c r="C166" s="21" t="str">
        <f aca="false">IF(A166="","",Patients!G166)</f>
        <v/>
      </c>
      <c r="D166" s="18" t="str">
        <f aca="false">IF(A166="","",_xlfn.MAXIFS('Injection Sales'!$A$2:$A$501,'Injection Sales'!$B$2:$B$501,A166))</f>
        <v/>
      </c>
      <c r="E166" s="19" t="str">
        <f aca="true">IF(A166="","",TODAY()-D166)</f>
        <v/>
      </c>
      <c r="F166" s="21" t="str">
        <f aca="false">IF(A166="","",IF(E166&gt;=Settings!$B$9,Settings!$B$9&amp;" Day",IF(E166&gt;=Settings!$B$8,Settings!$B$8&amp;" Day","Due in "&amp;(Settings!$B$8-E166)&amp;" days")))</f>
        <v/>
      </c>
      <c r="G166" s="21" t="str">
        <f aca="false">IF(A166="","",Patients!H166)</f>
        <v/>
      </c>
      <c r="H166" s="1"/>
    </row>
    <row r="167" customFormat="false" ht="15" hidden="false" customHeight="false" outlineLevel="0" collapsed="false">
      <c r="A167" s="21" t="str">
        <f aca="false">IF(Patients!A167="","",IF(COUNTIF('Injection Sales'!$B$2:$B$501,Patients!A167)=0,"",Patients!A167))</f>
        <v/>
      </c>
      <c r="B167" s="24" t="str">
        <f aca="false">IF(A167="","",Patients!B167&amp;"")</f>
        <v/>
      </c>
      <c r="C167" s="21" t="str">
        <f aca="false">IF(A167="","",Patients!G167)</f>
        <v/>
      </c>
      <c r="D167" s="18" t="str">
        <f aca="false">IF(A167="","",_xlfn.MAXIFS('Injection Sales'!$A$2:$A$501,'Injection Sales'!$B$2:$B$501,A167))</f>
        <v/>
      </c>
      <c r="E167" s="19" t="str">
        <f aca="true">IF(A167="","",TODAY()-D167)</f>
        <v/>
      </c>
      <c r="F167" s="21" t="str">
        <f aca="false">IF(A167="","",IF(E167&gt;=Settings!$B$9,Settings!$B$9&amp;" Day",IF(E167&gt;=Settings!$B$8,Settings!$B$8&amp;" Day","Due in "&amp;(Settings!$B$8-E167)&amp;" days")))</f>
        <v/>
      </c>
      <c r="G167" s="21" t="str">
        <f aca="false">IF(A167="","",Patients!H167)</f>
        <v/>
      </c>
      <c r="H167" s="1"/>
    </row>
    <row r="168" customFormat="false" ht="15" hidden="false" customHeight="false" outlineLevel="0" collapsed="false">
      <c r="A168" s="21" t="str">
        <f aca="false">IF(Patients!A168="","",IF(COUNTIF('Injection Sales'!$B$2:$B$501,Patients!A168)=0,"",Patients!A168))</f>
        <v/>
      </c>
      <c r="B168" s="24" t="str">
        <f aca="false">IF(A168="","",Patients!B168&amp;"")</f>
        <v/>
      </c>
      <c r="C168" s="21" t="str">
        <f aca="false">IF(A168="","",Patients!G168)</f>
        <v/>
      </c>
      <c r="D168" s="18" t="str">
        <f aca="false">IF(A168="","",_xlfn.MAXIFS('Injection Sales'!$A$2:$A$501,'Injection Sales'!$B$2:$B$501,A168))</f>
        <v/>
      </c>
      <c r="E168" s="19" t="str">
        <f aca="true">IF(A168="","",TODAY()-D168)</f>
        <v/>
      </c>
      <c r="F168" s="21" t="str">
        <f aca="false">IF(A168="","",IF(E168&gt;=Settings!$B$9,Settings!$B$9&amp;" Day",IF(E168&gt;=Settings!$B$8,Settings!$B$8&amp;" Day","Due in "&amp;(Settings!$B$8-E168)&amp;" days")))</f>
        <v/>
      </c>
      <c r="G168" s="21" t="str">
        <f aca="false">IF(A168="","",Patients!H168)</f>
        <v/>
      </c>
      <c r="H168" s="1"/>
    </row>
    <row r="169" customFormat="false" ht="15" hidden="false" customHeight="false" outlineLevel="0" collapsed="false">
      <c r="A169" s="21" t="str">
        <f aca="false">IF(Patients!A169="","",IF(COUNTIF('Injection Sales'!$B$2:$B$501,Patients!A169)=0,"",Patients!A169))</f>
        <v/>
      </c>
      <c r="B169" s="24" t="str">
        <f aca="false">IF(A169="","",Patients!B169&amp;"")</f>
        <v/>
      </c>
      <c r="C169" s="21" t="str">
        <f aca="false">IF(A169="","",Patients!G169)</f>
        <v/>
      </c>
      <c r="D169" s="18" t="str">
        <f aca="false">IF(A169="","",_xlfn.MAXIFS('Injection Sales'!$A$2:$A$501,'Injection Sales'!$B$2:$B$501,A169))</f>
        <v/>
      </c>
      <c r="E169" s="19" t="str">
        <f aca="true">IF(A169="","",TODAY()-D169)</f>
        <v/>
      </c>
      <c r="F169" s="21" t="str">
        <f aca="false">IF(A169="","",IF(E169&gt;=Settings!$B$9,Settings!$B$9&amp;" Day",IF(E169&gt;=Settings!$B$8,Settings!$B$8&amp;" Day","Due in "&amp;(Settings!$B$8-E169)&amp;" days")))</f>
        <v/>
      </c>
      <c r="G169" s="21" t="str">
        <f aca="false">IF(A169="","",Patients!H169)</f>
        <v/>
      </c>
      <c r="H169" s="1"/>
    </row>
    <row r="170" customFormat="false" ht="15" hidden="false" customHeight="false" outlineLevel="0" collapsed="false">
      <c r="A170" s="21" t="str">
        <f aca="false">IF(Patients!A170="","",IF(COUNTIF('Injection Sales'!$B$2:$B$501,Patients!A170)=0,"",Patients!A170))</f>
        <v/>
      </c>
      <c r="B170" s="24" t="str">
        <f aca="false">IF(A170="","",Patients!B170&amp;"")</f>
        <v/>
      </c>
      <c r="C170" s="21" t="str">
        <f aca="false">IF(A170="","",Patients!G170)</f>
        <v/>
      </c>
      <c r="D170" s="18" t="str">
        <f aca="false">IF(A170="","",_xlfn.MAXIFS('Injection Sales'!$A$2:$A$501,'Injection Sales'!$B$2:$B$501,A170))</f>
        <v/>
      </c>
      <c r="E170" s="19" t="str">
        <f aca="true">IF(A170="","",TODAY()-D170)</f>
        <v/>
      </c>
      <c r="F170" s="21" t="str">
        <f aca="false">IF(A170="","",IF(E170&gt;=Settings!$B$9,Settings!$B$9&amp;" Day",IF(E170&gt;=Settings!$B$8,Settings!$B$8&amp;" Day","Due in "&amp;(Settings!$B$8-E170)&amp;" days")))</f>
        <v/>
      </c>
      <c r="G170" s="21" t="str">
        <f aca="false">IF(A170="","",Patients!H170)</f>
        <v/>
      </c>
      <c r="H170" s="1"/>
    </row>
    <row r="171" customFormat="false" ht="15" hidden="false" customHeight="false" outlineLevel="0" collapsed="false">
      <c r="A171" s="21" t="str">
        <f aca="false">IF(Patients!A171="","",IF(COUNTIF('Injection Sales'!$B$2:$B$501,Patients!A171)=0,"",Patients!A171))</f>
        <v/>
      </c>
      <c r="B171" s="24" t="str">
        <f aca="false">IF(A171="","",Patients!B171&amp;"")</f>
        <v/>
      </c>
      <c r="C171" s="21" t="str">
        <f aca="false">IF(A171="","",Patients!G171)</f>
        <v/>
      </c>
      <c r="D171" s="18" t="str">
        <f aca="false">IF(A171="","",_xlfn.MAXIFS('Injection Sales'!$A$2:$A$501,'Injection Sales'!$B$2:$B$501,A171))</f>
        <v/>
      </c>
      <c r="E171" s="19" t="str">
        <f aca="true">IF(A171="","",TODAY()-D171)</f>
        <v/>
      </c>
      <c r="F171" s="21" t="str">
        <f aca="false">IF(A171="","",IF(E171&gt;=Settings!$B$9,Settings!$B$9&amp;" Day",IF(E171&gt;=Settings!$B$8,Settings!$B$8&amp;" Day","Due in "&amp;(Settings!$B$8-E171)&amp;" days")))</f>
        <v/>
      </c>
      <c r="G171" s="21" t="str">
        <f aca="false">IF(A171="","",Patients!H171)</f>
        <v/>
      </c>
      <c r="H171" s="1"/>
    </row>
    <row r="172" customFormat="false" ht="15" hidden="false" customHeight="false" outlineLevel="0" collapsed="false">
      <c r="A172" s="21" t="str">
        <f aca="false">IF(Patients!A172="","",IF(COUNTIF('Injection Sales'!$B$2:$B$501,Patients!A172)=0,"",Patients!A172))</f>
        <v/>
      </c>
      <c r="B172" s="24" t="str">
        <f aca="false">IF(A172="","",Patients!B172&amp;"")</f>
        <v/>
      </c>
      <c r="C172" s="21" t="str">
        <f aca="false">IF(A172="","",Patients!G172)</f>
        <v/>
      </c>
      <c r="D172" s="18" t="str">
        <f aca="false">IF(A172="","",_xlfn.MAXIFS('Injection Sales'!$A$2:$A$501,'Injection Sales'!$B$2:$B$501,A172))</f>
        <v/>
      </c>
      <c r="E172" s="19" t="str">
        <f aca="true">IF(A172="","",TODAY()-D172)</f>
        <v/>
      </c>
      <c r="F172" s="21" t="str">
        <f aca="false">IF(A172="","",IF(E172&gt;=Settings!$B$9,Settings!$B$9&amp;" Day",IF(E172&gt;=Settings!$B$8,Settings!$B$8&amp;" Day","Due in "&amp;(Settings!$B$8-E172)&amp;" days")))</f>
        <v/>
      </c>
      <c r="G172" s="21" t="str">
        <f aca="false">IF(A172="","",Patients!H172)</f>
        <v/>
      </c>
      <c r="H172" s="1"/>
    </row>
    <row r="173" customFormat="false" ht="15" hidden="false" customHeight="false" outlineLevel="0" collapsed="false">
      <c r="A173" s="21" t="str">
        <f aca="false">IF(Patients!A173="","",IF(COUNTIF('Injection Sales'!$B$2:$B$501,Patients!A173)=0,"",Patients!A173))</f>
        <v/>
      </c>
      <c r="B173" s="24" t="str">
        <f aca="false">IF(A173="","",Patients!B173&amp;"")</f>
        <v/>
      </c>
      <c r="C173" s="21" t="str">
        <f aca="false">IF(A173="","",Patients!G173)</f>
        <v/>
      </c>
      <c r="D173" s="18" t="str">
        <f aca="false">IF(A173="","",_xlfn.MAXIFS('Injection Sales'!$A$2:$A$501,'Injection Sales'!$B$2:$B$501,A173))</f>
        <v/>
      </c>
      <c r="E173" s="19" t="str">
        <f aca="true">IF(A173="","",TODAY()-D173)</f>
        <v/>
      </c>
      <c r="F173" s="21" t="str">
        <f aca="false">IF(A173="","",IF(E173&gt;=Settings!$B$9,Settings!$B$9&amp;" Day",IF(E173&gt;=Settings!$B$8,Settings!$B$8&amp;" Day","Due in "&amp;(Settings!$B$8-E173)&amp;" days")))</f>
        <v/>
      </c>
      <c r="G173" s="21" t="str">
        <f aca="false">IF(A173="","",Patients!H173)</f>
        <v/>
      </c>
      <c r="H173" s="1"/>
    </row>
    <row r="174" customFormat="false" ht="15" hidden="false" customHeight="false" outlineLevel="0" collapsed="false">
      <c r="A174" s="21" t="str">
        <f aca="false">IF(Patients!A174="","",IF(COUNTIF('Injection Sales'!$B$2:$B$501,Patients!A174)=0,"",Patients!A174))</f>
        <v/>
      </c>
      <c r="B174" s="24" t="str">
        <f aca="false">IF(A174="","",Patients!B174&amp;"")</f>
        <v/>
      </c>
      <c r="C174" s="21" t="str">
        <f aca="false">IF(A174="","",Patients!G174)</f>
        <v/>
      </c>
      <c r="D174" s="18" t="str">
        <f aca="false">IF(A174="","",_xlfn.MAXIFS('Injection Sales'!$A$2:$A$501,'Injection Sales'!$B$2:$B$501,A174))</f>
        <v/>
      </c>
      <c r="E174" s="19" t="str">
        <f aca="true">IF(A174="","",TODAY()-D174)</f>
        <v/>
      </c>
      <c r="F174" s="21" t="str">
        <f aca="false">IF(A174="","",IF(E174&gt;=Settings!$B$9,Settings!$B$9&amp;" Day",IF(E174&gt;=Settings!$B$8,Settings!$B$8&amp;" Day","Due in "&amp;(Settings!$B$8-E174)&amp;" days")))</f>
        <v/>
      </c>
      <c r="G174" s="21" t="str">
        <f aca="false">IF(A174="","",Patients!H174)</f>
        <v/>
      </c>
      <c r="H174" s="1"/>
    </row>
    <row r="175" customFormat="false" ht="15" hidden="false" customHeight="false" outlineLevel="0" collapsed="false">
      <c r="A175" s="21" t="str">
        <f aca="false">IF(Patients!A175="","",IF(COUNTIF('Injection Sales'!$B$2:$B$501,Patients!A175)=0,"",Patients!A175))</f>
        <v/>
      </c>
      <c r="B175" s="24" t="str">
        <f aca="false">IF(A175="","",Patients!B175&amp;"")</f>
        <v/>
      </c>
      <c r="C175" s="21" t="str">
        <f aca="false">IF(A175="","",Patients!G175)</f>
        <v/>
      </c>
      <c r="D175" s="18" t="str">
        <f aca="false">IF(A175="","",_xlfn.MAXIFS('Injection Sales'!$A$2:$A$501,'Injection Sales'!$B$2:$B$501,A175))</f>
        <v/>
      </c>
      <c r="E175" s="19" t="str">
        <f aca="true">IF(A175="","",TODAY()-D175)</f>
        <v/>
      </c>
      <c r="F175" s="21" t="str">
        <f aca="false">IF(A175="","",IF(E175&gt;=Settings!$B$9,Settings!$B$9&amp;" Day",IF(E175&gt;=Settings!$B$8,Settings!$B$8&amp;" Day","Due in "&amp;(Settings!$B$8-E175)&amp;" days")))</f>
        <v/>
      </c>
      <c r="G175" s="21" t="str">
        <f aca="false">IF(A175="","",Patients!H175)</f>
        <v/>
      </c>
      <c r="H175" s="1"/>
    </row>
    <row r="176" customFormat="false" ht="15" hidden="false" customHeight="false" outlineLevel="0" collapsed="false">
      <c r="A176" s="21" t="str">
        <f aca="false">IF(Patients!A176="","",IF(COUNTIF('Injection Sales'!$B$2:$B$501,Patients!A176)=0,"",Patients!A176))</f>
        <v/>
      </c>
      <c r="B176" s="24" t="str">
        <f aca="false">IF(A176="","",Patients!B176&amp;"")</f>
        <v/>
      </c>
      <c r="C176" s="21" t="str">
        <f aca="false">IF(A176="","",Patients!G176)</f>
        <v/>
      </c>
      <c r="D176" s="18" t="str">
        <f aca="false">IF(A176="","",_xlfn.MAXIFS('Injection Sales'!$A$2:$A$501,'Injection Sales'!$B$2:$B$501,A176))</f>
        <v/>
      </c>
      <c r="E176" s="19" t="str">
        <f aca="true">IF(A176="","",TODAY()-D176)</f>
        <v/>
      </c>
      <c r="F176" s="21" t="str">
        <f aca="false">IF(A176="","",IF(E176&gt;=Settings!$B$9,Settings!$B$9&amp;" Day",IF(E176&gt;=Settings!$B$8,Settings!$B$8&amp;" Day","Due in "&amp;(Settings!$B$8-E176)&amp;" days")))</f>
        <v/>
      </c>
      <c r="G176" s="21" t="str">
        <f aca="false">IF(A176="","",Patients!H176)</f>
        <v/>
      </c>
      <c r="H176" s="1"/>
    </row>
    <row r="177" customFormat="false" ht="15" hidden="false" customHeight="false" outlineLevel="0" collapsed="false">
      <c r="A177" s="21" t="str">
        <f aca="false">IF(Patients!A177="","",IF(COUNTIF('Injection Sales'!$B$2:$B$501,Patients!A177)=0,"",Patients!A177))</f>
        <v/>
      </c>
      <c r="B177" s="24" t="str">
        <f aca="false">IF(A177="","",Patients!B177&amp;"")</f>
        <v/>
      </c>
      <c r="C177" s="21" t="str">
        <f aca="false">IF(A177="","",Patients!G177)</f>
        <v/>
      </c>
      <c r="D177" s="18" t="str">
        <f aca="false">IF(A177="","",_xlfn.MAXIFS('Injection Sales'!$A$2:$A$501,'Injection Sales'!$B$2:$B$501,A177))</f>
        <v/>
      </c>
      <c r="E177" s="19" t="str">
        <f aca="true">IF(A177="","",TODAY()-D177)</f>
        <v/>
      </c>
      <c r="F177" s="21" t="str">
        <f aca="false">IF(A177="","",IF(E177&gt;=Settings!$B$9,Settings!$B$9&amp;" Day",IF(E177&gt;=Settings!$B$8,Settings!$B$8&amp;" Day","Due in "&amp;(Settings!$B$8-E177)&amp;" days")))</f>
        <v/>
      </c>
      <c r="G177" s="21" t="str">
        <f aca="false">IF(A177="","",Patients!H177)</f>
        <v/>
      </c>
      <c r="H177" s="1"/>
    </row>
    <row r="178" customFormat="false" ht="15" hidden="false" customHeight="false" outlineLevel="0" collapsed="false">
      <c r="A178" s="21" t="str">
        <f aca="false">IF(Patients!A178="","",IF(COUNTIF('Injection Sales'!$B$2:$B$501,Patients!A178)=0,"",Patients!A178))</f>
        <v/>
      </c>
      <c r="B178" s="24" t="str">
        <f aca="false">IF(A178="","",Patients!B178&amp;"")</f>
        <v/>
      </c>
      <c r="C178" s="21" t="str">
        <f aca="false">IF(A178="","",Patients!G178)</f>
        <v/>
      </c>
      <c r="D178" s="18" t="str">
        <f aca="false">IF(A178="","",_xlfn.MAXIFS('Injection Sales'!$A$2:$A$501,'Injection Sales'!$B$2:$B$501,A178))</f>
        <v/>
      </c>
      <c r="E178" s="19" t="str">
        <f aca="true">IF(A178="","",TODAY()-D178)</f>
        <v/>
      </c>
      <c r="F178" s="21" t="str">
        <f aca="false">IF(A178="","",IF(E178&gt;=Settings!$B$9,Settings!$B$9&amp;" Day",IF(E178&gt;=Settings!$B$8,Settings!$B$8&amp;" Day","Due in "&amp;(Settings!$B$8-E178)&amp;" days")))</f>
        <v/>
      </c>
      <c r="G178" s="21" t="str">
        <f aca="false">IF(A178="","",Patients!H178)</f>
        <v/>
      </c>
      <c r="H178" s="1"/>
    </row>
    <row r="179" customFormat="false" ht="15" hidden="false" customHeight="false" outlineLevel="0" collapsed="false">
      <c r="A179" s="21" t="str">
        <f aca="false">IF(Patients!A179="","",IF(COUNTIF('Injection Sales'!$B$2:$B$501,Patients!A179)=0,"",Patients!A179))</f>
        <v/>
      </c>
      <c r="B179" s="24" t="str">
        <f aca="false">IF(A179="","",Patients!B179&amp;"")</f>
        <v/>
      </c>
      <c r="C179" s="21" t="str">
        <f aca="false">IF(A179="","",Patients!G179)</f>
        <v/>
      </c>
      <c r="D179" s="18" t="str">
        <f aca="false">IF(A179="","",_xlfn.MAXIFS('Injection Sales'!$A$2:$A$501,'Injection Sales'!$B$2:$B$501,A179))</f>
        <v/>
      </c>
      <c r="E179" s="19" t="str">
        <f aca="true">IF(A179="","",TODAY()-D179)</f>
        <v/>
      </c>
      <c r="F179" s="21" t="str">
        <f aca="false">IF(A179="","",IF(E179&gt;=Settings!$B$9,Settings!$B$9&amp;" Day",IF(E179&gt;=Settings!$B$8,Settings!$B$8&amp;" Day","Due in "&amp;(Settings!$B$8-E179)&amp;" days")))</f>
        <v/>
      </c>
      <c r="G179" s="21" t="str">
        <f aca="false">IF(A179="","",Patients!H179)</f>
        <v/>
      </c>
      <c r="H179" s="1"/>
    </row>
    <row r="180" customFormat="false" ht="15" hidden="false" customHeight="false" outlineLevel="0" collapsed="false">
      <c r="A180" s="21" t="str">
        <f aca="false">IF(Patients!A180="","",IF(COUNTIF('Injection Sales'!$B$2:$B$501,Patients!A180)=0,"",Patients!A180))</f>
        <v/>
      </c>
      <c r="B180" s="24" t="str">
        <f aca="false">IF(A180="","",Patients!B180&amp;"")</f>
        <v/>
      </c>
      <c r="C180" s="21" t="str">
        <f aca="false">IF(A180="","",Patients!G180)</f>
        <v/>
      </c>
      <c r="D180" s="18" t="str">
        <f aca="false">IF(A180="","",_xlfn.MAXIFS('Injection Sales'!$A$2:$A$501,'Injection Sales'!$B$2:$B$501,A180))</f>
        <v/>
      </c>
      <c r="E180" s="19" t="str">
        <f aca="true">IF(A180="","",TODAY()-D180)</f>
        <v/>
      </c>
      <c r="F180" s="21" t="str">
        <f aca="false">IF(A180="","",IF(E180&gt;=Settings!$B$9,Settings!$B$9&amp;" Day",IF(E180&gt;=Settings!$B$8,Settings!$B$8&amp;" Day","Due in "&amp;(Settings!$B$8-E180)&amp;" days")))</f>
        <v/>
      </c>
      <c r="G180" s="21" t="str">
        <f aca="false">IF(A180="","",Patients!H180)</f>
        <v/>
      </c>
      <c r="H180" s="1"/>
    </row>
    <row r="181" customFormat="false" ht="15" hidden="false" customHeight="false" outlineLevel="0" collapsed="false">
      <c r="A181" s="21" t="str">
        <f aca="false">IF(Patients!A181="","",IF(COUNTIF('Injection Sales'!$B$2:$B$501,Patients!A181)=0,"",Patients!A181))</f>
        <v/>
      </c>
      <c r="B181" s="24" t="str">
        <f aca="false">IF(A181="","",Patients!B181&amp;"")</f>
        <v/>
      </c>
      <c r="C181" s="21" t="str">
        <f aca="false">IF(A181="","",Patients!G181)</f>
        <v/>
      </c>
      <c r="D181" s="18" t="str">
        <f aca="false">IF(A181="","",_xlfn.MAXIFS('Injection Sales'!$A$2:$A$501,'Injection Sales'!$B$2:$B$501,A181))</f>
        <v/>
      </c>
      <c r="E181" s="19" t="str">
        <f aca="true">IF(A181="","",TODAY()-D181)</f>
        <v/>
      </c>
      <c r="F181" s="21" t="str">
        <f aca="false">IF(A181="","",IF(E181&gt;=Settings!$B$9,Settings!$B$9&amp;" Day",IF(E181&gt;=Settings!$B$8,Settings!$B$8&amp;" Day","Due in "&amp;(Settings!$B$8-E181)&amp;" days")))</f>
        <v/>
      </c>
      <c r="G181" s="21" t="str">
        <f aca="false">IF(A181="","",Patients!H181)</f>
        <v/>
      </c>
      <c r="H181" s="1"/>
    </row>
    <row r="182" customFormat="false" ht="15" hidden="false" customHeight="false" outlineLevel="0" collapsed="false">
      <c r="A182" s="21" t="str">
        <f aca="false">IF(Patients!A182="","",IF(COUNTIF('Injection Sales'!$B$2:$B$501,Patients!A182)=0,"",Patients!A182))</f>
        <v/>
      </c>
      <c r="B182" s="24" t="str">
        <f aca="false">IF(A182="","",Patients!B182&amp;"")</f>
        <v/>
      </c>
      <c r="C182" s="21" t="str">
        <f aca="false">IF(A182="","",Patients!G182)</f>
        <v/>
      </c>
      <c r="D182" s="18" t="str">
        <f aca="false">IF(A182="","",_xlfn.MAXIFS('Injection Sales'!$A$2:$A$501,'Injection Sales'!$B$2:$B$501,A182))</f>
        <v/>
      </c>
      <c r="E182" s="19" t="str">
        <f aca="true">IF(A182="","",TODAY()-D182)</f>
        <v/>
      </c>
      <c r="F182" s="21" t="str">
        <f aca="false">IF(A182="","",IF(E182&gt;=Settings!$B$9,Settings!$B$9&amp;" Day",IF(E182&gt;=Settings!$B$8,Settings!$B$8&amp;" Day","Due in "&amp;(Settings!$B$8-E182)&amp;" days")))</f>
        <v/>
      </c>
      <c r="G182" s="21" t="str">
        <f aca="false">IF(A182="","",Patients!H182)</f>
        <v/>
      </c>
      <c r="H182" s="1"/>
    </row>
    <row r="183" customFormat="false" ht="15" hidden="false" customHeight="false" outlineLevel="0" collapsed="false">
      <c r="A183" s="21" t="str">
        <f aca="false">IF(Patients!A183="","",IF(COUNTIF('Injection Sales'!$B$2:$B$501,Patients!A183)=0,"",Patients!A183))</f>
        <v/>
      </c>
      <c r="B183" s="24" t="str">
        <f aca="false">IF(A183="","",Patients!B183&amp;"")</f>
        <v/>
      </c>
      <c r="C183" s="21" t="str">
        <f aca="false">IF(A183="","",Patients!G183)</f>
        <v/>
      </c>
      <c r="D183" s="18" t="str">
        <f aca="false">IF(A183="","",_xlfn.MAXIFS('Injection Sales'!$A$2:$A$501,'Injection Sales'!$B$2:$B$501,A183))</f>
        <v/>
      </c>
      <c r="E183" s="19" t="str">
        <f aca="true">IF(A183="","",TODAY()-D183)</f>
        <v/>
      </c>
      <c r="F183" s="21" t="str">
        <f aca="false">IF(A183="","",IF(E183&gt;=Settings!$B$9,Settings!$B$9&amp;" Day",IF(E183&gt;=Settings!$B$8,Settings!$B$8&amp;" Day","Due in "&amp;(Settings!$B$8-E183)&amp;" days")))</f>
        <v/>
      </c>
      <c r="G183" s="21" t="str">
        <f aca="false">IF(A183="","",Patients!H183)</f>
        <v/>
      </c>
      <c r="H183" s="1"/>
    </row>
    <row r="184" customFormat="false" ht="15" hidden="false" customHeight="false" outlineLevel="0" collapsed="false">
      <c r="A184" s="21" t="str">
        <f aca="false">IF(Patients!A184="","",IF(COUNTIF('Injection Sales'!$B$2:$B$501,Patients!A184)=0,"",Patients!A184))</f>
        <v/>
      </c>
      <c r="B184" s="24" t="str">
        <f aca="false">IF(A184="","",Patients!B184&amp;"")</f>
        <v/>
      </c>
      <c r="C184" s="21" t="str">
        <f aca="false">IF(A184="","",Patients!G184)</f>
        <v/>
      </c>
      <c r="D184" s="18" t="str">
        <f aca="false">IF(A184="","",_xlfn.MAXIFS('Injection Sales'!$A$2:$A$501,'Injection Sales'!$B$2:$B$501,A184))</f>
        <v/>
      </c>
      <c r="E184" s="19" t="str">
        <f aca="true">IF(A184="","",TODAY()-D184)</f>
        <v/>
      </c>
      <c r="F184" s="21" t="str">
        <f aca="false">IF(A184="","",IF(E184&gt;=Settings!$B$9,Settings!$B$9&amp;" Day",IF(E184&gt;=Settings!$B$8,Settings!$B$8&amp;" Day","Due in "&amp;(Settings!$B$8-E184)&amp;" days")))</f>
        <v/>
      </c>
      <c r="G184" s="21" t="str">
        <f aca="false">IF(A184="","",Patients!H184)</f>
        <v/>
      </c>
      <c r="H184" s="1"/>
    </row>
    <row r="185" customFormat="false" ht="15" hidden="false" customHeight="false" outlineLevel="0" collapsed="false">
      <c r="A185" s="21" t="str">
        <f aca="false">IF(Patients!A185="","",IF(COUNTIF('Injection Sales'!$B$2:$B$501,Patients!A185)=0,"",Patients!A185))</f>
        <v/>
      </c>
      <c r="B185" s="24" t="str">
        <f aca="false">IF(A185="","",Patients!B185&amp;"")</f>
        <v/>
      </c>
      <c r="C185" s="21" t="str">
        <f aca="false">IF(A185="","",Patients!G185)</f>
        <v/>
      </c>
      <c r="D185" s="18" t="str">
        <f aca="false">IF(A185="","",_xlfn.MAXIFS('Injection Sales'!$A$2:$A$501,'Injection Sales'!$B$2:$B$501,A185))</f>
        <v/>
      </c>
      <c r="E185" s="19" t="str">
        <f aca="true">IF(A185="","",TODAY()-D185)</f>
        <v/>
      </c>
      <c r="F185" s="21" t="str">
        <f aca="false">IF(A185="","",IF(E185&gt;=Settings!$B$9,Settings!$B$9&amp;" Day",IF(E185&gt;=Settings!$B$8,Settings!$B$8&amp;" Day","Due in "&amp;(Settings!$B$8-E185)&amp;" days")))</f>
        <v/>
      </c>
      <c r="G185" s="21" t="str">
        <f aca="false">IF(A185="","",Patients!H185)</f>
        <v/>
      </c>
      <c r="H185" s="1"/>
    </row>
    <row r="186" customFormat="false" ht="15" hidden="false" customHeight="false" outlineLevel="0" collapsed="false">
      <c r="A186" s="21" t="str">
        <f aca="false">IF(Patients!A186="","",IF(COUNTIF('Injection Sales'!$B$2:$B$501,Patients!A186)=0,"",Patients!A186))</f>
        <v/>
      </c>
      <c r="B186" s="24" t="str">
        <f aca="false">IF(A186="","",Patients!B186&amp;"")</f>
        <v/>
      </c>
      <c r="C186" s="21" t="str">
        <f aca="false">IF(A186="","",Patients!G186)</f>
        <v/>
      </c>
      <c r="D186" s="18" t="str">
        <f aca="false">IF(A186="","",_xlfn.MAXIFS('Injection Sales'!$A$2:$A$501,'Injection Sales'!$B$2:$B$501,A186))</f>
        <v/>
      </c>
      <c r="E186" s="19" t="str">
        <f aca="true">IF(A186="","",TODAY()-D186)</f>
        <v/>
      </c>
      <c r="F186" s="21" t="str">
        <f aca="false">IF(A186="","",IF(E186&gt;=Settings!$B$9,Settings!$B$9&amp;" Day",IF(E186&gt;=Settings!$B$8,Settings!$B$8&amp;" Day","Due in "&amp;(Settings!$B$8-E186)&amp;" days")))</f>
        <v/>
      </c>
      <c r="G186" s="21" t="str">
        <f aca="false">IF(A186="","",Patients!H186)</f>
        <v/>
      </c>
      <c r="H186" s="1"/>
    </row>
    <row r="187" customFormat="false" ht="15" hidden="false" customHeight="false" outlineLevel="0" collapsed="false">
      <c r="A187" s="21" t="str">
        <f aca="false">IF(Patients!A187="","",IF(COUNTIF('Injection Sales'!$B$2:$B$501,Patients!A187)=0,"",Patients!A187))</f>
        <v/>
      </c>
      <c r="B187" s="24" t="str">
        <f aca="false">IF(A187="","",Patients!B187&amp;"")</f>
        <v/>
      </c>
      <c r="C187" s="21" t="str">
        <f aca="false">IF(A187="","",Patients!G187)</f>
        <v/>
      </c>
      <c r="D187" s="18" t="str">
        <f aca="false">IF(A187="","",_xlfn.MAXIFS('Injection Sales'!$A$2:$A$501,'Injection Sales'!$B$2:$B$501,A187))</f>
        <v/>
      </c>
      <c r="E187" s="19" t="str">
        <f aca="true">IF(A187="","",TODAY()-D187)</f>
        <v/>
      </c>
      <c r="F187" s="21" t="str">
        <f aca="false">IF(A187="","",IF(E187&gt;=Settings!$B$9,Settings!$B$9&amp;" Day",IF(E187&gt;=Settings!$B$8,Settings!$B$8&amp;" Day","Due in "&amp;(Settings!$B$8-E187)&amp;" days")))</f>
        <v/>
      </c>
      <c r="G187" s="21" t="str">
        <f aca="false">IF(A187="","",Patients!H187)</f>
        <v/>
      </c>
      <c r="H187" s="1"/>
    </row>
    <row r="188" customFormat="false" ht="15" hidden="false" customHeight="false" outlineLevel="0" collapsed="false">
      <c r="A188" s="21" t="str">
        <f aca="false">IF(Patients!A188="","",IF(COUNTIF('Injection Sales'!$B$2:$B$501,Patients!A188)=0,"",Patients!A188))</f>
        <v/>
      </c>
      <c r="B188" s="24" t="str">
        <f aca="false">IF(A188="","",Patients!B188&amp;"")</f>
        <v/>
      </c>
      <c r="C188" s="21" t="str">
        <f aca="false">IF(A188="","",Patients!G188)</f>
        <v/>
      </c>
      <c r="D188" s="18" t="str">
        <f aca="false">IF(A188="","",_xlfn.MAXIFS('Injection Sales'!$A$2:$A$501,'Injection Sales'!$B$2:$B$501,A188))</f>
        <v/>
      </c>
      <c r="E188" s="19" t="str">
        <f aca="true">IF(A188="","",TODAY()-D188)</f>
        <v/>
      </c>
      <c r="F188" s="21" t="str">
        <f aca="false">IF(A188="","",IF(E188&gt;=Settings!$B$9,Settings!$B$9&amp;" Day",IF(E188&gt;=Settings!$B$8,Settings!$B$8&amp;" Day","Due in "&amp;(Settings!$B$8-E188)&amp;" days")))</f>
        <v/>
      </c>
      <c r="G188" s="21" t="str">
        <f aca="false">IF(A188="","",Patients!H188)</f>
        <v/>
      </c>
      <c r="H188" s="1"/>
    </row>
    <row r="189" customFormat="false" ht="15" hidden="false" customHeight="false" outlineLevel="0" collapsed="false">
      <c r="A189" s="21" t="str">
        <f aca="false">IF(Patients!A189="","",IF(COUNTIF('Injection Sales'!$B$2:$B$501,Patients!A189)=0,"",Patients!A189))</f>
        <v/>
      </c>
      <c r="B189" s="24" t="str">
        <f aca="false">IF(A189="","",Patients!B189&amp;"")</f>
        <v/>
      </c>
      <c r="C189" s="21" t="str">
        <f aca="false">IF(A189="","",Patients!G189)</f>
        <v/>
      </c>
      <c r="D189" s="18" t="str">
        <f aca="false">IF(A189="","",_xlfn.MAXIFS('Injection Sales'!$A$2:$A$501,'Injection Sales'!$B$2:$B$501,A189))</f>
        <v/>
      </c>
      <c r="E189" s="19" t="str">
        <f aca="true">IF(A189="","",TODAY()-D189)</f>
        <v/>
      </c>
      <c r="F189" s="21" t="str">
        <f aca="false">IF(A189="","",IF(E189&gt;=Settings!$B$9,Settings!$B$9&amp;" Day",IF(E189&gt;=Settings!$B$8,Settings!$B$8&amp;" Day","Due in "&amp;(Settings!$B$8-E189)&amp;" days")))</f>
        <v/>
      </c>
      <c r="G189" s="21" t="str">
        <f aca="false">IF(A189="","",Patients!H189)</f>
        <v/>
      </c>
      <c r="H189" s="1"/>
    </row>
    <row r="190" customFormat="false" ht="15" hidden="false" customHeight="false" outlineLevel="0" collapsed="false">
      <c r="A190" s="21" t="str">
        <f aca="false">IF(Patients!A190="","",IF(COUNTIF('Injection Sales'!$B$2:$B$501,Patients!A190)=0,"",Patients!A190))</f>
        <v/>
      </c>
      <c r="B190" s="24" t="str">
        <f aca="false">IF(A190="","",Patients!B190&amp;"")</f>
        <v/>
      </c>
      <c r="C190" s="21" t="str">
        <f aca="false">IF(A190="","",Patients!G190)</f>
        <v/>
      </c>
      <c r="D190" s="18" t="str">
        <f aca="false">IF(A190="","",_xlfn.MAXIFS('Injection Sales'!$A$2:$A$501,'Injection Sales'!$B$2:$B$501,A190))</f>
        <v/>
      </c>
      <c r="E190" s="19" t="str">
        <f aca="true">IF(A190="","",TODAY()-D190)</f>
        <v/>
      </c>
      <c r="F190" s="21" t="str">
        <f aca="false">IF(A190="","",IF(E190&gt;=Settings!$B$9,Settings!$B$9&amp;" Day",IF(E190&gt;=Settings!$B$8,Settings!$B$8&amp;" Day","Due in "&amp;(Settings!$B$8-E190)&amp;" days")))</f>
        <v/>
      </c>
      <c r="G190" s="21" t="str">
        <f aca="false">IF(A190="","",Patients!H190)</f>
        <v/>
      </c>
      <c r="H190" s="1"/>
    </row>
    <row r="191" customFormat="false" ht="15" hidden="false" customHeight="false" outlineLevel="0" collapsed="false">
      <c r="A191" s="21" t="str">
        <f aca="false">IF(Patients!A191="","",IF(COUNTIF('Injection Sales'!$B$2:$B$501,Patients!A191)=0,"",Patients!A191))</f>
        <v/>
      </c>
      <c r="B191" s="24" t="str">
        <f aca="false">IF(A191="","",Patients!B191&amp;"")</f>
        <v/>
      </c>
      <c r="C191" s="21" t="str">
        <f aca="false">IF(A191="","",Patients!G191)</f>
        <v/>
      </c>
      <c r="D191" s="18" t="str">
        <f aca="false">IF(A191="","",_xlfn.MAXIFS('Injection Sales'!$A$2:$A$501,'Injection Sales'!$B$2:$B$501,A191))</f>
        <v/>
      </c>
      <c r="E191" s="19" t="str">
        <f aca="true">IF(A191="","",TODAY()-D191)</f>
        <v/>
      </c>
      <c r="F191" s="21" t="str">
        <f aca="false">IF(A191="","",IF(E191&gt;=Settings!$B$9,Settings!$B$9&amp;" Day",IF(E191&gt;=Settings!$B$8,Settings!$B$8&amp;" Day","Due in "&amp;(Settings!$B$8-E191)&amp;" days")))</f>
        <v/>
      </c>
      <c r="G191" s="21" t="str">
        <f aca="false">IF(A191="","",Patients!H191)</f>
        <v/>
      </c>
      <c r="H191" s="1"/>
    </row>
    <row r="192" customFormat="false" ht="15" hidden="false" customHeight="false" outlineLevel="0" collapsed="false">
      <c r="A192" s="21" t="str">
        <f aca="false">IF(Patients!A192="","",IF(COUNTIF('Injection Sales'!$B$2:$B$501,Patients!A192)=0,"",Patients!A192))</f>
        <v/>
      </c>
      <c r="B192" s="24" t="str">
        <f aca="false">IF(A192="","",Patients!B192&amp;"")</f>
        <v/>
      </c>
      <c r="C192" s="21" t="str">
        <f aca="false">IF(A192="","",Patients!G192)</f>
        <v/>
      </c>
      <c r="D192" s="18" t="str">
        <f aca="false">IF(A192="","",_xlfn.MAXIFS('Injection Sales'!$A$2:$A$501,'Injection Sales'!$B$2:$B$501,A192))</f>
        <v/>
      </c>
      <c r="E192" s="19" t="str">
        <f aca="true">IF(A192="","",TODAY()-D192)</f>
        <v/>
      </c>
      <c r="F192" s="21" t="str">
        <f aca="false">IF(A192="","",IF(E192&gt;=Settings!$B$9,Settings!$B$9&amp;" Day",IF(E192&gt;=Settings!$B$8,Settings!$B$8&amp;" Day","Due in "&amp;(Settings!$B$8-E192)&amp;" days")))</f>
        <v/>
      </c>
      <c r="G192" s="21" t="str">
        <f aca="false">IF(A192="","",Patients!H192)</f>
        <v/>
      </c>
      <c r="H192" s="1"/>
    </row>
    <row r="193" customFormat="false" ht="15" hidden="false" customHeight="false" outlineLevel="0" collapsed="false">
      <c r="A193" s="21" t="str">
        <f aca="false">IF(Patients!A193="","",IF(COUNTIF('Injection Sales'!$B$2:$B$501,Patients!A193)=0,"",Patients!A193))</f>
        <v/>
      </c>
      <c r="B193" s="24" t="str">
        <f aca="false">IF(A193="","",Patients!B193&amp;"")</f>
        <v/>
      </c>
      <c r="C193" s="21" t="str">
        <f aca="false">IF(A193="","",Patients!G193)</f>
        <v/>
      </c>
      <c r="D193" s="18" t="str">
        <f aca="false">IF(A193="","",_xlfn.MAXIFS('Injection Sales'!$A$2:$A$501,'Injection Sales'!$B$2:$B$501,A193))</f>
        <v/>
      </c>
      <c r="E193" s="19" t="str">
        <f aca="true">IF(A193="","",TODAY()-D193)</f>
        <v/>
      </c>
      <c r="F193" s="21" t="str">
        <f aca="false">IF(A193="","",IF(E193&gt;=Settings!$B$9,Settings!$B$9&amp;" Day",IF(E193&gt;=Settings!$B$8,Settings!$B$8&amp;" Day","Due in "&amp;(Settings!$B$8-E193)&amp;" days")))</f>
        <v/>
      </c>
      <c r="G193" s="21" t="str">
        <f aca="false">IF(A193="","",Patients!H193)</f>
        <v/>
      </c>
      <c r="H193" s="1"/>
    </row>
    <row r="194" customFormat="false" ht="15" hidden="false" customHeight="false" outlineLevel="0" collapsed="false">
      <c r="A194" s="21" t="str">
        <f aca="false">IF(Patients!A194="","",IF(COUNTIF('Injection Sales'!$B$2:$B$501,Patients!A194)=0,"",Patients!A194))</f>
        <v/>
      </c>
      <c r="B194" s="24" t="str">
        <f aca="false">IF(A194="","",Patients!B194&amp;"")</f>
        <v/>
      </c>
      <c r="C194" s="21" t="str">
        <f aca="false">IF(A194="","",Patients!G194)</f>
        <v/>
      </c>
      <c r="D194" s="18" t="str">
        <f aca="false">IF(A194="","",_xlfn.MAXIFS('Injection Sales'!$A$2:$A$501,'Injection Sales'!$B$2:$B$501,A194))</f>
        <v/>
      </c>
      <c r="E194" s="19" t="str">
        <f aca="true">IF(A194="","",TODAY()-D194)</f>
        <v/>
      </c>
      <c r="F194" s="21" t="str">
        <f aca="false">IF(A194="","",IF(E194&gt;=Settings!$B$9,Settings!$B$9&amp;" Day",IF(E194&gt;=Settings!$B$8,Settings!$B$8&amp;" Day","Due in "&amp;(Settings!$B$8-E194)&amp;" days")))</f>
        <v/>
      </c>
      <c r="G194" s="21" t="str">
        <f aca="false">IF(A194="","",Patients!H194)</f>
        <v/>
      </c>
      <c r="H194" s="1"/>
    </row>
    <row r="195" customFormat="false" ht="15" hidden="false" customHeight="false" outlineLevel="0" collapsed="false">
      <c r="A195" s="21" t="str">
        <f aca="false">IF(Patients!A195="","",IF(COUNTIF('Injection Sales'!$B$2:$B$501,Patients!A195)=0,"",Patients!A195))</f>
        <v/>
      </c>
      <c r="B195" s="24" t="str">
        <f aca="false">IF(A195="","",Patients!B195&amp;"")</f>
        <v/>
      </c>
      <c r="C195" s="21" t="str">
        <f aca="false">IF(A195="","",Patients!G195)</f>
        <v/>
      </c>
      <c r="D195" s="18" t="str">
        <f aca="false">IF(A195="","",_xlfn.MAXIFS('Injection Sales'!$A$2:$A$501,'Injection Sales'!$B$2:$B$501,A195))</f>
        <v/>
      </c>
      <c r="E195" s="19" t="str">
        <f aca="true">IF(A195="","",TODAY()-D195)</f>
        <v/>
      </c>
      <c r="F195" s="21" t="str">
        <f aca="false">IF(A195="","",IF(E195&gt;=Settings!$B$9,Settings!$B$9&amp;" Day",IF(E195&gt;=Settings!$B$8,Settings!$B$8&amp;" Day","Due in "&amp;(Settings!$B$8-E195)&amp;" days")))</f>
        <v/>
      </c>
      <c r="G195" s="21" t="str">
        <f aca="false">IF(A195="","",Patients!H195)</f>
        <v/>
      </c>
      <c r="H195" s="1"/>
    </row>
    <row r="196" customFormat="false" ht="15" hidden="false" customHeight="false" outlineLevel="0" collapsed="false">
      <c r="A196" s="21" t="str">
        <f aca="false">IF(Patients!A196="","",IF(COUNTIF('Injection Sales'!$B$2:$B$501,Patients!A196)=0,"",Patients!A196))</f>
        <v/>
      </c>
      <c r="B196" s="24" t="str">
        <f aca="false">IF(A196="","",Patients!B196&amp;"")</f>
        <v/>
      </c>
      <c r="C196" s="21" t="str">
        <f aca="false">IF(A196="","",Patients!G196)</f>
        <v/>
      </c>
      <c r="D196" s="18" t="str">
        <f aca="false">IF(A196="","",_xlfn.MAXIFS('Injection Sales'!$A$2:$A$501,'Injection Sales'!$B$2:$B$501,A196))</f>
        <v/>
      </c>
      <c r="E196" s="19" t="str">
        <f aca="true">IF(A196="","",TODAY()-D196)</f>
        <v/>
      </c>
      <c r="F196" s="21" t="str">
        <f aca="false">IF(A196="","",IF(E196&gt;=Settings!$B$9,Settings!$B$9&amp;" Day",IF(E196&gt;=Settings!$B$8,Settings!$B$8&amp;" Day","Due in "&amp;(Settings!$B$8-E196)&amp;" days")))</f>
        <v/>
      </c>
      <c r="G196" s="21" t="str">
        <f aca="false">IF(A196="","",Patients!H196)</f>
        <v/>
      </c>
      <c r="H196" s="1"/>
    </row>
    <row r="197" customFormat="false" ht="15" hidden="false" customHeight="false" outlineLevel="0" collapsed="false">
      <c r="A197" s="21" t="str">
        <f aca="false">IF(Patients!A197="","",IF(COUNTIF('Injection Sales'!$B$2:$B$501,Patients!A197)=0,"",Patients!A197))</f>
        <v/>
      </c>
      <c r="B197" s="24" t="str">
        <f aca="false">IF(A197="","",Patients!B197&amp;"")</f>
        <v/>
      </c>
      <c r="C197" s="21" t="str">
        <f aca="false">IF(A197="","",Patients!G197)</f>
        <v/>
      </c>
      <c r="D197" s="18" t="str">
        <f aca="false">IF(A197="","",_xlfn.MAXIFS('Injection Sales'!$A$2:$A$501,'Injection Sales'!$B$2:$B$501,A197))</f>
        <v/>
      </c>
      <c r="E197" s="19" t="str">
        <f aca="true">IF(A197="","",TODAY()-D197)</f>
        <v/>
      </c>
      <c r="F197" s="21" t="str">
        <f aca="false">IF(A197="","",IF(E197&gt;=Settings!$B$9,Settings!$B$9&amp;" Day",IF(E197&gt;=Settings!$B$8,Settings!$B$8&amp;" Day","Due in "&amp;(Settings!$B$8-E197)&amp;" days")))</f>
        <v/>
      </c>
      <c r="G197" s="21" t="str">
        <f aca="false">IF(A197="","",Patients!H197)</f>
        <v/>
      </c>
      <c r="H197" s="1"/>
    </row>
    <row r="198" customFormat="false" ht="15" hidden="false" customHeight="false" outlineLevel="0" collapsed="false">
      <c r="A198" s="21" t="str">
        <f aca="false">IF(Patients!A198="","",IF(COUNTIF('Injection Sales'!$B$2:$B$501,Patients!A198)=0,"",Patients!A198))</f>
        <v/>
      </c>
      <c r="B198" s="24" t="str">
        <f aca="false">IF(A198="","",Patients!B198&amp;"")</f>
        <v/>
      </c>
      <c r="C198" s="21" t="str">
        <f aca="false">IF(A198="","",Patients!G198)</f>
        <v/>
      </c>
      <c r="D198" s="18" t="str">
        <f aca="false">IF(A198="","",_xlfn.MAXIFS('Injection Sales'!$A$2:$A$501,'Injection Sales'!$B$2:$B$501,A198))</f>
        <v/>
      </c>
      <c r="E198" s="19" t="str">
        <f aca="true">IF(A198="","",TODAY()-D198)</f>
        <v/>
      </c>
      <c r="F198" s="21" t="str">
        <f aca="false">IF(A198="","",IF(E198&gt;=Settings!$B$9,Settings!$B$9&amp;" Day",IF(E198&gt;=Settings!$B$8,Settings!$B$8&amp;" Day","Due in "&amp;(Settings!$B$8-E198)&amp;" days")))</f>
        <v/>
      </c>
      <c r="G198" s="21" t="str">
        <f aca="false">IF(A198="","",Patients!H198)</f>
        <v/>
      </c>
      <c r="H198" s="1"/>
    </row>
    <row r="199" customFormat="false" ht="15" hidden="false" customHeight="false" outlineLevel="0" collapsed="false">
      <c r="A199" s="21" t="str">
        <f aca="false">IF(Patients!A199="","",IF(COUNTIF('Injection Sales'!$B$2:$B$501,Patients!A199)=0,"",Patients!A199))</f>
        <v/>
      </c>
      <c r="B199" s="24" t="str">
        <f aca="false">IF(A199="","",Patients!B199&amp;"")</f>
        <v/>
      </c>
      <c r="C199" s="21" t="str">
        <f aca="false">IF(A199="","",Patients!G199)</f>
        <v/>
      </c>
      <c r="D199" s="18" t="str">
        <f aca="false">IF(A199="","",_xlfn.MAXIFS('Injection Sales'!$A$2:$A$501,'Injection Sales'!$B$2:$B$501,A199))</f>
        <v/>
      </c>
      <c r="E199" s="19" t="str">
        <f aca="true">IF(A199="","",TODAY()-D199)</f>
        <v/>
      </c>
      <c r="F199" s="21" t="str">
        <f aca="false">IF(A199="","",IF(E199&gt;=Settings!$B$9,Settings!$B$9&amp;" Day",IF(E199&gt;=Settings!$B$8,Settings!$B$8&amp;" Day","Due in "&amp;(Settings!$B$8-E199)&amp;" days")))</f>
        <v/>
      </c>
      <c r="G199" s="21" t="str">
        <f aca="false">IF(A199="","",Patients!H199)</f>
        <v/>
      </c>
      <c r="H199" s="1"/>
    </row>
    <row r="200" customFormat="false" ht="15" hidden="false" customHeight="false" outlineLevel="0" collapsed="false">
      <c r="A200" s="21" t="str">
        <f aca="false">IF(Patients!A200="","",IF(COUNTIF('Injection Sales'!$B$2:$B$501,Patients!A200)=0,"",Patients!A200))</f>
        <v/>
      </c>
      <c r="B200" s="24" t="str">
        <f aca="false">IF(A200="","",Patients!B200&amp;"")</f>
        <v/>
      </c>
      <c r="C200" s="21" t="str">
        <f aca="false">IF(A200="","",Patients!G200)</f>
        <v/>
      </c>
      <c r="D200" s="18" t="str">
        <f aca="false">IF(A200="","",_xlfn.MAXIFS('Injection Sales'!$A$2:$A$501,'Injection Sales'!$B$2:$B$501,A200))</f>
        <v/>
      </c>
      <c r="E200" s="19" t="str">
        <f aca="true">IF(A200="","",TODAY()-D200)</f>
        <v/>
      </c>
      <c r="F200" s="21" t="str">
        <f aca="false">IF(A200="","",IF(E200&gt;=Settings!$B$9,Settings!$B$9&amp;" Day",IF(E200&gt;=Settings!$B$8,Settings!$B$8&amp;" Day","Due in "&amp;(Settings!$B$8-E200)&amp;" days")))</f>
        <v/>
      </c>
      <c r="G200" s="21" t="str">
        <f aca="false">IF(A200="","",Patients!H200)</f>
        <v/>
      </c>
      <c r="H200" s="1"/>
    </row>
    <row r="201" customFormat="false" ht="15" hidden="false" customHeight="false" outlineLevel="0" collapsed="false">
      <c r="A201" s="21" t="str">
        <f aca="false">IF(Patients!A201="","",IF(COUNTIF('Injection Sales'!$B$2:$B$501,Patients!A201)=0,"",Patients!A201))</f>
        <v/>
      </c>
      <c r="B201" s="24" t="str">
        <f aca="false">IF(A201="","",Patients!B201&amp;"")</f>
        <v/>
      </c>
      <c r="C201" s="21" t="str">
        <f aca="false">IF(A201="","",Patients!G201)</f>
        <v/>
      </c>
      <c r="D201" s="18" t="str">
        <f aca="false">IF(A201="","",_xlfn.MAXIFS('Injection Sales'!$A$2:$A$501,'Injection Sales'!$B$2:$B$501,A201))</f>
        <v/>
      </c>
      <c r="E201" s="19" t="str">
        <f aca="true">IF(A201="","",TODAY()-D201)</f>
        <v/>
      </c>
      <c r="F201" s="21" t="str">
        <f aca="false">IF(A201="","",IF(E201&gt;=Settings!$B$9,Settings!$B$9&amp;" Day",IF(E201&gt;=Settings!$B$8,Settings!$B$8&amp;" Day","Due in "&amp;(Settings!$B$8-E201)&amp;" days")))</f>
        <v/>
      </c>
      <c r="G201" s="21" t="str">
        <f aca="false">IF(A201="","",Patients!H201)</f>
        <v/>
      </c>
      <c r="H201" s="1"/>
    </row>
    <row r="202" customFormat="false" ht="15" hidden="false" customHeight="false" outlineLevel="0" collapsed="false">
      <c r="A202" s="21" t="str">
        <f aca="false">IF(Patients!A202="","",IF(COUNTIF('Injection Sales'!$B$2:$B$501,Patients!A202)=0,"",Patients!A202))</f>
        <v/>
      </c>
      <c r="B202" s="24" t="str">
        <f aca="false">IF(A202="","",Patients!B202&amp;"")</f>
        <v/>
      </c>
      <c r="C202" s="21" t="str">
        <f aca="false">IF(A202="","",Patients!G202)</f>
        <v/>
      </c>
      <c r="D202" s="18" t="str">
        <f aca="false">IF(A202="","",_xlfn.MAXIFS('Injection Sales'!$A$2:$A$501,'Injection Sales'!$B$2:$B$501,A202))</f>
        <v/>
      </c>
      <c r="E202" s="19" t="str">
        <f aca="true">IF(A202="","",TODAY()-D202)</f>
        <v/>
      </c>
      <c r="F202" s="21" t="str">
        <f aca="false">IF(A202="","",IF(E202&gt;=Settings!$B$9,Settings!$B$9&amp;" Day",IF(E202&gt;=Settings!$B$8,Settings!$B$8&amp;" Day","Due in "&amp;(Settings!$B$8-E202)&amp;" days")))</f>
        <v/>
      </c>
      <c r="G202" s="21" t="str">
        <f aca="false">IF(A202="","",Patients!H202)</f>
        <v/>
      </c>
      <c r="H202" s="1"/>
    </row>
    <row r="203" customFormat="false" ht="15" hidden="false" customHeight="false" outlineLevel="0" collapsed="false">
      <c r="A203" s="21" t="str">
        <f aca="false">IF(Patients!A203="","",IF(COUNTIF('Injection Sales'!$B$2:$B$501,Patients!A203)=0,"",Patients!A203))</f>
        <v/>
      </c>
      <c r="B203" s="24" t="str">
        <f aca="false">IF(A203="","",Patients!B203&amp;"")</f>
        <v/>
      </c>
      <c r="C203" s="21" t="str">
        <f aca="false">IF(A203="","",Patients!G203)</f>
        <v/>
      </c>
      <c r="D203" s="18" t="str">
        <f aca="false">IF(A203="","",_xlfn.MAXIFS('Injection Sales'!$A$2:$A$501,'Injection Sales'!$B$2:$B$501,A203))</f>
        <v/>
      </c>
      <c r="E203" s="19" t="str">
        <f aca="true">IF(A203="","",TODAY()-D203)</f>
        <v/>
      </c>
      <c r="F203" s="21" t="str">
        <f aca="false">IF(A203="","",IF(E203&gt;=Settings!$B$9,Settings!$B$9&amp;" Day",IF(E203&gt;=Settings!$B$8,Settings!$B$8&amp;" Day","Due in "&amp;(Settings!$B$8-E203)&amp;" days")))</f>
        <v/>
      </c>
      <c r="G203" s="21" t="str">
        <f aca="false">IF(A203="","",Patients!H203)</f>
        <v/>
      </c>
      <c r="H203" s="1"/>
    </row>
    <row r="204" customFormat="false" ht="15" hidden="false" customHeight="false" outlineLevel="0" collapsed="false">
      <c r="A204" s="21" t="str">
        <f aca="false">IF(Patients!A204="","",IF(COUNTIF('Injection Sales'!$B$2:$B$501,Patients!A204)=0,"",Patients!A204))</f>
        <v/>
      </c>
      <c r="B204" s="24" t="str">
        <f aca="false">IF(A204="","",Patients!B204&amp;"")</f>
        <v/>
      </c>
      <c r="C204" s="21" t="str">
        <f aca="false">IF(A204="","",Patients!G204)</f>
        <v/>
      </c>
      <c r="D204" s="18" t="str">
        <f aca="false">IF(A204="","",_xlfn.MAXIFS('Injection Sales'!$A$2:$A$501,'Injection Sales'!$B$2:$B$501,A204))</f>
        <v/>
      </c>
      <c r="E204" s="19" t="str">
        <f aca="true">IF(A204="","",TODAY()-D204)</f>
        <v/>
      </c>
      <c r="F204" s="21" t="str">
        <f aca="false">IF(A204="","",IF(E204&gt;=Settings!$B$9,Settings!$B$9&amp;" Day",IF(E204&gt;=Settings!$B$8,Settings!$B$8&amp;" Day","Due in "&amp;(Settings!$B$8-E204)&amp;" days")))</f>
        <v/>
      </c>
      <c r="G204" s="21" t="str">
        <f aca="false">IF(A204="","",Patients!H204)</f>
        <v/>
      </c>
      <c r="H204" s="1"/>
    </row>
    <row r="205" customFormat="false" ht="15" hidden="false" customHeight="false" outlineLevel="0" collapsed="false">
      <c r="A205" s="21" t="str">
        <f aca="false">IF(Patients!A205="","",IF(COUNTIF('Injection Sales'!$B$2:$B$501,Patients!A205)=0,"",Patients!A205))</f>
        <v/>
      </c>
      <c r="B205" s="24" t="str">
        <f aca="false">IF(A205="","",Patients!B205&amp;"")</f>
        <v/>
      </c>
      <c r="C205" s="21" t="str">
        <f aca="false">IF(A205="","",Patients!G205)</f>
        <v/>
      </c>
      <c r="D205" s="18" t="str">
        <f aca="false">IF(A205="","",_xlfn.MAXIFS('Injection Sales'!$A$2:$A$501,'Injection Sales'!$B$2:$B$501,A205))</f>
        <v/>
      </c>
      <c r="E205" s="19" t="str">
        <f aca="true">IF(A205="","",TODAY()-D205)</f>
        <v/>
      </c>
      <c r="F205" s="21" t="str">
        <f aca="false">IF(A205="","",IF(E205&gt;=Settings!$B$9,Settings!$B$9&amp;" Day",IF(E205&gt;=Settings!$B$8,Settings!$B$8&amp;" Day","Due in "&amp;(Settings!$B$8-E205)&amp;" days")))</f>
        <v/>
      </c>
      <c r="G205" s="21" t="str">
        <f aca="false">IF(A205="","",Patients!H205)</f>
        <v/>
      </c>
      <c r="H205" s="1"/>
    </row>
    <row r="206" customFormat="false" ht="15" hidden="false" customHeight="false" outlineLevel="0" collapsed="false">
      <c r="A206" s="21" t="str">
        <f aca="false">IF(Patients!A206="","",IF(COUNTIF('Injection Sales'!$B$2:$B$501,Patients!A206)=0,"",Patients!A206))</f>
        <v/>
      </c>
      <c r="B206" s="24" t="str">
        <f aca="false">IF(A206="","",Patients!B206&amp;"")</f>
        <v/>
      </c>
      <c r="C206" s="21" t="str">
        <f aca="false">IF(A206="","",Patients!G206)</f>
        <v/>
      </c>
      <c r="D206" s="18" t="str">
        <f aca="false">IF(A206="","",_xlfn.MAXIFS('Injection Sales'!$A$2:$A$501,'Injection Sales'!$B$2:$B$501,A206))</f>
        <v/>
      </c>
      <c r="E206" s="19" t="str">
        <f aca="true">IF(A206="","",TODAY()-D206)</f>
        <v/>
      </c>
      <c r="F206" s="21" t="str">
        <f aca="false">IF(A206="","",IF(E206&gt;=Settings!$B$9,Settings!$B$9&amp;" Day",IF(E206&gt;=Settings!$B$8,Settings!$B$8&amp;" Day","Due in "&amp;(Settings!$B$8-E206)&amp;" days")))</f>
        <v/>
      </c>
      <c r="G206" s="21" t="str">
        <f aca="false">IF(A206="","",Patients!H206)</f>
        <v/>
      </c>
      <c r="H206" s="1"/>
    </row>
    <row r="207" customFormat="false" ht="15" hidden="false" customHeight="false" outlineLevel="0" collapsed="false">
      <c r="A207" s="21" t="str">
        <f aca="false">IF(Patients!A207="","",IF(COUNTIF('Injection Sales'!$B$2:$B$501,Patients!A207)=0,"",Patients!A207))</f>
        <v/>
      </c>
      <c r="B207" s="24" t="str">
        <f aca="false">IF(A207="","",Patients!B207&amp;"")</f>
        <v/>
      </c>
      <c r="C207" s="21" t="str">
        <f aca="false">IF(A207="","",Patients!G207)</f>
        <v/>
      </c>
      <c r="D207" s="18" t="str">
        <f aca="false">IF(A207="","",_xlfn.MAXIFS('Injection Sales'!$A$2:$A$501,'Injection Sales'!$B$2:$B$501,A207))</f>
        <v/>
      </c>
      <c r="E207" s="19" t="str">
        <f aca="true">IF(A207="","",TODAY()-D207)</f>
        <v/>
      </c>
      <c r="F207" s="21" t="str">
        <f aca="false">IF(A207="","",IF(E207&gt;=Settings!$B$9,Settings!$B$9&amp;" Day",IF(E207&gt;=Settings!$B$8,Settings!$B$8&amp;" Day","Due in "&amp;(Settings!$B$8-E207)&amp;" days")))</f>
        <v/>
      </c>
      <c r="G207" s="21" t="str">
        <f aca="false">IF(A207="","",Patients!H207)</f>
        <v/>
      </c>
      <c r="H207" s="1"/>
    </row>
    <row r="208" customFormat="false" ht="15" hidden="false" customHeight="false" outlineLevel="0" collapsed="false">
      <c r="A208" s="21" t="str">
        <f aca="false">IF(Patients!A208="","",IF(COUNTIF('Injection Sales'!$B$2:$B$501,Patients!A208)=0,"",Patients!A208))</f>
        <v/>
      </c>
      <c r="B208" s="24" t="str">
        <f aca="false">IF(A208="","",Patients!B208&amp;"")</f>
        <v/>
      </c>
      <c r="C208" s="21" t="str">
        <f aca="false">IF(A208="","",Patients!G208)</f>
        <v/>
      </c>
      <c r="D208" s="18" t="str">
        <f aca="false">IF(A208="","",_xlfn.MAXIFS('Injection Sales'!$A$2:$A$501,'Injection Sales'!$B$2:$B$501,A208))</f>
        <v/>
      </c>
      <c r="E208" s="19" t="str">
        <f aca="true">IF(A208="","",TODAY()-D208)</f>
        <v/>
      </c>
      <c r="F208" s="21" t="str">
        <f aca="false">IF(A208="","",IF(E208&gt;=Settings!$B$9,Settings!$B$9&amp;" Day",IF(E208&gt;=Settings!$B$8,Settings!$B$8&amp;" Day","Due in "&amp;(Settings!$B$8-E208)&amp;" days")))</f>
        <v/>
      </c>
      <c r="G208" s="21" t="str">
        <f aca="false">IF(A208="","",Patients!H208)</f>
        <v/>
      </c>
      <c r="H208" s="1"/>
    </row>
    <row r="209" customFormat="false" ht="15" hidden="false" customHeight="false" outlineLevel="0" collapsed="false">
      <c r="A209" s="21" t="str">
        <f aca="false">IF(Patients!A209="","",IF(COUNTIF('Injection Sales'!$B$2:$B$501,Patients!A209)=0,"",Patients!A209))</f>
        <v/>
      </c>
      <c r="B209" s="24" t="str">
        <f aca="false">IF(A209="","",Patients!B209&amp;"")</f>
        <v/>
      </c>
      <c r="C209" s="21" t="str">
        <f aca="false">IF(A209="","",Patients!G209)</f>
        <v/>
      </c>
      <c r="D209" s="18" t="str">
        <f aca="false">IF(A209="","",_xlfn.MAXIFS('Injection Sales'!$A$2:$A$501,'Injection Sales'!$B$2:$B$501,A209))</f>
        <v/>
      </c>
      <c r="E209" s="19" t="str">
        <f aca="true">IF(A209="","",TODAY()-D209)</f>
        <v/>
      </c>
      <c r="F209" s="21" t="str">
        <f aca="false">IF(A209="","",IF(E209&gt;=Settings!$B$9,Settings!$B$9&amp;" Day",IF(E209&gt;=Settings!$B$8,Settings!$B$8&amp;" Day","Due in "&amp;(Settings!$B$8-E209)&amp;" days")))</f>
        <v/>
      </c>
      <c r="G209" s="21" t="str">
        <f aca="false">IF(A209="","",Patients!H209)</f>
        <v/>
      </c>
      <c r="H209" s="1"/>
    </row>
    <row r="210" customFormat="false" ht="15" hidden="false" customHeight="false" outlineLevel="0" collapsed="false">
      <c r="A210" s="21" t="str">
        <f aca="false">IF(Patients!A210="","",IF(COUNTIF('Injection Sales'!$B$2:$B$501,Patients!A210)=0,"",Patients!A210))</f>
        <v/>
      </c>
      <c r="B210" s="24" t="str">
        <f aca="false">IF(A210="","",Patients!B210&amp;"")</f>
        <v/>
      </c>
      <c r="C210" s="21" t="str">
        <f aca="false">IF(A210="","",Patients!G210)</f>
        <v/>
      </c>
      <c r="D210" s="18" t="str">
        <f aca="false">IF(A210="","",_xlfn.MAXIFS('Injection Sales'!$A$2:$A$501,'Injection Sales'!$B$2:$B$501,A210))</f>
        <v/>
      </c>
      <c r="E210" s="19" t="str">
        <f aca="true">IF(A210="","",TODAY()-D210)</f>
        <v/>
      </c>
      <c r="F210" s="21" t="str">
        <f aca="false">IF(A210="","",IF(E210&gt;=Settings!$B$9,Settings!$B$9&amp;" Day",IF(E210&gt;=Settings!$B$8,Settings!$B$8&amp;" Day","Due in "&amp;(Settings!$B$8-E210)&amp;" days")))</f>
        <v/>
      </c>
      <c r="G210" s="21" t="str">
        <f aca="false">IF(A210="","",Patients!H210)</f>
        <v/>
      </c>
      <c r="H210" s="1"/>
    </row>
    <row r="211" customFormat="false" ht="15" hidden="false" customHeight="false" outlineLevel="0" collapsed="false">
      <c r="A211" s="21" t="str">
        <f aca="false">IF(Patients!A211="","",IF(COUNTIF('Injection Sales'!$B$2:$B$501,Patients!A211)=0,"",Patients!A211))</f>
        <v/>
      </c>
      <c r="B211" s="24" t="str">
        <f aca="false">IF(A211="","",Patients!B211&amp;"")</f>
        <v/>
      </c>
      <c r="C211" s="21" t="str">
        <f aca="false">IF(A211="","",Patients!G211)</f>
        <v/>
      </c>
      <c r="D211" s="18" t="str">
        <f aca="false">IF(A211="","",_xlfn.MAXIFS('Injection Sales'!$A$2:$A$501,'Injection Sales'!$B$2:$B$501,A211))</f>
        <v/>
      </c>
      <c r="E211" s="19" t="str">
        <f aca="true">IF(A211="","",TODAY()-D211)</f>
        <v/>
      </c>
      <c r="F211" s="21" t="str">
        <f aca="false">IF(A211="","",IF(E211&gt;=Settings!$B$9,Settings!$B$9&amp;" Day",IF(E211&gt;=Settings!$B$8,Settings!$B$8&amp;" Day","Due in "&amp;(Settings!$B$8-E211)&amp;" days")))</f>
        <v/>
      </c>
      <c r="G211" s="21" t="str">
        <f aca="false">IF(A211="","",Patients!H211)</f>
        <v/>
      </c>
      <c r="H211" s="1"/>
    </row>
    <row r="212" customFormat="false" ht="15" hidden="false" customHeight="false" outlineLevel="0" collapsed="false">
      <c r="A212" s="21" t="str">
        <f aca="false">IF(Patients!A212="","",IF(COUNTIF('Injection Sales'!$B$2:$B$501,Patients!A212)=0,"",Patients!A212))</f>
        <v/>
      </c>
      <c r="B212" s="24" t="str">
        <f aca="false">IF(A212="","",Patients!B212&amp;"")</f>
        <v/>
      </c>
      <c r="C212" s="21" t="str">
        <f aca="false">IF(A212="","",Patients!G212)</f>
        <v/>
      </c>
      <c r="D212" s="18" t="str">
        <f aca="false">IF(A212="","",_xlfn.MAXIFS('Injection Sales'!$A$2:$A$501,'Injection Sales'!$B$2:$B$501,A212))</f>
        <v/>
      </c>
      <c r="E212" s="19" t="str">
        <f aca="true">IF(A212="","",TODAY()-D212)</f>
        <v/>
      </c>
      <c r="F212" s="21" t="str">
        <f aca="false">IF(A212="","",IF(E212&gt;=Settings!$B$9,Settings!$B$9&amp;" Day",IF(E212&gt;=Settings!$B$8,Settings!$B$8&amp;" Day","Due in "&amp;(Settings!$B$8-E212)&amp;" days")))</f>
        <v/>
      </c>
      <c r="G212" s="21" t="str">
        <f aca="false">IF(A212="","",Patients!H212)</f>
        <v/>
      </c>
      <c r="H212" s="1"/>
    </row>
    <row r="213" customFormat="false" ht="15" hidden="false" customHeight="false" outlineLevel="0" collapsed="false">
      <c r="A213" s="21" t="str">
        <f aca="false">IF(Patients!A213="","",IF(COUNTIF('Injection Sales'!$B$2:$B$501,Patients!A213)=0,"",Patients!A213))</f>
        <v/>
      </c>
      <c r="B213" s="24" t="str">
        <f aca="false">IF(A213="","",Patients!B213&amp;"")</f>
        <v/>
      </c>
      <c r="C213" s="21" t="str">
        <f aca="false">IF(A213="","",Patients!G213)</f>
        <v/>
      </c>
      <c r="D213" s="18" t="str">
        <f aca="false">IF(A213="","",_xlfn.MAXIFS('Injection Sales'!$A$2:$A$501,'Injection Sales'!$B$2:$B$501,A213))</f>
        <v/>
      </c>
      <c r="E213" s="19" t="str">
        <f aca="true">IF(A213="","",TODAY()-D213)</f>
        <v/>
      </c>
      <c r="F213" s="21" t="str">
        <f aca="false">IF(A213="","",IF(E213&gt;=Settings!$B$9,Settings!$B$9&amp;" Day",IF(E213&gt;=Settings!$B$8,Settings!$B$8&amp;" Day","Due in "&amp;(Settings!$B$8-E213)&amp;" days")))</f>
        <v/>
      </c>
      <c r="G213" s="21" t="str">
        <f aca="false">IF(A213="","",Patients!H213)</f>
        <v/>
      </c>
      <c r="H213" s="1"/>
    </row>
    <row r="214" customFormat="false" ht="15" hidden="false" customHeight="false" outlineLevel="0" collapsed="false">
      <c r="A214" s="21" t="str">
        <f aca="false">IF(Patients!A214="","",IF(COUNTIF('Injection Sales'!$B$2:$B$501,Patients!A214)=0,"",Patients!A214))</f>
        <v/>
      </c>
      <c r="B214" s="24" t="str">
        <f aca="false">IF(A214="","",Patients!B214&amp;"")</f>
        <v/>
      </c>
      <c r="C214" s="21" t="str">
        <f aca="false">IF(A214="","",Patients!G214)</f>
        <v/>
      </c>
      <c r="D214" s="18" t="str">
        <f aca="false">IF(A214="","",_xlfn.MAXIFS('Injection Sales'!$A$2:$A$501,'Injection Sales'!$B$2:$B$501,A214))</f>
        <v/>
      </c>
      <c r="E214" s="19" t="str">
        <f aca="true">IF(A214="","",TODAY()-D214)</f>
        <v/>
      </c>
      <c r="F214" s="21" t="str">
        <f aca="false">IF(A214="","",IF(E214&gt;=Settings!$B$9,Settings!$B$9&amp;" Day",IF(E214&gt;=Settings!$B$8,Settings!$B$8&amp;" Day","Due in "&amp;(Settings!$B$8-E214)&amp;" days")))</f>
        <v/>
      </c>
      <c r="G214" s="21" t="str">
        <f aca="false">IF(A214="","",Patients!H214)</f>
        <v/>
      </c>
      <c r="H214" s="1"/>
    </row>
    <row r="215" customFormat="false" ht="15" hidden="false" customHeight="false" outlineLevel="0" collapsed="false">
      <c r="A215" s="21" t="str">
        <f aca="false">IF(Patients!A215="","",IF(COUNTIF('Injection Sales'!$B$2:$B$501,Patients!A215)=0,"",Patients!A215))</f>
        <v/>
      </c>
      <c r="B215" s="24" t="str">
        <f aca="false">IF(A215="","",Patients!B215&amp;"")</f>
        <v/>
      </c>
      <c r="C215" s="21" t="str">
        <f aca="false">IF(A215="","",Patients!G215)</f>
        <v/>
      </c>
      <c r="D215" s="18" t="str">
        <f aca="false">IF(A215="","",_xlfn.MAXIFS('Injection Sales'!$A$2:$A$501,'Injection Sales'!$B$2:$B$501,A215))</f>
        <v/>
      </c>
      <c r="E215" s="19" t="str">
        <f aca="true">IF(A215="","",TODAY()-D215)</f>
        <v/>
      </c>
      <c r="F215" s="21" t="str">
        <f aca="false">IF(A215="","",IF(E215&gt;=Settings!$B$9,Settings!$B$9&amp;" Day",IF(E215&gt;=Settings!$B$8,Settings!$B$8&amp;" Day","Due in "&amp;(Settings!$B$8-E215)&amp;" days")))</f>
        <v/>
      </c>
      <c r="G215" s="21" t="str">
        <f aca="false">IF(A215="","",Patients!H215)</f>
        <v/>
      </c>
      <c r="H215" s="1"/>
    </row>
    <row r="216" customFormat="false" ht="15" hidden="false" customHeight="false" outlineLevel="0" collapsed="false">
      <c r="A216" s="21" t="str">
        <f aca="false">IF(Patients!A216="","",IF(COUNTIF('Injection Sales'!$B$2:$B$501,Patients!A216)=0,"",Patients!A216))</f>
        <v/>
      </c>
      <c r="B216" s="24" t="str">
        <f aca="false">IF(A216="","",Patients!B216&amp;"")</f>
        <v/>
      </c>
      <c r="C216" s="21" t="str">
        <f aca="false">IF(A216="","",Patients!G216)</f>
        <v/>
      </c>
      <c r="D216" s="18" t="str">
        <f aca="false">IF(A216="","",_xlfn.MAXIFS('Injection Sales'!$A$2:$A$501,'Injection Sales'!$B$2:$B$501,A216))</f>
        <v/>
      </c>
      <c r="E216" s="19" t="str">
        <f aca="true">IF(A216="","",TODAY()-D216)</f>
        <v/>
      </c>
      <c r="F216" s="21" t="str">
        <f aca="false">IF(A216="","",IF(E216&gt;=Settings!$B$9,Settings!$B$9&amp;" Day",IF(E216&gt;=Settings!$B$8,Settings!$B$8&amp;" Day","Due in "&amp;(Settings!$B$8-E216)&amp;" days")))</f>
        <v/>
      </c>
      <c r="G216" s="21" t="str">
        <f aca="false">IF(A216="","",Patients!H216)</f>
        <v/>
      </c>
      <c r="H216" s="1"/>
    </row>
    <row r="217" customFormat="false" ht="15" hidden="false" customHeight="false" outlineLevel="0" collapsed="false">
      <c r="A217" s="21" t="str">
        <f aca="false">IF(Patients!A217="","",IF(COUNTIF('Injection Sales'!$B$2:$B$501,Patients!A217)=0,"",Patients!A217))</f>
        <v/>
      </c>
      <c r="B217" s="24" t="str">
        <f aca="false">IF(A217="","",Patients!B217&amp;"")</f>
        <v/>
      </c>
      <c r="C217" s="21" t="str">
        <f aca="false">IF(A217="","",Patients!G217)</f>
        <v/>
      </c>
      <c r="D217" s="18" t="str">
        <f aca="false">IF(A217="","",_xlfn.MAXIFS('Injection Sales'!$A$2:$A$501,'Injection Sales'!$B$2:$B$501,A217))</f>
        <v/>
      </c>
      <c r="E217" s="19" t="str">
        <f aca="true">IF(A217="","",TODAY()-D217)</f>
        <v/>
      </c>
      <c r="F217" s="21" t="str">
        <f aca="false">IF(A217="","",IF(E217&gt;=Settings!$B$9,Settings!$B$9&amp;" Day",IF(E217&gt;=Settings!$B$8,Settings!$B$8&amp;" Day","Due in "&amp;(Settings!$B$8-E217)&amp;" days")))</f>
        <v/>
      </c>
      <c r="G217" s="21" t="str">
        <f aca="false">IF(A217="","",Patients!H217)</f>
        <v/>
      </c>
      <c r="H217" s="1"/>
    </row>
    <row r="218" customFormat="false" ht="15" hidden="false" customHeight="false" outlineLevel="0" collapsed="false">
      <c r="A218" s="21" t="str">
        <f aca="false">IF(Patients!A218="","",IF(COUNTIF('Injection Sales'!$B$2:$B$501,Patients!A218)=0,"",Patients!A218))</f>
        <v/>
      </c>
      <c r="B218" s="24" t="str">
        <f aca="false">IF(A218="","",Patients!B218&amp;"")</f>
        <v/>
      </c>
      <c r="C218" s="21" t="str">
        <f aca="false">IF(A218="","",Patients!G218)</f>
        <v/>
      </c>
      <c r="D218" s="18" t="str">
        <f aca="false">IF(A218="","",_xlfn.MAXIFS('Injection Sales'!$A$2:$A$501,'Injection Sales'!$B$2:$B$501,A218))</f>
        <v/>
      </c>
      <c r="E218" s="19" t="str">
        <f aca="true">IF(A218="","",TODAY()-D218)</f>
        <v/>
      </c>
      <c r="F218" s="21" t="str">
        <f aca="false">IF(A218="","",IF(E218&gt;=Settings!$B$9,Settings!$B$9&amp;" Day",IF(E218&gt;=Settings!$B$8,Settings!$B$8&amp;" Day","Due in "&amp;(Settings!$B$8-E218)&amp;" days")))</f>
        <v/>
      </c>
      <c r="G218" s="21" t="str">
        <f aca="false">IF(A218="","",Patients!H218)</f>
        <v/>
      </c>
      <c r="H218" s="1"/>
    </row>
    <row r="219" customFormat="false" ht="15" hidden="false" customHeight="false" outlineLevel="0" collapsed="false">
      <c r="A219" s="21" t="str">
        <f aca="false">IF(Patients!A219="","",IF(COUNTIF('Injection Sales'!$B$2:$B$501,Patients!A219)=0,"",Patients!A219))</f>
        <v/>
      </c>
      <c r="B219" s="24" t="str">
        <f aca="false">IF(A219="","",Patients!B219&amp;"")</f>
        <v/>
      </c>
      <c r="C219" s="21" t="str">
        <f aca="false">IF(A219="","",Patients!G219)</f>
        <v/>
      </c>
      <c r="D219" s="18" t="str">
        <f aca="false">IF(A219="","",_xlfn.MAXIFS('Injection Sales'!$A$2:$A$501,'Injection Sales'!$B$2:$B$501,A219))</f>
        <v/>
      </c>
      <c r="E219" s="19" t="str">
        <f aca="true">IF(A219="","",TODAY()-D219)</f>
        <v/>
      </c>
      <c r="F219" s="21" t="str">
        <f aca="false">IF(A219="","",IF(E219&gt;=Settings!$B$9,Settings!$B$9&amp;" Day",IF(E219&gt;=Settings!$B$8,Settings!$B$8&amp;" Day","Due in "&amp;(Settings!$B$8-E219)&amp;" days")))</f>
        <v/>
      </c>
      <c r="G219" s="21" t="str">
        <f aca="false">IF(A219="","",Patients!H219)</f>
        <v/>
      </c>
      <c r="H219" s="1"/>
    </row>
    <row r="220" customFormat="false" ht="15" hidden="false" customHeight="false" outlineLevel="0" collapsed="false">
      <c r="A220" s="21" t="str">
        <f aca="false">IF(Patients!A220="","",IF(COUNTIF('Injection Sales'!$B$2:$B$501,Patients!A220)=0,"",Patients!A220))</f>
        <v/>
      </c>
      <c r="B220" s="24" t="str">
        <f aca="false">IF(A220="","",Patients!B220&amp;"")</f>
        <v/>
      </c>
      <c r="C220" s="21" t="str">
        <f aca="false">IF(A220="","",Patients!G220)</f>
        <v/>
      </c>
      <c r="D220" s="18" t="str">
        <f aca="false">IF(A220="","",_xlfn.MAXIFS('Injection Sales'!$A$2:$A$501,'Injection Sales'!$B$2:$B$501,A220))</f>
        <v/>
      </c>
      <c r="E220" s="19" t="str">
        <f aca="true">IF(A220="","",TODAY()-D220)</f>
        <v/>
      </c>
      <c r="F220" s="21" t="str">
        <f aca="false">IF(A220="","",IF(E220&gt;=Settings!$B$9,Settings!$B$9&amp;" Day",IF(E220&gt;=Settings!$B$8,Settings!$B$8&amp;" Day","Due in "&amp;(Settings!$B$8-E220)&amp;" days")))</f>
        <v/>
      </c>
      <c r="G220" s="21" t="str">
        <f aca="false">IF(A220="","",Patients!H220)</f>
        <v/>
      </c>
      <c r="H220" s="1"/>
    </row>
    <row r="221" customFormat="false" ht="15" hidden="false" customHeight="false" outlineLevel="0" collapsed="false">
      <c r="A221" s="21" t="str">
        <f aca="false">IF(Patients!A221="","",IF(COUNTIF('Injection Sales'!$B$2:$B$501,Patients!A221)=0,"",Patients!A221))</f>
        <v/>
      </c>
      <c r="B221" s="24" t="str">
        <f aca="false">IF(A221="","",Patients!B221&amp;"")</f>
        <v/>
      </c>
      <c r="C221" s="21" t="str">
        <f aca="false">IF(A221="","",Patients!G221)</f>
        <v/>
      </c>
      <c r="D221" s="18" t="str">
        <f aca="false">IF(A221="","",_xlfn.MAXIFS('Injection Sales'!$A$2:$A$501,'Injection Sales'!$B$2:$B$501,A221))</f>
        <v/>
      </c>
      <c r="E221" s="19" t="str">
        <f aca="true">IF(A221="","",TODAY()-D221)</f>
        <v/>
      </c>
      <c r="F221" s="21" t="str">
        <f aca="false">IF(A221="","",IF(E221&gt;=Settings!$B$9,Settings!$B$9&amp;" Day",IF(E221&gt;=Settings!$B$8,Settings!$B$8&amp;" Day","Due in "&amp;(Settings!$B$8-E221)&amp;" days")))</f>
        <v/>
      </c>
      <c r="G221" s="21" t="str">
        <f aca="false">IF(A221="","",Patients!H221)</f>
        <v/>
      </c>
      <c r="H221" s="1"/>
    </row>
    <row r="222" customFormat="false" ht="15" hidden="false" customHeight="false" outlineLevel="0" collapsed="false">
      <c r="A222" s="21" t="str">
        <f aca="false">IF(Patients!A222="","",IF(COUNTIF('Injection Sales'!$B$2:$B$501,Patients!A222)=0,"",Patients!A222))</f>
        <v/>
      </c>
      <c r="B222" s="24" t="str">
        <f aca="false">IF(A222="","",Patients!B222&amp;"")</f>
        <v/>
      </c>
      <c r="C222" s="21" t="str">
        <f aca="false">IF(A222="","",Patients!G222)</f>
        <v/>
      </c>
      <c r="D222" s="18" t="str">
        <f aca="false">IF(A222="","",_xlfn.MAXIFS('Injection Sales'!$A$2:$A$501,'Injection Sales'!$B$2:$B$501,A222))</f>
        <v/>
      </c>
      <c r="E222" s="19" t="str">
        <f aca="true">IF(A222="","",TODAY()-D222)</f>
        <v/>
      </c>
      <c r="F222" s="21" t="str">
        <f aca="false">IF(A222="","",IF(E222&gt;=Settings!$B$9,Settings!$B$9&amp;" Day",IF(E222&gt;=Settings!$B$8,Settings!$B$8&amp;" Day","Due in "&amp;(Settings!$B$8-E222)&amp;" days")))</f>
        <v/>
      </c>
      <c r="G222" s="21" t="str">
        <f aca="false">IF(A222="","",Patients!H222)</f>
        <v/>
      </c>
      <c r="H222" s="1"/>
    </row>
    <row r="223" customFormat="false" ht="15" hidden="false" customHeight="false" outlineLevel="0" collapsed="false">
      <c r="A223" s="21" t="str">
        <f aca="false">IF(Patients!A223="","",IF(COUNTIF('Injection Sales'!$B$2:$B$501,Patients!A223)=0,"",Patients!A223))</f>
        <v/>
      </c>
      <c r="B223" s="24" t="str">
        <f aca="false">IF(A223="","",Patients!B223&amp;"")</f>
        <v/>
      </c>
      <c r="C223" s="21" t="str">
        <f aca="false">IF(A223="","",Patients!G223)</f>
        <v/>
      </c>
      <c r="D223" s="18" t="str">
        <f aca="false">IF(A223="","",_xlfn.MAXIFS('Injection Sales'!$A$2:$A$501,'Injection Sales'!$B$2:$B$501,A223))</f>
        <v/>
      </c>
      <c r="E223" s="19" t="str">
        <f aca="true">IF(A223="","",TODAY()-D223)</f>
        <v/>
      </c>
      <c r="F223" s="21" t="str">
        <f aca="false">IF(A223="","",IF(E223&gt;=Settings!$B$9,Settings!$B$9&amp;" Day",IF(E223&gt;=Settings!$B$8,Settings!$B$8&amp;" Day","Due in "&amp;(Settings!$B$8-E223)&amp;" days")))</f>
        <v/>
      </c>
      <c r="G223" s="21" t="str">
        <f aca="false">IF(A223="","",Patients!H223)</f>
        <v/>
      </c>
      <c r="H223" s="1"/>
    </row>
    <row r="224" customFormat="false" ht="15" hidden="false" customHeight="false" outlineLevel="0" collapsed="false">
      <c r="A224" s="21" t="str">
        <f aca="false">IF(Patients!A224="","",IF(COUNTIF('Injection Sales'!$B$2:$B$501,Patients!A224)=0,"",Patients!A224))</f>
        <v/>
      </c>
      <c r="B224" s="24" t="str">
        <f aca="false">IF(A224="","",Patients!B224&amp;"")</f>
        <v/>
      </c>
      <c r="C224" s="21" t="str">
        <f aca="false">IF(A224="","",Patients!G224)</f>
        <v/>
      </c>
      <c r="D224" s="18" t="str">
        <f aca="false">IF(A224="","",_xlfn.MAXIFS('Injection Sales'!$A$2:$A$501,'Injection Sales'!$B$2:$B$501,A224))</f>
        <v/>
      </c>
      <c r="E224" s="19" t="str">
        <f aca="true">IF(A224="","",TODAY()-D224)</f>
        <v/>
      </c>
      <c r="F224" s="21" t="str">
        <f aca="false">IF(A224="","",IF(E224&gt;=Settings!$B$9,Settings!$B$9&amp;" Day",IF(E224&gt;=Settings!$B$8,Settings!$B$8&amp;" Day","Due in "&amp;(Settings!$B$8-E224)&amp;" days")))</f>
        <v/>
      </c>
      <c r="G224" s="21" t="str">
        <f aca="false">IF(A224="","",Patients!H224)</f>
        <v/>
      </c>
      <c r="H224" s="1"/>
    </row>
    <row r="225" customFormat="false" ht="15" hidden="false" customHeight="false" outlineLevel="0" collapsed="false">
      <c r="A225" s="21" t="str">
        <f aca="false">IF(Patients!A225="","",IF(COUNTIF('Injection Sales'!$B$2:$B$501,Patients!A225)=0,"",Patients!A225))</f>
        <v/>
      </c>
      <c r="B225" s="24" t="str">
        <f aca="false">IF(A225="","",Patients!B225&amp;"")</f>
        <v/>
      </c>
      <c r="C225" s="21" t="str">
        <f aca="false">IF(A225="","",Patients!G225)</f>
        <v/>
      </c>
      <c r="D225" s="18" t="str">
        <f aca="false">IF(A225="","",_xlfn.MAXIFS('Injection Sales'!$A$2:$A$501,'Injection Sales'!$B$2:$B$501,A225))</f>
        <v/>
      </c>
      <c r="E225" s="19" t="str">
        <f aca="true">IF(A225="","",TODAY()-D225)</f>
        <v/>
      </c>
      <c r="F225" s="21" t="str">
        <f aca="false">IF(A225="","",IF(E225&gt;=Settings!$B$9,Settings!$B$9&amp;" Day",IF(E225&gt;=Settings!$B$8,Settings!$B$8&amp;" Day","Due in "&amp;(Settings!$B$8-E225)&amp;" days")))</f>
        <v/>
      </c>
      <c r="G225" s="21" t="str">
        <f aca="false">IF(A225="","",Patients!H225)</f>
        <v/>
      </c>
      <c r="H225" s="1"/>
    </row>
    <row r="226" customFormat="false" ht="15" hidden="false" customHeight="false" outlineLevel="0" collapsed="false">
      <c r="A226" s="21" t="str">
        <f aca="false">IF(Patients!A226="","",IF(COUNTIF('Injection Sales'!$B$2:$B$501,Patients!A226)=0,"",Patients!A226))</f>
        <v/>
      </c>
      <c r="B226" s="24" t="str">
        <f aca="false">IF(A226="","",Patients!B226&amp;"")</f>
        <v/>
      </c>
      <c r="C226" s="21" t="str">
        <f aca="false">IF(A226="","",Patients!G226)</f>
        <v/>
      </c>
      <c r="D226" s="18" t="str">
        <f aca="false">IF(A226="","",_xlfn.MAXIFS('Injection Sales'!$A$2:$A$501,'Injection Sales'!$B$2:$B$501,A226))</f>
        <v/>
      </c>
      <c r="E226" s="19" t="str">
        <f aca="true">IF(A226="","",TODAY()-D226)</f>
        <v/>
      </c>
      <c r="F226" s="21" t="str">
        <f aca="false">IF(A226="","",IF(E226&gt;=Settings!$B$9,Settings!$B$9&amp;" Day",IF(E226&gt;=Settings!$B$8,Settings!$B$8&amp;" Day","Due in "&amp;(Settings!$B$8-E226)&amp;" days")))</f>
        <v/>
      </c>
      <c r="G226" s="21" t="str">
        <f aca="false">IF(A226="","",Patients!H226)</f>
        <v/>
      </c>
      <c r="H226" s="1"/>
    </row>
    <row r="227" customFormat="false" ht="15" hidden="false" customHeight="false" outlineLevel="0" collapsed="false">
      <c r="A227" s="21" t="str">
        <f aca="false">IF(Patients!A227="","",IF(COUNTIF('Injection Sales'!$B$2:$B$501,Patients!A227)=0,"",Patients!A227))</f>
        <v/>
      </c>
      <c r="B227" s="24" t="str">
        <f aca="false">IF(A227="","",Patients!B227&amp;"")</f>
        <v/>
      </c>
      <c r="C227" s="21" t="str">
        <f aca="false">IF(A227="","",Patients!G227)</f>
        <v/>
      </c>
      <c r="D227" s="18" t="str">
        <f aca="false">IF(A227="","",_xlfn.MAXIFS('Injection Sales'!$A$2:$A$501,'Injection Sales'!$B$2:$B$501,A227))</f>
        <v/>
      </c>
      <c r="E227" s="19" t="str">
        <f aca="true">IF(A227="","",TODAY()-D227)</f>
        <v/>
      </c>
      <c r="F227" s="21" t="str">
        <f aca="false">IF(A227="","",IF(E227&gt;=Settings!$B$9,Settings!$B$9&amp;" Day",IF(E227&gt;=Settings!$B$8,Settings!$B$8&amp;" Day","Due in "&amp;(Settings!$B$8-E227)&amp;" days")))</f>
        <v/>
      </c>
      <c r="G227" s="21" t="str">
        <f aca="false">IF(A227="","",Patients!H227)</f>
        <v/>
      </c>
      <c r="H227" s="1"/>
    </row>
    <row r="228" customFormat="false" ht="15" hidden="false" customHeight="false" outlineLevel="0" collapsed="false">
      <c r="A228" s="21" t="str">
        <f aca="false">IF(Patients!A228="","",IF(COUNTIF('Injection Sales'!$B$2:$B$501,Patients!A228)=0,"",Patients!A228))</f>
        <v/>
      </c>
      <c r="B228" s="24" t="str">
        <f aca="false">IF(A228="","",Patients!B228&amp;"")</f>
        <v/>
      </c>
      <c r="C228" s="21" t="str">
        <f aca="false">IF(A228="","",Patients!G228)</f>
        <v/>
      </c>
      <c r="D228" s="18" t="str">
        <f aca="false">IF(A228="","",_xlfn.MAXIFS('Injection Sales'!$A$2:$A$501,'Injection Sales'!$B$2:$B$501,A228))</f>
        <v/>
      </c>
      <c r="E228" s="19" t="str">
        <f aca="true">IF(A228="","",TODAY()-D228)</f>
        <v/>
      </c>
      <c r="F228" s="21" t="str">
        <f aca="false">IF(A228="","",IF(E228&gt;=Settings!$B$9,Settings!$B$9&amp;" Day",IF(E228&gt;=Settings!$B$8,Settings!$B$8&amp;" Day","Due in "&amp;(Settings!$B$8-E228)&amp;" days")))</f>
        <v/>
      </c>
      <c r="G228" s="21" t="str">
        <f aca="false">IF(A228="","",Patients!H228)</f>
        <v/>
      </c>
      <c r="H228" s="1"/>
    </row>
    <row r="229" customFormat="false" ht="15" hidden="false" customHeight="false" outlineLevel="0" collapsed="false">
      <c r="A229" s="21" t="str">
        <f aca="false">IF(Patients!A229="","",IF(COUNTIF('Injection Sales'!$B$2:$B$501,Patients!A229)=0,"",Patients!A229))</f>
        <v/>
      </c>
      <c r="B229" s="24" t="str">
        <f aca="false">IF(A229="","",Patients!B229&amp;"")</f>
        <v/>
      </c>
      <c r="C229" s="21" t="str">
        <f aca="false">IF(A229="","",Patients!G229)</f>
        <v/>
      </c>
      <c r="D229" s="18" t="str">
        <f aca="false">IF(A229="","",_xlfn.MAXIFS('Injection Sales'!$A$2:$A$501,'Injection Sales'!$B$2:$B$501,A229))</f>
        <v/>
      </c>
      <c r="E229" s="19" t="str">
        <f aca="true">IF(A229="","",TODAY()-D229)</f>
        <v/>
      </c>
      <c r="F229" s="21" t="str">
        <f aca="false">IF(A229="","",IF(E229&gt;=Settings!$B$9,Settings!$B$9&amp;" Day",IF(E229&gt;=Settings!$B$8,Settings!$B$8&amp;" Day","Due in "&amp;(Settings!$B$8-E229)&amp;" days")))</f>
        <v/>
      </c>
      <c r="G229" s="21" t="str">
        <f aca="false">IF(A229="","",Patients!H229)</f>
        <v/>
      </c>
      <c r="H229" s="1"/>
    </row>
    <row r="230" customFormat="false" ht="15" hidden="false" customHeight="false" outlineLevel="0" collapsed="false">
      <c r="A230" s="21" t="str">
        <f aca="false">IF(Patients!A230="","",IF(COUNTIF('Injection Sales'!$B$2:$B$501,Patients!A230)=0,"",Patients!A230))</f>
        <v/>
      </c>
      <c r="B230" s="24" t="str">
        <f aca="false">IF(A230="","",Patients!B230&amp;"")</f>
        <v/>
      </c>
      <c r="C230" s="21" t="str">
        <f aca="false">IF(A230="","",Patients!G230)</f>
        <v/>
      </c>
      <c r="D230" s="18" t="str">
        <f aca="false">IF(A230="","",_xlfn.MAXIFS('Injection Sales'!$A$2:$A$501,'Injection Sales'!$B$2:$B$501,A230))</f>
        <v/>
      </c>
      <c r="E230" s="19" t="str">
        <f aca="true">IF(A230="","",TODAY()-D230)</f>
        <v/>
      </c>
      <c r="F230" s="21" t="str">
        <f aca="false">IF(A230="","",IF(E230&gt;=Settings!$B$9,Settings!$B$9&amp;" Day",IF(E230&gt;=Settings!$B$8,Settings!$B$8&amp;" Day","Due in "&amp;(Settings!$B$8-E230)&amp;" days")))</f>
        <v/>
      </c>
      <c r="G230" s="21" t="str">
        <f aca="false">IF(A230="","",Patients!H230)</f>
        <v/>
      </c>
      <c r="H230" s="1"/>
    </row>
    <row r="231" customFormat="false" ht="15" hidden="false" customHeight="false" outlineLevel="0" collapsed="false">
      <c r="A231" s="21" t="str">
        <f aca="false">IF(Patients!A231="","",IF(COUNTIF('Injection Sales'!$B$2:$B$501,Patients!A231)=0,"",Patients!A231))</f>
        <v/>
      </c>
      <c r="B231" s="24" t="str">
        <f aca="false">IF(A231="","",Patients!B231&amp;"")</f>
        <v/>
      </c>
      <c r="C231" s="21" t="str">
        <f aca="false">IF(A231="","",Patients!G231)</f>
        <v/>
      </c>
      <c r="D231" s="18" t="str">
        <f aca="false">IF(A231="","",_xlfn.MAXIFS('Injection Sales'!$A$2:$A$501,'Injection Sales'!$B$2:$B$501,A231))</f>
        <v/>
      </c>
      <c r="E231" s="19" t="str">
        <f aca="true">IF(A231="","",TODAY()-D231)</f>
        <v/>
      </c>
      <c r="F231" s="21" t="str">
        <f aca="false">IF(A231="","",IF(E231&gt;=Settings!$B$9,Settings!$B$9&amp;" Day",IF(E231&gt;=Settings!$B$8,Settings!$B$8&amp;" Day","Due in "&amp;(Settings!$B$8-E231)&amp;" days")))</f>
        <v/>
      </c>
      <c r="G231" s="21" t="str">
        <f aca="false">IF(A231="","",Patients!H231)</f>
        <v/>
      </c>
      <c r="H231" s="1"/>
    </row>
    <row r="232" customFormat="false" ht="15" hidden="false" customHeight="false" outlineLevel="0" collapsed="false">
      <c r="A232" s="21" t="str">
        <f aca="false">IF(Patients!A232="","",IF(COUNTIF('Injection Sales'!$B$2:$B$501,Patients!A232)=0,"",Patients!A232))</f>
        <v/>
      </c>
      <c r="B232" s="24" t="str">
        <f aca="false">IF(A232="","",Patients!B232&amp;"")</f>
        <v/>
      </c>
      <c r="C232" s="21" t="str">
        <f aca="false">IF(A232="","",Patients!G232)</f>
        <v/>
      </c>
      <c r="D232" s="18" t="str">
        <f aca="false">IF(A232="","",_xlfn.MAXIFS('Injection Sales'!$A$2:$A$501,'Injection Sales'!$B$2:$B$501,A232))</f>
        <v/>
      </c>
      <c r="E232" s="19" t="str">
        <f aca="true">IF(A232="","",TODAY()-D232)</f>
        <v/>
      </c>
      <c r="F232" s="21" t="str">
        <f aca="false">IF(A232="","",IF(E232&gt;=Settings!$B$9,Settings!$B$9&amp;" Day",IF(E232&gt;=Settings!$B$8,Settings!$B$8&amp;" Day","Due in "&amp;(Settings!$B$8-E232)&amp;" days")))</f>
        <v/>
      </c>
      <c r="G232" s="21" t="str">
        <f aca="false">IF(A232="","",Patients!H232)</f>
        <v/>
      </c>
      <c r="H232" s="1"/>
    </row>
    <row r="233" customFormat="false" ht="15" hidden="false" customHeight="false" outlineLevel="0" collapsed="false">
      <c r="A233" s="21" t="str">
        <f aca="false">IF(Patients!A233="","",IF(COUNTIF('Injection Sales'!$B$2:$B$501,Patients!A233)=0,"",Patients!A233))</f>
        <v/>
      </c>
      <c r="B233" s="24" t="str">
        <f aca="false">IF(A233="","",Patients!B233&amp;"")</f>
        <v/>
      </c>
      <c r="C233" s="21" t="str">
        <f aca="false">IF(A233="","",Patients!G233)</f>
        <v/>
      </c>
      <c r="D233" s="18" t="str">
        <f aca="false">IF(A233="","",_xlfn.MAXIFS('Injection Sales'!$A$2:$A$501,'Injection Sales'!$B$2:$B$501,A233))</f>
        <v/>
      </c>
      <c r="E233" s="19" t="str">
        <f aca="true">IF(A233="","",TODAY()-D233)</f>
        <v/>
      </c>
      <c r="F233" s="21" t="str">
        <f aca="false">IF(A233="","",IF(E233&gt;=Settings!$B$9,Settings!$B$9&amp;" Day",IF(E233&gt;=Settings!$B$8,Settings!$B$8&amp;" Day","Due in "&amp;(Settings!$B$8-E233)&amp;" days")))</f>
        <v/>
      </c>
      <c r="G233" s="21" t="str">
        <f aca="false">IF(A233="","",Patients!H233)</f>
        <v/>
      </c>
      <c r="H233" s="1"/>
    </row>
    <row r="234" customFormat="false" ht="15" hidden="false" customHeight="false" outlineLevel="0" collapsed="false">
      <c r="A234" s="21" t="str">
        <f aca="false">IF(Patients!A234="","",IF(COUNTIF('Injection Sales'!$B$2:$B$501,Patients!A234)=0,"",Patients!A234))</f>
        <v/>
      </c>
      <c r="B234" s="24" t="str">
        <f aca="false">IF(A234="","",Patients!B234&amp;"")</f>
        <v/>
      </c>
      <c r="C234" s="21" t="str">
        <f aca="false">IF(A234="","",Patients!G234)</f>
        <v/>
      </c>
      <c r="D234" s="18" t="str">
        <f aca="false">IF(A234="","",_xlfn.MAXIFS('Injection Sales'!$A$2:$A$501,'Injection Sales'!$B$2:$B$501,A234))</f>
        <v/>
      </c>
      <c r="E234" s="19" t="str">
        <f aca="true">IF(A234="","",TODAY()-D234)</f>
        <v/>
      </c>
      <c r="F234" s="21" t="str">
        <f aca="false">IF(A234="","",IF(E234&gt;=Settings!$B$9,Settings!$B$9&amp;" Day",IF(E234&gt;=Settings!$B$8,Settings!$B$8&amp;" Day","Due in "&amp;(Settings!$B$8-E234)&amp;" days")))</f>
        <v/>
      </c>
      <c r="G234" s="21" t="str">
        <f aca="false">IF(A234="","",Patients!H234)</f>
        <v/>
      </c>
      <c r="H234" s="1"/>
    </row>
    <row r="235" customFormat="false" ht="15" hidden="false" customHeight="false" outlineLevel="0" collapsed="false">
      <c r="A235" s="21" t="str">
        <f aca="false">IF(Patients!A235="","",IF(COUNTIF('Injection Sales'!$B$2:$B$501,Patients!A235)=0,"",Patients!A235))</f>
        <v/>
      </c>
      <c r="B235" s="24" t="str">
        <f aca="false">IF(A235="","",Patients!B235&amp;"")</f>
        <v/>
      </c>
      <c r="C235" s="21" t="str">
        <f aca="false">IF(A235="","",Patients!G235)</f>
        <v/>
      </c>
      <c r="D235" s="18" t="str">
        <f aca="false">IF(A235="","",_xlfn.MAXIFS('Injection Sales'!$A$2:$A$501,'Injection Sales'!$B$2:$B$501,A235))</f>
        <v/>
      </c>
      <c r="E235" s="19" t="str">
        <f aca="true">IF(A235="","",TODAY()-D235)</f>
        <v/>
      </c>
      <c r="F235" s="21" t="str">
        <f aca="false">IF(A235="","",IF(E235&gt;=Settings!$B$9,Settings!$B$9&amp;" Day",IF(E235&gt;=Settings!$B$8,Settings!$B$8&amp;" Day","Due in "&amp;(Settings!$B$8-E235)&amp;" days")))</f>
        <v/>
      </c>
      <c r="G235" s="21" t="str">
        <f aca="false">IF(A235="","",Patients!H235)</f>
        <v/>
      </c>
      <c r="H235" s="1"/>
    </row>
    <row r="236" customFormat="false" ht="15" hidden="false" customHeight="false" outlineLevel="0" collapsed="false">
      <c r="A236" s="21" t="str">
        <f aca="false">IF(Patients!A236="","",IF(COUNTIF('Injection Sales'!$B$2:$B$501,Patients!A236)=0,"",Patients!A236))</f>
        <v/>
      </c>
      <c r="B236" s="24" t="str">
        <f aca="false">IF(A236="","",Patients!B236&amp;"")</f>
        <v/>
      </c>
      <c r="C236" s="21" t="str">
        <f aca="false">IF(A236="","",Patients!G236)</f>
        <v/>
      </c>
      <c r="D236" s="18" t="str">
        <f aca="false">IF(A236="","",_xlfn.MAXIFS('Injection Sales'!$A$2:$A$501,'Injection Sales'!$B$2:$B$501,A236))</f>
        <v/>
      </c>
      <c r="E236" s="19" t="str">
        <f aca="true">IF(A236="","",TODAY()-D236)</f>
        <v/>
      </c>
      <c r="F236" s="21" t="str">
        <f aca="false">IF(A236="","",IF(E236&gt;=Settings!$B$9,Settings!$B$9&amp;" Day",IF(E236&gt;=Settings!$B$8,Settings!$B$8&amp;" Day","Due in "&amp;(Settings!$B$8-E236)&amp;" days")))</f>
        <v/>
      </c>
      <c r="G236" s="21" t="str">
        <f aca="false">IF(A236="","",Patients!H236)</f>
        <v/>
      </c>
      <c r="H236" s="1"/>
    </row>
    <row r="237" customFormat="false" ht="15" hidden="false" customHeight="false" outlineLevel="0" collapsed="false">
      <c r="A237" s="21" t="str">
        <f aca="false">IF(Patients!A237="","",IF(COUNTIF('Injection Sales'!$B$2:$B$501,Patients!A237)=0,"",Patients!A237))</f>
        <v/>
      </c>
      <c r="B237" s="24" t="str">
        <f aca="false">IF(A237="","",Patients!B237&amp;"")</f>
        <v/>
      </c>
      <c r="C237" s="21" t="str">
        <f aca="false">IF(A237="","",Patients!G237)</f>
        <v/>
      </c>
      <c r="D237" s="18" t="str">
        <f aca="false">IF(A237="","",_xlfn.MAXIFS('Injection Sales'!$A$2:$A$501,'Injection Sales'!$B$2:$B$501,A237))</f>
        <v/>
      </c>
      <c r="E237" s="19" t="str">
        <f aca="true">IF(A237="","",TODAY()-D237)</f>
        <v/>
      </c>
      <c r="F237" s="21" t="str">
        <f aca="false">IF(A237="","",IF(E237&gt;=Settings!$B$9,Settings!$B$9&amp;" Day",IF(E237&gt;=Settings!$B$8,Settings!$B$8&amp;" Day","Due in "&amp;(Settings!$B$8-E237)&amp;" days")))</f>
        <v/>
      </c>
      <c r="G237" s="21" t="str">
        <f aca="false">IF(A237="","",Patients!H237)</f>
        <v/>
      </c>
      <c r="H237" s="1"/>
    </row>
    <row r="238" customFormat="false" ht="15" hidden="false" customHeight="false" outlineLevel="0" collapsed="false">
      <c r="A238" s="21" t="str">
        <f aca="false">IF(Patients!A238="","",IF(COUNTIF('Injection Sales'!$B$2:$B$501,Patients!A238)=0,"",Patients!A238))</f>
        <v/>
      </c>
      <c r="B238" s="24" t="str">
        <f aca="false">IF(A238="","",Patients!B238&amp;"")</f>
        <v/>
      </c>
      <c r="C238" s="21" t="str">
        <f aca="false">IF(A238="","",Patients!G238)</f>
        <v/>
      </c>
      <c r="D238" s="18" t="str">
        <f aca="false">IF(A238="","",_xlfn.MAXIFS('Injection Sales'!$A$2:$A$501,'Injection Sales'!$B$2:$B$501,A238))</f>
        <v/>
      </c>
      <c r="E238" s="19" t="str">
        <f aca="true">IF(A238="","",TODAY()-D238)</f>
        <v/>
      </c>
      <c r="F238" s="21" t="str">
        <f aca="false">IF(A238="","",IF(E238&gt;=Settings!$B$9,Settings!$B$9&amp;" Day",IF(E238&gt;=Settings!$B$8,Settings!$B$8&amp;" Day","Due in "&amp;(Settings!$B$8-E238)&amp;" days")))</f>
        <v/>
      </c>
      <c r="G238" s="21" t="str">
        <f aca="false">IF(A238="","",Patients!H238)</f>
        <v/>
      </c>
      <c r="H238" s="1"/>
    </row>
    <row r="239" customFormat="false" ht="15" hidden="false" customHeight="false" outlineLevel="0" collapsed="false">
      <c r="A239" s="21" t="str">
        <f aca="false">IF(Patients!A239="","",IF(COUNTIF('Injection Sales'!$B$2:$B$501,Patients!A239)=0,"",Patients!A239))</f>
        <v/>
      </c>
      <c r="B239" s="24" t="str">
        <f aca="false">IF(A239="","",Patients!B239&amp;"")</f>
        <v/>
      </c>
      <c r="C239" s="21" t="str">
        <f aca="false">IF(A239="","",Patients!G239)</f>
        <v/>
      </c>
      <c r="D239" s="18" t="str">
        <f aca="false">IF(A239="","",_xlfn.MAXIFS('Injection Sales'!$A$2:$A$501,'Injection Sales'!$B$2:$B$501,A239))</f>
        <v/>
      </c>
      <c r="E239" s="19" t="str">
        <f aca="true">IF(A239="","",TODAY()-D239)</f>
        <v/>
      </c>
      <c r="F239" s="21" t="str">
        <f aca="false">IF(A239="","",IF(E239&gt;=Settings!$B$9,Settings!$B$9&amp;" Day",IF(E239&gt;=Settings!$B$8,Settings!$B$8&amp;" Day","Due in "&amp;(Settings!$B$8-E239)&amp;" days")))</f>
        <v/>
      </c>
      <c r="G239" s="21" t="str">
        <f aca="false">IF(A239="","",Patients!H239)</f>
        <v/>
      </c>
      <c r="H239" s="1"/>
    </row>
    <row r="240" customFormat="false" ht="15" hidden="false" customHeight="false" outlineLevel="0" collapsed="false">
      <c r="A240" s="21" t="str">
        <f aca="false">IF(Patients!A240="","",IF(COUNTIF('Injection Sales'!$B$2:$B$501,Patients!A240)=0,"",Patients!A240))</f>
        <v/>
      </c>
      <c r="B240" s="24" t="str">
        <f aca="false">IF(A240="","",Patients!B240&amp;"")</f>
        <v/>
      </c>
      <c r="C240" s="21" t="str">
        <f aca="false">IF(A240="","",Patients!G240)</f>
        <v/>
      </c>
      <c r="D240" s="18" t="str">
        <f aca="false">IF(A240="","",_xlfn.MAXIFS('Injection Sales'!$A$2:$A$501,'Injection Sales'!$B$2:$B$501,A240))</f>
        <v/>
      </c>
      <c r="E240" s="19" t="str">
        <f aca="true">IF(A240="","",TODAY()-D240)</f>
        <v/>
      </c>
      <c r="F240" s="21" t="str">
        <f aca="false">IF(A240="","",IF(E240&gt;=Settings!$B$9,Settings!$B$9&amp;" Day",IF(E240&gt;=Settings!$B$8,Settings!$B$8&amp;" Day","Due in "&amp;(Settings!$B$8-E240)&amp;" days")))</f>
        <v/>
      </c>
      <c r="G240" s="21" t="str">
        <f aca="false">IF(A240="","",Patients!H240)</f>
        <v/>
      </c>
      <c r="H240" s="1"/>
    </row>
    <row r="241" customFormat="false" ht="15" hidden="false" customHeight="false" outlineLevel="0" collapsed="false">
      <c r="A241" s="21" t="str">
        <f aca="false">IF(Patients!A241="","",IF(COUNTIF('Injection Sales'!$B$2:$B$501,Patients!A241)=0,"",Patients!A241))</f>
        <v/>
      </c>
      <c r="B241" s="24" t="str">
        <f aca="false">IF(A241="","",Patients!B241&amp;"")</f>
        <v/>
      </c>
      <c r="C241" s="21" t="str">
        <f aca="false">IF(A241="","",Patients!G241)</f>
        <v/>
      </c>
      <c r="D241" s="18" t="str">
        <f aca="false">IF(A241="","",_xlfn.MAXIFS('Injection Sales'!$A$2:$A$501,'Injection Sales'!$B$2:$B$501,A241))</f>
        <v/>
      </c>
      <c r="E241" s="19" t="str">
        <f aca="true">IF(A241="","",TODAY()-D241)</f>
        <v/>
      </c>
      <c r="F241" s="21" t="str">
        <f aca="false">IF(A241="","",IF(E241&gt;=Settings!$B$9,Settings!$B$9&amp;" Day",IF(E241&gt;=Settings!$B$8,Settings!$B$8&amp;" Day","Due in "&amp;(Settings!$B$8-E241)&amp;" days")))</f>
        <v/>
      </c>
      <c r="G241" s="21" t="str">
        <f aca="false">IF(A241="","",Patients!H241)</f>
        <v/>
      </c>
      <c r="H241" s="1"/>
    </row>
    <row r="242" customFormat="false" ht="15" hidden="false" customHeight="false" outlineLevel="0" collapsed="false">
      <c r="A242" s="21" t="str">
        <f aca="false">IF(Patients!A242="","",IF(COUNTIF('Injection Sales'!$B$2:$B$501,Patients!A242)=0,"",Patients!A242))</f>
        <v/>
      </c>
      <c r="B242" s="24" t="str">
        <f aca="false">IF(A242="","",Patients!B242&amp;"")</f>
        <v/>
      </c>
      <c r="C242" s="21" t="str">
        <f aca="false">IF(A242="","",Patients!G242)</f>
        <v/>
      </c>
      <c r="D242" s="18" t="str">
        <f aca="false">IF(A242="","",_xlfn.MAXIFS('Injection Sales'!$A$2:$A$501,'Injection Sales'!$B$2:$B$501,A242))</f>
        <v/>
      </c>
      <c r="E242" s="19" t="str">
        <f aca="true">IF(A242="","",TODAY()-D242)</f>
        <v/>
      </c>
      <c r="F242" s="21" t="str">
        <f aca="false">IF(A242="","",IF(E242&gt;=Settings!$B$9,Settings!$B$9&amp;" Day",IF(E242&gt;=Settings!$B$8,Settings!$B$8&amp;" Day","Due in "&amp;(Settings!$B$8-E242)&amp;" days")))</f>
        <v/>
      </c>
      <c r="G242" s="21" t="str">
        <f aca="false">IF(A242="","",Patients!H242)</f>
        <v/>
      </c>
      <c r="H242" s="1"/>
    </row>
    <row r="243" customFormat="false" ht="15" hidden="false" customHeight="false" outlineLevel="0" collapsed="false">
      <c r="A243" s="21" t="str">
        <f aca="false">IF(Patients!A243="","",IF(COUNTIF('Injection Sales'!$B$2:$B$501,Patients!A243)=0,"",Patients!A243))</f>
        <v/>
      </c>
      <c r="B243" s="24" t="str">
        <f aca="false">IF(A243="","",Patients!B243&amp;"")</f>
        <v/>
      </c>
      <c r="C243" s="21" t="str">
        <f aca="false">IF(A243="","",Patients!G243)</f>
        <v/>
      </c>
      <c r="D243" s="18" t="str">
        <f aca="false">IF(A243="","",_xlfn.MAXIFS('Injection Sales'!$A$2:$A$501,'Injection Sales'!$B$2:$B$501,A243))</f>
        <v/>
      </c>
      <c r="E243" s="19" t="str">
        <f aca="true">IF(A243="","",TODAY()-D243)</f>
        <v/>
      </c>
      <c r="F243" s="21" t="str">
        <f aca="false">IF(A243="","",IF(E243&gt;=Settings!$B$9,Settings!$B$9&amp;" Day",IF(E243&gt;=Settings!$B$8,Settings!$B$8&amp;" Day","Due in "&amp;(Settings!$B$8-E243)&amp;" days")))</f>
        <v/>
      </c>
      <c r="G243" s="21" t="str">
        <f aca="false">IF(A243="","",Patients!H243)</f>
        <v/>
      </c>
      <c r="H243" s="1"/>
    </row>
    <row r="244" customFormat="false" ht="15" hidden="false" customHeight="false" outlineLevel="0" collapsed="false">
      <c r="A244" s="21" t="str">
        <f aca="false">IF(Patients!A244="","",IF(COUNTIF('Injection Sales'!$B$2:$B$501,Patients!A244)=0,"",Patients!A244))</f>
        <v/>
      </c>
      <c r="B244" s="24" t="str">
        <f aca="false">IF(A244="","",Patients!B244&amp;"")</f>
        <v/>
      </c>
      <c r="C244" s="21" t="str">
        <f aca="false">IF(A244="","",Patients!G244)</f>
        <v/>
      </c>
      <c r="D244" s="18" t="str">
        <f aca="false">IF(A244="","",_xlfn.MAXIFS('Injection Sales'!$A$2:$A$501,'Injection Sales'!$B$2:$B$501,A244))</f>
        <v/>
      </c>
      <c r="E244" s="19" t="str">
        <f aca="true">IF(A244="","",TODAY()-D244)</f>
        <v/>
      </c>
      <c r="F244" s="21" t="str">
        <f aca="false">IF(A244="","",IF(E244&gt;=Settings!$B$9,Settings!$B$9&amp;" Day",IF(E244&gt;=Settings!$B$8,Settings!$B$8&amp;" Day","Due in "&amp;(Settings!$B$8-E244)&amp;" days")))</f>
        <v/>
      </c>
      <c r="G244" s="21" t="str">
        <f aca="false">IF(A244="","",Patients!H244)</f>
        <v/>
      </c>
      <c r="H244" s="1"/>
    </row>
    <row r="245" customFormat="false" ht="15" hidden="false" customHeight="false" outlineLevel="0" collapsed="false">
      <c r="A245" s="21" t="str">
        <f aca="false">IF(Patients!A245="","",IF(COUNTIF('Injection Sales'!$B$2:$B$501,Patients!A245)=0,"",Patients!A245))</f>
        <v/>
      </c>
      <c r="B245" s="24" t="str">
        <f aca="false">IF(A245="","",Patients!B245&amp;"")</f>
        <v/>
      </c>
      <c r="C245" s="21" t="str">
        <f aca="false">IF(A245="","",Patients!G245)</f>
        <v/>
      </c>
      <c r="D245" s="18" t="str">
        <f aca="false">IF(A245="","",_xlfn.MAXIFS('Injection Sales'!$A$2:$A$501,'Injection Sales'!$B$2:$B$501,A245))</f>
        <v/>
      </c>
      <c r="E245" s="19" t="str">
        <f aca="true">IF(A245="","",TODAY()-D245)</f>
        <v/>
      </c>
      <c r="F245" s="21" t="str">
        <f aca="false">IF(A245="","",IF(E245&gt;=Settings!$B$9,Settings!$B$9&amp;" Day",IF(E245&gt;=Settings!$B$8,Settings!$B$8&amp;" Day","Due in "&amp;(Settings!$B$8-E245)&amp;" days")))</f>
        <v/>
      </c>
      <c r="G245" s="21" t="str">
        <f aca="false">IF(A245="","",Patients!H245)</f>
        <v/>
      </c>
      <c r="H245" s="1"/>
    </row>
    <row r="246" customFormat="false" ht="15" hidden="false" customHeight="false" outlineLevel="0" collapsed="false">
      <c r="A246" s="21" t="str">
        <f aca="false">IF(Patients!A246="","",IF(COUNTIF('Injection Sales'!$B$2:$B$501,Patients!A246)=0,"",Patients!A246))</f>
        <v/>
      </c>
      <c r="B246" s="24" t="str">
        <f aca="false">IF(A246="","",Patients!B246&amp;"")</f>
        <v/>
      </c>
      <c r="C246" s="21" t="str">
        <f aca="false">IF(A246="","",Patients!G246)</f>
        <v/>
      </c>
      <c r="D246" s="18" t="str">
        <f aca="false">IF(A246="","",_xlfn.MAXIFS('Injection Sales'!$A$2:$A$501,'Injection Sales'!$B$2:$B$501,A246))</f>
        <v/>
      </c>
      <c r="E246" s="19" t="str">
        <f aca="true">IF(A246="","",TODAY()-D246)</f>
        <v/>
      </c>
      <c r="F246" s="21" t="str">
        <f aca="false">IF(A246="","",IF(E246&gt;=Settings!$B$9,Settings!$B$9&amp;" Day",IF(E246&gt;=Settings!$B$8,Settings!$B$8&amp;" Day","Due in "&amp;(Settings!$B$8-E246)&amp;" days")))</f>
        <v/>
      </c>
      <c r="G246" s="21" t="str">
        <f aca="false">IF(A246="","",Patients!H246)</f>
        <v/>
      </c>
      <c r="H246" s="1"/>
    </row>
    <row r="247" customFormat="false" ht="15" hidden="false" customHeight="false" outlineLevel="0" collapsed="false">
      <c r="A247" s="21" t="str">
        <f aca="false">IF(Patients!A247="","",IF(COUNTIF('Injection Sales'!$B$2:$B$501,Patients!A247)=0,"",Patients!A247))</f>
        <v/>
      </c>
      <c r="B247" s="24" t="str">
        <f aca="false">IF(A247="","",Patients!B247&amp;"")</f>
        <v/>
      </c>
      <c r="C247" s="21" t="str">
        <f aca="false">IF(A247="","",Patients!G247)</f>
        <v/>
      </c>
      <c r="D247" s="18" t="str">
        <f aca="false">IF(A247="","",_xlfn.MAXIFS('Injection Sales'!$A$2:$A$501,'Injection Sales'!$B$2:$B$501,A247))</f>
        <v/>
      </c>
      <c r="E247" s="19" t="str">
        <f aca="true">IF(A247="","",TODAY()-D247)</f>
        <v/>
      </c>
      <c r="F247" s="21" t="str">
        <f aca="false">IF(A247="","",IF(E247&gt;=Settings!$B$9,Settings!$B$9&amp;" Day",IF(E247&gt;=Settings!$B$8,Settings!$B$8&amp;" Day","Due in "&amp;(Settings!$B$8-E247)&amp;" days")))</f>
        <v/>
      </c>
      <c r="G247" s="21" t="str">
        <f aca="false">IF(A247="","",Patients!H247)</f>
        <v/>
      </c>
      <c r="H247" s="1"/>
    </row>
    <row r="248" customFormat="false" ht="15" hidden="false" customHeight="false" outlineLevel="0" collapsed="false">
      <c r="A248" s="21" t="str">
        <f aca="false">IF(Patients!A248="","",IF(COUNTIF('Injection Sales'!$B$2:$B$501,Patients!A248)=0,"",Patients!A248))</f>
        <v/>
      </c>
      <c r="B248" s="24" t="str">
        <f aca="false">IF(A248="","",Patients!B248&amp;"")</f>
        <v/>
      </c>
      <c r="C248" s="21" t="str">
        <f aca="false">IF(A248="","",Patients!G248)</f>
        <v/>
      </c>
      <c r="D248" s="18" t="str">
        <f aca="false">IF(A248="","",_xlfn.MAXIFS('Injection Sales'!$A$2:$A$501,'Injection Sales'!$B$2:$B$501,A248))</f>
        <v/>
      </c>
      <c r="E248" s="19" t="str">
        <f aca="true">IF(A248="","",TODAY()-D248)</f>
        <v/>
      </c>
      <c r="F248" s="21" t="str">
        <f aca="false">IF(A248="","",IF(E248&gt;=Settings!$B$9,Settings!$B$9&amp;" Day",IF(E248&gt;=Settings!$B$8,Settings!$B$8&amp;" Day","Due in "&amp;(Settings!$B$8-E248)&amp;" days")))</f>
        <v/>
      </c>
      <c r="G248" s="21" t="str">
        <f aca="false">IF(A248="","",Patients!H248)</f>
        <v/>
      </c>
      <c r="H248" s="1"/>
    </row>
    <row r="249" customFormat="false" ht="15" hidden="false" customHeight="false" outlineLevel="0" collapsed="false">
      <c r="A249" s="21" t="str">
        <f aca="false">IF(Patients!A249="","",IF(COUNTIF('Injection Sales'!$B$2:$B$501,Patients!A249)=0,"",Patients!A249))</f>
        <v/>
      </c>
      <c r="B249" s="24" t="str">
        <f aca="false">IF(A249="","",Patients!B249&amp;"")</f>
        <v/>
      </c>
      <c r="C249" s="21" t="str">
        <f aca="false">IF(A249="","",Patients!G249)</f>
        <v/>
      </c>
      <c r="D249" s="18" t="str">
        <f aca="false">IF(A249="","",_xlfn.MAXIFS('Injection Sales'!$A$2:$A$501,'Injection Sales'!$B$2:$B$501,A249))</f>
        <v/>
      </c>
      <c r="E249" s="19" t="str">
        <f aca="true">IF(A249="","",TODAY()-D249)</f>
        <v/>
      </c>
      <c r="F249" s="21" t="str">
        <f aca="false">IF(A249="","",IF(E249&gt;=Settings!$B$9,Settings!$B$9&amp;" Day",IF(E249&gt;=Settings!$B$8,Settings!$B$8&amp;" Day","Due in "&amp;(Settings!$B$8-E249)&amp;" days")))</f>
        <v/>
      </c>
      <c r="G249" s="21" t="str">
        <f aca="false">IF(A249="","",Patients!H249)</f>
        <v/>
      </c>
      <c r="H249" s="1"/>
    </row>
    <row r="250" customFormat="false" ht="15" hidden="false" customHeight="false" outlineLevel="0" collapsed="false">
      <c r="A250" s="21" t="str">
        <f aca="false">IF(Patients!A250="","",IF(COUNTIF('Injection Sales'!$B$2:$B$501,Patients!A250)=0,"",Patients!A250))</f>
        <v/>
      </c>
      <c r="B250" s="24" t="str">
        <f aca="false">IF(A250="","",Patients!B250&amp;"")</f>
        <v/>
      </c>
      <c r="C250" s="21" t="str">
        <f aca="false">IF(A250="","",Patients!G250)</f>
        <v/>
      </c>
      <c r="D250" s="18" t="str">
        <f aca="false">IF(A250="","",_xlfn.MAXIFS('Injection Sales'!$A$2:$A$501,'Injection Sales'!$B$2:$B$501,A250))</f>
        <v/>
      </c>
      <c r="E250" s="19" t="str">
        <f aca="true">IF(A250="","",TODAY()-D250)</f>
        <v/>
      </c>
      <c r="F250" s="21" t="str">
        <f aca="false">IF(A250="","",IF(E250&gt;=Settings!$B$9,Settings!$B$9&amp;" Day",IF(E250&gt;=Settings!$B$8,Settings!$B$8&amp;" Day","Due in "&amp;(Settings!$B$8-E250)&amp;" days")))</f>
        <v/>
      </c>
      <c r="G250" s="21" t="str">
        <f aca="false">IF(A250="","",Patients!H250)</f>
        <v/>
      </c>
      <c r="H250" s="1"/>
    </row>
    <row r="251" customFormat="false" ht="15" hidden="false" customHeight="false" outlineLevel="0" collapsed="false">
      <c r="A251" s="21" t="str">
        <f aca="false">IF(Patients!A251="","",IF(COUNTIF('Injection Sales'!$B$2:$B$501,Patients!A251)=0,"",Patients!A251))</f>
        <v/>
      </c>
      <c r="B251" s="24" t="str">
        <f aca="false">IF(A251="","",Patients!B251&amp;"")</f>
        <v/>
      </c>
      <c r="C251" s="21" t="str">
        <f aca="false">IF(A251="","",Patients!G251)</f>
        <v/>
      </c>
      <c r="D251" s="18" t="str">
        <f aca="false">IF(A251="","",_xlfn.MAXIFS('Injection Sales'!$A$2:$A$501,'Injection Sales'!$B$2:$B$501,A251))</f>
        <v/>
      </c>
      <c r="E251" s="19" t="str">
        <f aca="true">IF(A251="","",TODAY()-D251)</f>
        <v/>
      </c>
      <c r="F251" s="21" t="str">
        <f aca="false">IF(A251="","",IF(E251&gt;=Settings!$B$9,Settings!$B$9&amp;" Day",IF(E251&gt;=Settings!$B$8,Settings!$B$8&amp;" Day","Due in "&amp;(Settings!$B$8-E251)&amp;" days")))</f>
        <v/>
      </c>
      <c r="G251" s="21" t="str">
        <f aca="false">IF(A251="","",Patients!H251)</f>
        <v/>
      </c>
      <c r="H251" s="1"/>
    </row>
    <row r="252" customFormat="false" ht="15" hidden="false" customHeight="false" outlineLevel="0" collapsed="false">
      <c r="A252" s="21" t="str">
        <f aca="false">IF(Patients!A252="","",IF(COUNTIF('Injection Sales'!$B$2:$B$501,Patients!A252)=0,"",Patients!A252))</f>
        <v/>
      </c>
      <c r="B252" s="24" t="str">
        <f aca="false">IF(A252="","",Patients!B252&amp;"")</f>
        <v/>
      </c>
      <c r="C252" s="21" t="str">
        <f aca="false">IF(A252="","",Patients!G252)</f>
        <v/>
      </c>
      <c r="D252" s="18" t="str">
        <f aca="false">IF(A252="","",_xlfn.MAXIFS('Injection Sales'!$A$2:$A$501,'Injection Sales'!$B$2:$B$501,A252))</f>
        <v/>
      </c>
      <c r="E252" s="19" t="str">
        <f aca="true">IF(A252="","",TODAY()-D252)</f>
        <v/>
      </c>
      <c r="F252" s="21" t="str">
        <f aca="false">IF(A252="","",IF(E252&gt;=Settings!$B$9,Settings!$B$9&amp;" Day",IF(E252&gt;=Settings!$B$8,Settings!$B$8&amp;" Day","Due in "&amp;(Settings!$B$8-E252)&amp;" days")))</f>
        <v/>
      </c>
      <c r="G252" s="21" t="str">
        <f aca="false">IF(A252="","",Patients!H252)</f>
        <v/>
      </c>
      <c r="H252" s="1"/>
    </row>
    <row r="253" customFormat="false" ht="15" hidden="false" customHeight="false" outlineLevel="0" collapsed="false">
      <c r="A253" s="21" t="str">
        <f aca="false">IF(Patients!A253="","",IF(COUNTIF('Injection Sales'!$B$2:$B$501,Patients!A253)=0,"",Patients!A253))</f>
        <v/>
      </c>
      <c r="B253" s="24" t="str">
        <f aca="false">IF(A253="","",Patients!B253&amp;"")</f>
        <v/>
      </c>
      <c r="C253" s="21" t="str">
        <f aca="false">IF(A253="","",Patients!G253)</f>
        <v/>
      </c>
      <c r="D253" s="18" t="str">
        <f aca="false">IF(A253="","",_xlfn.MAXIFS('Injection Sales'!$A$2:$A$501,'Injection Sales'!$B$2:$B$501,A253))</f>
        <v/>
      </c>
      <c r="E253" s="19" t="str">
        <f aca="true">IF(A253="","",TODAY()-D253)</f>
        <v/>
      </c>
      <c r="F253" s="21" t="str">
        <f aca="false">IF(A253="","",IF(E253&gt;=Settings!$B$9,Settings!$B$9&amp;" Day",IF(E253&gt;=Settings!$B$8,Settings!$B$8&amp;" Day","Due in "&amp;(Settings!$B$8-E253)&amp;" days")))</f>
        <v/>
      </c>
      <c r="G253" s="21" t="str">
        <f aca="false">IF(A253="","",Patients!H253)</f>
        <v/>
      </c>
      <c r="H253" s="1"/>
    </row>
    <row r="254" customFormat="false" ht="15" hidden="false" customHeight="false" outlineLevel="0" collapsed="false">
      <c r="A254" s="21" t="str">
        <f aca="false">IF(Patients!A254="","",IF(COUNTIF('Injection Sales'!$B$2:$B$501,Patients!A254)=0,"",Patients!A254))</f>
        <v/>
      </c>
      <c r="B254" s="24" t="str">
        <f aca="false">IF(A254="","",Patients!B254&amp;"")</f>
        <v/>
      </c>
      <c r="C254" s="21" t="str">
        <f aca="false">IF(A254="","",Patients!G254)</f>
        <v/>
      </c>
      <c r="D254" s="18" t="str">
        <f aca="false">IF(A254="","",_xlfn.MAXIFS('Injection Sales'!$A$2:$A$501,'Injection Sales'!$B$2:$B$501,A254))</f>
        <v/>
      </c>
      <c r="E254" s="19" t="str">
        <f aca="true">IF(A254="","",TODAY()-D254)</f>
        <v/>
      </c>
      <c r="F254" s="21" t="str">
        <f aca="false">IF(A254="","",IF(E254&gt;=Settings!$B$9,Settings!$B$9&amp;" Day",IF(E254&gt;=Settings!$B$8,Settings!$B$8&amp;" Day","Due in "&amp;(Settings!$B$8-E254)&amp;" days")))</f>
        <v/>
      </c>
      <c r="G254" s="21" t="str">
        <f aca="false">IF(A254="","",Patients!H254)</f>
        <v/>
      </c>
      <c r="H254" s="1"/>
    </row>
    <row r="255" customFormat="false" ht="15" hidden="false" customHeight="false" outlineLevel="0" collapsed="false">
      <c r="A255" s="21" t="str">
        <f aca="false">IF(Patients!A255="","",IF(COUNTIF('Injection Sales'!$B$2:$B$501,Patients!A255)=0,"",Patients!A255))</f>
        <v/>
      </c>
      <c r="B255" s="24" t="str">
        <f aca="false">IF(A255="","",Patients!B255&amp;"")</f>
        <v/>
      </c>
      <c r="C255" s="21" t="str">
        <f aca="false">IF(A255="","",Patients!G255)</f>
        <v/>
      </c>
      <c r="D255" s="18" t="str">
        <f aca="false">IF(A255="","",_xlfn.MAXIFS('Injection Sales'!$A$2:$A$501,'Injection Sales'!$B$2:$B$501,A255))</f>
        <v/>
      </c>
      <c r="E255" s="19" t="str">
        <f aca="true">IF(A255="","",TODAY()-D255)</f>
        <v/>
      </c>
      <c r="F255" s="21" t="str">
        <f aca="false">IF(A255="","",IF(E255&gt;=Settings!$B$9,Settings!$B$9&amp;" Day",IF(E255&gt;=Settings!$B$8,Settings!$B$8&amp;" Day","Due in "&amp;(Settings!$B$8-E255)&amp;" days")))</f>
        <v/>
      </c>
      <c r="G255" s="21" t="str">
        <f aca="false">IF(A255="","",Patients!H255)</f>
        <v/>
      </c>
      <c r="H255" s="1"/>
    </row>
    <row r="256" customFormat="false" ht="15" hidden="false" customHeight="false" outlineLevel="0" collapsed="false">
      <c r="A256" s="21" t="str">
        <f aca="false">IF(Patients!A256="","",IF(COUNTIF('Injection Sales'!$B$2:$B$501,Patients!A256)=0,"",Patients!A256))</f>
        <v/>
      </c>
      <c r="B256" s="24" t="str">
        <f aca="false">IF(A256="","",Patients!B256&amp;"")</f>
        <v/>
      </c>
      <c r="C256" s="21" t="str">
        <f aca="false">IF(A256="","",Patients!G256)</f>
        <v/>
      </c>
      <c r="D256" s="18" t="str">
        <f aca="false">IF(A256="","",_xlfn.MAXIFS('Injection Sales'!$A$2:$A$501,'Injection Sales'!$B$2:$B$501,A256))</f>
        <v/>
      </c>
      <c r="E256" s="19" t="str">
        <f aca="true">IF(A256="","",TODAY()-D256)</f>
        <v/>
      </c>
      <c r="F256" s="21" t="str">
        <f aca="false">IF(A256="","",IF(E256&gt;=Settings!$B$9,Settings!$B$9&amp;" Day",IF(E256&gt;=Settings!$B$8,Settings!$B$8&amp;" Day","Due in "&amp;(Settings!$B$8-E256)&amp;" days")))</f>
        <v/>
      </c>
      <c r="G256" s="21" t="str">
        <f aca="false">IF(A256="","",Patients!H256)</f>
        <v/>
      </c>
      <c r="H256" s="1"/>
    </row>
    <row r="257" customFormat="false" ht="15" hidden="false" customHeight="false" outlineLevel="0" collapsed="false">
      <c r="A257" s="21" t="str">
        <f aca="false">IF(Patients!A257="","",IF(COUNTIF('Injection Sales'!$B$2:$B$501,Patients!A257)=0,"",Patients!A257))</f>
        <v/>
      </c>
      <c r="B257" s="24" t="str">
        <f aca="false">IF(A257="","",Patients!B257&amp;"")</f>
        <v/>
      </c>
      <c r="C257" s="21" t="str">
        <f aca="false">IF(A257="","",Patients!G257)</f>
        <v/>
      </c>
      <c r="D257" s="18" t="str">
        <f aca="false">IF(A257="","",_xlfn.MAXIFS('Injection Sales'!$A$2:$A$501,'Injection Sales'!$B$2:$B$501,A257))</f>
        <v/>
      </c>
      <c r="E257" s="19" t="str">
        <f aca="true">IF(A257="","",TODAY()-D257)</f>
        <v/>
      </c>
      <c r="F257" s="21" t="str">
        <f aca="false">IF(A257="","",IF(E257&gt;=Settings!$B$9,Settings!$B$9&amp;" Day",IF(E257&gt;=Settings!$B$8,Settings!$B$8&amp;" Day","Due in "&amp;(Settings!$B$8-E257)&amp;" days")))</f>
        <v/>
      </c>
      <c r="G257" s="21" t="str">
        <f aca="false">IF(A257="","",Patients!H257)</f>
        <v/>
      </c>
      <c r="H257" s="1"/>
    </row>
    <row r="258" customFormat="false" ht="15" hidden="false" customHeight="false" outlineLevel="0" collapsed="false">
      <c r="A258" s="21" t="str">
        <f aca="false">IF(Patients!A258="","",IF(COUNTIF('Injection Sales'!$B$2:$B$501,Patients!A258)=0,"",Patients!A258))</f>
        <v/>
      </c>
      <c r="B258" s="24" t="str">
        <f aca="false">IF(A258="","",Patients!B258&amp;"")</f>
        <v/>
      </c>
      <c r="C258" s="21" t="str">
        <f aca="false">IF(A258="","",Patients!G258)</f>
        <v/>
      </c>
      <c r="D258" s="18" t="str">
        <f aca="false">IF(A258="","",_xlfn.MAXIFS('Injection Sales'!$A$2:$A$501,'Injection Sales'!$B$2:$B$501,A258))</f>
        <v/>
      </c>
      <c r="E258" s="19" t="str">
        <f aca="true">IF(A258="","",TODAY()-D258)</f>
        <v/>
      </c>
      <c r="F258" s="21" t="str">
        <f aca="false">IF(A258="","",IF(E258&gt;=Settings!$B$9,Settings!$B$9&amp;" Day",IF(E258&gt;=Settings!$B$8,Settings!$B$8&amp;" Day","Due in "&amp;(Settings!$B$8-E258)&amp;" days")))</f>
        <v/>
      </c>
      <c r="G258" s="21" t="str">
        <f aca="false">IF(A258="","",Patients!H258)</f>
        <v/>
      </c>
      <c r="H258" s="1"/>
    </row>
    <row r="259" customFormat="false" ht="15" hidden="false" customHeight="false" outlineLevel="0" collapsed="false">
      <c r="A259" s="21" t="str">
        <f aca="false">IF(Patients!A259="","",IF(COUNTIF('Injection Sales'!$B$2:$B$501,Patients!A259)=0,"",Patients!A259))</f>
        <v/>
      </c>
      <c r="B259" s="24" t="str">
        <f aca="false">IF(A259="","",Patients!B259&amp;"")</f>
        <v/>
      </c>
      <c r="C259" s="21" t="str">
        <f aca="false">IF(A259="","",Patients!G259)</f>
        <v/>
      </c>
      <c r="D259" s="18" t="str">
        <f aca="false">IF(A259="","",_xlfn.MAXIFS('Injection Sales'!$A$2:$A$501,'Injection Sales'!$B$2:$B$501,A259))</f>
        <v/>
      </c>
      <c r="E259" s="19" t="str">
        <f aca="true">IF(A259="","",TODAY()-D259)</f>
        <v/>
      </c>
      <c r="F259" s="21" t="str">
        <f aca="false">IF(A259="","",IF(E259&gt;=Settings!$B$9,Settings!$B$9&amp;" Day",IF(E259&gt;=Settings!$B$8,Settings!$B$8&amp;" Day","Due in "&amp;(Settings!$B$8-E259)&amp;" days")))</f>
        <v/>
      </c>
      <c r="G259" s="21" t="str">
        <f aca="false">IF(A259="","",Patients!H259)</f>
        <v/>
      </c>
      <c r="H259" s="1"/>
    </row>
    <row r="260" customFormat="false" ht="15" hidden="false" customHeight="false" outlineLevel="0" collapsed="false">
      <c r="A260" s="21" t="str">
        <f aca="false">IF(Patients!A260="","",IF(COUNTIF('Injection Sales'!$B$2:$B$501,Patients!A260)=0,"",Patients!A260))</f>
        <v/>
      </c>
      <c r="B260" s="24" t="str">
        <f aca="false">IF(A260="","",Patients!B260&amp;"")</f>
        <v/>
      </c>
      <c r="C260" s="21" t="str">
        <f aca="false">IF(A260="","",Patients!G260)</f>
        <v/>
      </c>
      <c r="D260" s="18" t="str">
        <f aca="false">IF(A260="","",_xlfn.MAXIFS('Injection Sales'!$A$2:$A$501,'Injection Sales'!$B$2:$B$501,A260))</f>
        <v/>
      </c>
      <c r="E260" s="19" t="str">
        <f aca="true">IF(A260="","",TODAY()-D260)</f>
        <v/>
      </c>
      <c r="F260" s="21" t="str">
        <f aca="false">IF(A260="","",IF(E260&gt;=Settings!$B$9,Settings!$B$9&amp;" Day",IF(E260&gt;=Settings!$B$8,Settings!$B$8&amp;" Day","Due in "&amp;(Settings!$B$8-E260)&amp;" days")))</f>
        <v/>
      </c>
      <c r="G260" s="21" t="str">
        <f aca="false">IF(A260="","",Patients!H260)</f>
        <v/>
      </c>
      <c r="H260" s="1"/>
    </row>
    <row r="261" customFormat="false" ht="15" hidden="false" customHeight="false" outlineLevel="0" collapsed="false">
      <c r="A261" s="21" t="str">
        <f aca="false">IF(Patients!A261="","",IF(COUNTIF('Injection Sales'!$B$2:$B$501,Patients!A261)=0,"",Patients!A261))</f>
        <v/>
      </c>
      <c r="B261" s="24" t="str">
        <f aca="false">IF(A261="","",Patients!B261&amp;"")</f>
        <v/>
      </c>
      <c r="C261" s="21" t="str">
        <f aca="false">IF(A261="","",Patients!G261)</f>
        <v/>
      </c>
      <c r="D261" s="18" t="str">
        <f aca="false">IF(A261="","",_xlfn.MAXIFS('Injection Sales'!$A$2:$A$501,'Injection Sales'!$B$2:$B$501,A261))</f>
        <v/>
      </c>
      <c r="E261" s="19" t="str">
        <f aca="true">IF(A261="","",TODAY()-D261)</f>
        <v/>
      </c>
      <c r="F261" s="21" t="str">
        <f aca="false">IF(A261="","",IF(E261&gt;=Settings!$B$9,Settings!$B$9&amp;" Day",IF(E261&gt;=Settings!$B$8,Settings!$B$8&amp;" Day","Due in "&amp;(Settings!$B$8-E261)&amp;" days")))</f>
        <v/>
      </c>
      <c r="G261" s="21" t="str">
        <f aca="false">IF(A261="","",Patients!H261)</f>
        <v/>
      </c>
      <c r="H261" s="1"/>
    </row>
    <row r="262" customFormat="false" ht="15" hidden="false" customHeight="false" outlineLevel="0" collapsed="false">
      <c r="A262" s="21" t="str">
        <f aca="false">IF(Patients!A262="","",IF(COUNTIF('Injection Sales'!$B$2:$B$501,Patients!A262)=0,"",Patients!A262))</f>
        <v/>
      </c>
      <c r="B262" s="24" t="str">
        <f aca="false">IF(A262="","",Patients!B262&amp;"")</f>
        <v/>
      </c>
      <c r="C262" s="21" t="str">
        <f aca="false">IF(A262="","",Patients!G262)</f>
        <v/>
      </c>
      <c r="D262" s="18" t="str">
        <f aca="false">IF(A262="","",_xlfn.MAXIFS('Injection Sales'!$A$2:$A$501,'Injection Sales'!$B$2:$B$501,A262))</f>
        <v/>
      </c>
      <c r="E262" s="19" t="str">
        <f aca="true">IF(A262="","",TODAY()-D262)</f>
        <v/>
      </c>
      <c r="F262" s="21" t="str">
        <f aca="false">IF(A262="","",IF(E262&gt;=Settings!$B$9,Settings!$B$9&amp;" Day",IF(E262&gt;=Settings!$B$8,Settings!$B$8&amp;" Day","Due in "&amp;(Settings!$B$8-E262)&amp;" days")))</f>
        <v/>
      </c>
      <c r="G262" s="21" t="str">
        <f aca="false">IF(A262="","",Patients!H262)</f>
        <v/>
      </c>
      <c r="H262" s="1"/>
    </row>
    <row r="263" customFormat="false" ht="15" hidden="false" customHeight="false" outlineLevel="0" collapsed="false">
      <c r="A263" s="21" t="str">
        <f aca="false">IF(Patients!A263="","",IF(COUNTIF('Injection Sales'!$B$2:$B$501,Patients!A263)=0,"",Patients!A263))</f>
        <v/>
      </c>
      <c r="B263" s="24" t="str">
        <f aca="false">IF(A263="","",Patients!B263&amp;"")</f>
        <v/>
      </c>
      <c r="C263" s="21" t="str">
        <f aca="false">IF(A263="","",Patients!G263)</f>
        <v/>
      </c>
      <c r="D263" s="18" t="str">
        <f aca="false">IF(A263="","",_xlfn.MAXIFS('Injection Sales'!$A$2:$A$501,'Injection Sales'!$B$2:$B$501,A263))</f>
        <v/>
      </c>
      <c r="E263" s="19" t="str">
        <f aca="true">IF(A263="","",TODAY()-D263)</f>
        <v/>
      </c>
      <c r="F263" s="21" t="str">
        <f aca="false">IF(A263="","",IF(E263&gt;=Settings!$B$9,Settings!$B$9&amp;" Day",IF(E263&gt;=Settings!$B$8,Settings!$B$8&amp;" Day","Due in "&amp;(Settings!$B$8-E263)&amp;" days")))</f>
        <v/>
      </c>
      <c r="G263" s="21" t="str">
        <f aca="false">IF(A263="","",Patients!H263)</f>
        <v/>
      </c>
      <c r="H263" s="1"/>
    </row>
    <row r="264" customFormat="false" ht="15" hidden="false" customHeight="false" outlineLevel="0" collapsed="false">
      <c r="A264" s="21" t="str">
        <f aca="false">IF(Patients!A264="","",IF(COUNTIF('Injection Sales'!$B$2:$B$501,Patients!A264)=0,"",Patients!A264))</f>
        <v/>
      </c>
      <c r="B264" s="24" t="str">
        <f aca="false">IF(A264="","",Patients!B264&amp;"")</f>
        <v/>
      </c>
      <c r="C264" s="21" t="str">
        <f aca="false">IF(A264="","",Patients!G264)</f>
        <v/>
      </c>
      <c r="D264" s="18" t="str">
        <f aca="false">IF(A264="","",_xlfn.MAXIFS('Injection Sales'!$A$2:$A$501,'Injection Sales'!$B$2:$B$501,A264))</f>
        <v/>
      </c>
      <c r="E264" s="19" t="str">
        <f aca="true">IF(A264="","",TODAY()-D264)</f>
        <v/>
      </c>
      <c r="F264" s="21" t="str">
        <f aca="false">IF(A264="","",IF(E264&gt;=Settings!$B$9,Settings!$B$9&amp;" Day",IF(E264&gt;=Settings!$B$8,Settings!$B$8&amp;" Day","Due in "&amp;(Settings!$B$8-E264)&amp;" days")))</f>
        <v/>
      </c>
      <c r="G264" s="21" t="str">
        <f aca="false">IF(A264="","",Patients!H264)</f>
        <v/>
      </c>
      <c r="H264" s="1"/>
    </row>
    <row r="265" customFormat="false" ht="15" hidden="false" customHeight="false" outlineLevel="0" collapsed="false">
      <c r="A265" s="21" t="str">
        <f aca="false">IF(Patients!A265="","",IF(COUNTIF('Injection Sales'!$B$2:$B$501,Patients!A265)=0,"",Patients!A265))</f>
        <v/>
      </c>
      <c r="B265" s="24" t="str">
        <f aca="false">IF(A265="","",Patients!B265&amp;"")</f>
        <v/>
      </c>
      <c r="C265" s="21" t="str">
        <f aca="false">IF(A265="","",Patients!G265)</f>
        <v/>
      </c>
      <c r="D265" s="18" t="str">
        <f aca="false">IF(A265="","",_xlfn.MAXIFS('Injection Sales'!$A$2:$A$501,'Injection Sales'!$B$2:$B$501,A265))</f>
        <v/>
      </c>
      <c r="E265" s="19" t="str">
        <f aca="true">IF(A265="","",TODAY()-D265)</f>
        <v/>
      </c>
      <c r="F265" s="21" t="str">
        <f aca="false">IF(A265="","",IF(E265&gt;=Settings!$B$9,Settings!$B$9&amp;" Day",IF(E265&gt;=Settings!$B$8,Settings!$B$8&amp;" Day","Due in "&amp;(Settings!$B$8-E265)&amp;" days")))</f>
        <v/>
      </c>
      <c r="G265" s="21" t="str">
        <f aca="false">IF(A265="","",Patients!H265)</f>
        <v/>
      </c>
      <c r="H265" s="1"/>
    </row>
    <row r="266" customFormat="false" ht="15" hidden="false" customHeight="false" outlineLevel="0" collapsed="false">
      <c r="A266" s="21" t="str">
        <f aca="false">IF(Patients!A266="","",IF(COUNTIF('Injection Sales'!$B$2:$B$501,Patients!A266)=0,"",Patients!A266))</f>
        <v/>
      </c>
      <c r="B266" s="24" t="str">
        <f aca="false">IF(A266="","",Patients!B266&amp;"")</f>
        <v/>
      </c>
      <c r="C266" s="21" t="str">
        <f aca="false">IF(A266="","",Patients!G266)</f>
        <v/>
      </c>
      <c r="D266" s="18" t="str">
        <f aca="false">IF(A266="","",_xlfn.MAXIFS('Injection Sales'!$A$2:$A$501,'Injection Sales'!$B$2:$B$501,A266))</f>
        <v/>
      </c>
      <c r="E266" s="19" t="str">
        <f aca="true">IF(A266="","",TODAY()-D266)</f>
        <v/>
      </c>
      <c r="F266" s="21" t="str">
        <f aca="false">IF(A266="","",IF(E266&gt;=Settings!$B$9,Settings!$B$9&amp;" Day",IF(E266&gt;=Settings!$B$8,Settings!$B$8&amp;" Day","Due in "&amp;(Settings!$B$8-E266)&amp;" days")))</f>
        <v/>
      </c>
      <c r="G266" s="21" t="str">
        <f aca="false">IF(A266="","",Patients!H266)</f>
        <v/>
      </c>
      <c r="H266" s="1"/>
    </row>
    <row r="267" customFormat="false" ht="15" hidden="false" customHeight="false" outlineLevel="0" collapsed="false">
      <c r="A267" s="21" t="str">
        <f aca="false">IF(Patients!A267="","",IF(COUNTIF('Injection Sales'!$B$2:$B$501,Patients!A267)=0,"",Patients!A267))</f>
        <v/>
      </c>
      <c r="B267" s="24" t="str">
        <f aca="false">IF(A267="","",Patients!B267&amp;"")</f>
        <v/>
      </c>
      <c r="C267" s="21" t="str">
        <f aca="false">IF(A267="","",Patients!G267)</f>
        <v/>
      </c>
      <c r="D267" s="18" t="str">
        <f aca="false">IF(A267="","",_xlfn.MAXIFS('Injection Sales'!$A$2:$A$501,'Injection Sales'!$B$2:$B$501,A267))</f>
        <v/>
      </c>
      <c r="E267" s="19" t="str">
        <f aca="true">IF(A267="","",TODAY()-D267)</f>
        <v/>
      </c>
      <c r="F267" s="21" t="str">
        <f aca="false">IF(A267="","",IF(E267&gt;=Settings!$B$9,Settings!$B$9&amp;" Day",IF(E267&gt;=Settings!$B$8,Settings!$B$8&amp;" Day","Due in "&amp;(Settings!$B$8-E267)&amp;" days")))</f>
        <v/>
      </c>
      <c r="G267" s="21" t="str">
        <f aca="false">IF(A267="","",Patients!H267)</f>
        <v/>
      </c>
      <c r="H267" s="1"/>
    </row>
    <row r="268" customFormat="false" ht="15" hidden="false" customHeight="false" outlineLevel="0" collapsed="false">
      <c r="A268" s="21" t="str">
        <f aca="false">IF(Patients!A268="","",IF(COUNTIF('Injection Sales'!$B$2:$B$501,Patients!A268)=0,"",Patients!A268))</f>
        <v/>
      </c>
      <c r="B268" s="24" t="str">
        <f aca="false">IF(A268="","",Patients!B268&amp;"")</f>
        <v/>
      </c>
      <c r="C268" s="21" t="str">
        <f aca="false">IF(A268="","",Patients!G268)</f>
        <v/>
      </c>
      <c r="D268" s="18" t="str">
        <f aca="false">IF(A268="","",_xlfn.MAXIFS('Injection Sales'!$A$2:$A$501,'Injection Sales'!$B$2:$B$501,A268))</f>
        <v/>
      </c>
      <c r="E268" s="19" t="str">
        <f aca="true">IF(A268="","",TODAY()-D268)</f>
        <v/>
      </c>
      <c r="F268" s="21" t="str">
        <f aca="false">IF(A268="","",IF(E268&gt;=Settings!$B$9,Settings!$B$9&amp;" Day",IF(E268&gt;=Settings!$B$8,Settings!$B$8&amp;" Day","Due in "&amp;(Settings!$B$8-E268)&amp;" days")))</f>
        <v/>
      </c>
      <c r="G268" s="21" t="str">
        <f aca="false">IF(A268="","",Patients!H268)</f>
        <v/>
      </c>
      <c r="H268" s="1"/>
    </row>
    <row r="269" customFormat="false" ht="15" hidden="false" customHeight="false" outlineLevel="0" collapsed="false">
      <c r="A269" s="21" t="str">
        <f aca="false">IF(Patients!A269="","",IF(COUNTIF('Injection Sales'!$B$2:$B$501,Patients!A269)=0,"",Patients!A269))</f>
        <v/>
      </c>
      <c r="B269" s="24" t="str">
        <f aca="false">IF(A269="","",Patients!B269&amp;"")</f>
        <v/>
      </c>
      <c r="C269" s="21" t="str">
        <f aca="false">IF(A269="","",Patients!G269)</f>
        <v/>
      </c>
      <c r="D269" s="18" t="str">
        <f aca="false">IF(A269="","",_xlfn.MAXIFS('Injection Sales'!$A$2:$A$501,'Injection Sales'!$B$2:$B$501,A269))</f>
        <v/>
      </c>
      <c r="E269" s="19" t="str">
        <f aca="true">IF(A269="","",TODAY()-D269)</f>
        <v/>
      </c>
      <c r="F269" s="21" t="str">
        <f aca="false">IF(A269="","",IF(E269&gt;=Settings!$B$9,Settings!$B$9&amp;" Day",IF(E269&gt;=Settings!$B$8,Settings!$B$8&amp;" Day","Due in "&amp;(Settings!$B$8-E269)&amp;" days")))</f>
        <v/>
      </c>
      <c r="G269" s="21" t="str">
        <f aca="false">IF(A269="","",Patients!H269)</f>
        <v/>
      </c>
      <c r="H269" s="1"/>
    </row>
    <row r="270" customFormat="false" ht="15" hidden="false" customHeight="false" outlineLevel="0" collapsed="false">
      <c r="A270" s="21" t="str">
        <f aca="false">IF(Patients!A270="","",IF(COUNTIF('Injection Sales'!$B$2:$B$501,Patients!A270)=0,"",Patients!A270))</f>
        <v/>
      </c>
      <c r="B270" s="24" t="str">
        <f aca="false">IF(A270="","",Patients!B270&amp;"")</f>
        <v/>
      </c>
      <c r="C270" s="21" t="str">
        <f aca="false">IF(A270="","",Patients!G270)</f>
        <v/>
      </c>
      <c r="D270" s="18" t="str">
        <f aca="false">IF(A270="","",_xlfn.MAXIFS('Injection Sales'!$A$2:$A$501,'Injection Sales'!$B$2:$B$501,A270))</f>
        <v/>
      </c>
      <c r="E270" s="19" t="str">
        <f aca="true">IF(A270="","",TODAY()-D270)</f>
        <v/>
      </c>
      <c r="F270" s="21" t="str">
        <f aca="false">IF(A270="","",IF(E270&gt;=Settings!$B$9,Settings!$B$9&amp;" Day",IF(E270&gt;=Settings!$B$8,Settings!$B$8&amp;" Day","Due in "&amp;(Settings!$B$8-E270)&amp;" days")))</f>
        <v/>
      </c>
      <c r="G270" s="21" t="str">
        <f aca="false">IF(A270="","",Patients!H270)</f>
        <v/>
      </c>
      <c r="H270" s="1"/>
    </row>
    <row r="271" customFormat="false" ht="15" hidden="false" customHeight="false" outlineLevel="0" collapsed="false">
      <c r="A271" s="21" t="str">
        <f aca="false">IF(Patients!A271="","",IF(COUNTIF('Injection Sales'!$B$2:$B$501,Patients!A271)=0,"",Patients!A271))</f>
        <v/>
      </c>
      <c r="B271" s="24" t="str">
        <f aca="false">IF(A271="","",Patients!B271&amp;"")</f>
        <v/>
      </c>
      <c r="C271" s="21" t="str">
        <f aca="false">IF(A271="","",Patients!G271)</f>
        <v/>
      </c>
      <c r="D271" s="18" t="str">
        <f aca="false">IF(A271="","",_xlfn.MAXIFS('Injection Sales'!$A$2:$A$501,'Injection Sales'!$B$2:$B$501,A271))</f>
        <v/>
      </c>
      <c r="E271" s="19" t="str">
        <f aca="true">IF(A271="","",TODAY()-D271)</f>
        <v/>
      </c>
      <c r="F271" s="21" t="str">
        <f aca="false">IF(A271="","",IF(E271&gt;=Settings!$B$9,Settings!$B$9&amp;" Day",IF(E271&gt;=Settings!$B$8,Settings!$B$8&amp;" Day","Due in "&amp;(Settings!$B$8-E271)&amp;" days")))</f>
        <v/>
      </c>
      <c r="G271" s="21" t="str">
        <f aca="false">IF(A271="","",Patients!H271)</f>
        <v/>
      </c>
      <c r="H271" s="1"/>
    </row>
    <row r="272" customFormat="false" ht="15" hidden="false" customHeight="false" outlineLevel="0" collapsed="false">
      <c r="A272" s="21" t="str">
        <f aca="false">IF(Patients!A272="","",IF(COUNTIF('Injection Sales'!$B$2:$B$501,Patients!A272)=0,"",Patients!A272))</f>
        <v/>
      </c>
      <c r="B272" s="24" t="str">
        <f aca="false">IF(A272="","",Patients!B272&amp;"")</f>
        <v/>
      </c>
      <c r="C272" s="21" t="str">
        <f aca="false">IF(A272="","",Patients!G272)</f>
        <v/>
      </c>
      <c r="D272" s="18" t="str">
        <f aca="false">IF(A272="","",_xlfn.MAXIFS('Injection Sales'!$A$2:$A$501,'Injection Sales'!$B$2:$B$501,A272))</f>
        <v/>
      </c>
      <c r="E272" s="19" t="str">
        <f aca="true">IF(A272="","",TODAY()-D272)</f>
        <v/>
      </c>
      <c r="F272" s="21" t="str">
        <f aca="false">IF(A272="","",IF(E272&gt;=Settings!$B$9,Settings!$B$9&amp;" Day",IF(E272&gt;=Settings!$B$8,Settings!$B$8&amp;" Day","Due in "&amp;(Settings!$B$8-E272)&amp;" days")))</f>
        <v/>
      </c>
      <c r="G272" s="21" t="str">
        <f aca="false">IF(A272="","",Patients!H272)</f>
        <v/>
      </c>
      <c r="H272" s="1"/>
    </row>
    <row r="273" customFormat="false" ht="15" hidden="false" customHeight="false" outlineLevel="0" collapsed="false">
      <c r="A273" s="21" t="str">
        <f aca="false">IF(Patients!A273="","",IF(COUNTIF('Injection Sales'!$B$2:$B$501,Patients!A273)=0,"",Patients!A273))</f>
        <v/>
      </c>
      <c r="B273" s="24" t="str">
        <f aca="false">IF(A273="","",Patients!B273&amp;"")</f>
        <v/>
      </c>
      <c r="C273" s="21" t="str">
        <f aca="false">IF(A273="","",Patients!G273)</f>
        <v/>
      </c>
      <c r="D273" s="18" t="str">
        <f aca="false">IF(A273="","",_xlfn.MAXIFS('Injection Sales'!$A$2:$A$501,'Injection Sales'!$B$2:$B$501,A273))</f>
        <v/>
      </c>
      <c r="E273" s="19" t="str">
        <f aca="true">IF(A273="","",TODAY()-D273)</f>
        <v/>
      </c>
      <c r="F273" s="21" t="str">
        <f aca="false">IF(A273="","",IF(E273&gt;=Settings!$B$9,Settings!$B$9&amp;" Day",IF(E273&gt;=Settings!$B$8,Settings!$B$8&amp;" Day","Due in "&amp;(Settings!$B$8-E273)&amp;" days")))</f>
        <v/>
      </c>
      <c r="G273" s="21" t="str">
        <f aca="false">IF(A273="","",Patients!H273)</f>
        <v/>
      </c>
      <c r="H273" s="1"/>
    </row>
    <row r="274" customFormat="false" ht="15" hidden="false" customHeight="false" outlineLevel="0" collapsed="false">
      <c r="A274" s="21" t="str">
        <f aca="false">IF(Patients!A274="","",IF(COUNTIF('Injection Sales'!$B$2:$B$501,Patients!A274)=0,"",Patients!A274))</f>
        <v/>
      </c>
      <c r="B274" s="24" t="str">
        <f aca="false">IF(A274="","",Patients!B274&amp;"")</f>
        <v/>
      </c>
      <c r="C274" s="21" t="str">
        <f aca="false">IF(A274="","",Patients!G274)</f>
        <v/>
      </c>
      <c r="D274" s="18" t="str">
        <f aca="false">IF(A274="","",_xlfn.MAXIFS('Injection Sales'!$A$2:$A$501,'Injection Sales'!$B$2:$B$501,A274))</f>
        <v/>
      </c>
      <c r="E274" s="19" t="str">
        <f aca="true">IF(A274="","",TODAY()-D274)</f>
        <v/>
      </c>
      <c r="F274" s="21" t="str">
        <f aca="false">IF(A274="","",IF(E274&gt;=Settings!$B$9,Settings!$B$9&amp;" Day",IF(E274&gt;=Settings!$B$8,Settings!$B$8&amp;" Day","Due in "&amp;(Settings!$B$8-E274)&amp;" days")))</f>
        <v/>
      </c>
      <c r="G274" s="21" t="str">
        <f aca="false">IF(A274="","",Patients!H274)</f>
        <v/>
      </c>
      <c r="H274" s="1"/>
    </row>
    <row r="275" customFormat="false" ht="15" hidden="false" customHeight="false" outlineLevel="0" collapsed="false">
      <c r="A275" s="21" t="str">
        <f aca="false">IF(Patients!A275="","",IF(COUNTIF('Injection Sales'!$B$2:$B$501,Patients!A275)=0,"",Patients!A275))</f>
        <v/>
      </c>
      <c r="B275" s="24" t="str">
        <f aca="false">IF(A275="","",Patients!B275&amp;"")</f>
        <v/>
      </c>
      <c r="C275" s="21" t="str">
        <f aca="false">IF(A275="","",Patients!G275)</f>
        <v/>
      </c>
      <c r="D275" s="18" t="str">
        <f aca="false">IF(A275="","",_xlfn.MAXIFS('Injection Sales'!$A$2:$A$501,'Injection Sales'!$B$2:$B$501,A275))</f>
        <v/>
      </c>
      <c r="E275" s="19" t="str">
        <f aca="true">IF(A275="","",TODAY()-D275)</f>
        <v/>
      </c>
      <c r="F275" s="21" t="str">
        <f aca="false">IF(A275="","",IF(E275&gt;=Settings!$B$9,Settings!$B$9&amp;" Day",IF(E275&gt;=Settings!$B$8,Settings!$B$8&amp;" Day","Due in "&amp;(Settings!$B$8-E275)&amp;" days")))</f>
        <v/>
      </c>
      <c r="G275" s="21" t="str">
        <f aca="false">IF(A275="","",Patients!H275)</f>
        <v/>
      </c>
      <c r="H275" s="1"/>
    </row>
    <row r="276" customFormat="false" ht="15" hidden="false" customHeight="false" outlineLevel="0" collapsed="false">
      <c r="A276" s="21" t="str">
        <f aca="false">IF(Patients!A276="","",IF(COUNTIF('Injection Sales'!$B$2:$B$501,Patients!A276)=0,"",Patients!A276))</f>
        <v/>
      </c>
      <c r="B276" s="24" t="str">
        <f aca="false">IF(A276="","",Patients!B276&amp;"")</f>
        <v/>
      </c>
      <c r="C276" s="21" t="str">
        <f aca="false">IF(A276="","",Patients!G276)</f>
        <v/>
      </c>
      <c r="D276" s="18" t="str">
        <f aca="false">IF(A276="","",_xlfn.MAXIFS('Injection Sales'!$A$2:$A$501,'Injection Sales'!$B$2:$B$501,A276))</f>
        <v/>
      </c>
      <c r="E276" s="19" t="str">
        <f aca="true">IF(A276="","",TODAY()-D276)</f>
        <v/>
      </c>
      <c r="F276" s="21" t="str">
        <f aca="false">IF(A276="","",IF(E276&gt;=Settings!$B$9,Settings!$B$9&amp;" Day",IF(E276&gt;=Settings!$B$8,Settings!$B$8&amp;" Day","Due in "&amp;(Settings!$B$8-E276)&amp;" days")))</f>
        <v/>
      </c>
      <c r="G276" s="21" t="str">
        <f aca="false">IF(A276="","",Patients!H276)</f>
        <v/>
      </c>
      <c r="H276" s="1"/>
    </row>
    <row r="277" customFormat="false" ht="15" hidden="false" customHeight="false" outlineLevel="0" collapsed="false">
      <c r="A277" s="21" t="str">
        <f aca="false">IF(Patients!A277="","",IF(COUNTIF('Injection Sales'!$B$2:$B$501,Patients!A277)=0,"",Patients!A277))</f>
        <v/>
      </c>
      <c r="B277" s="24" t="str">
        <f aca="false">IF(A277="","",Patients!B277&amp;"")</f>
        <v/>
      </c>
      <c r="C277" s="21" t="str">
        <f aca="false">IF(A277="","",Patients!G277)</f>
        <v/>
      </c>
      <c r="D277" s="18" t="str">
        <f aca="false">IF(A277="","",_xlfn.MAXIFS('Injection Sales'!$A$2:$A$501,'Injection Sales'!$B$2:$B$501,A277))</f>
        <v/>
      </c>
      <c r="E277" s="19" t="str">
        <f aca="true">IF(A277="","",TODAY()-D277)</f>
        <v/>
      </c>
      <c r="F277" s="21" t="str">
        <f aca="false">IF(A277="","",IF(E277&gt;=Settings!$B$9,Settings!$B$9&amp;" Day",IF(E277&gt;=Settings!$B$8,Settings!$B$8&amp;" Day","Due in "&amp;(Settings!$B$8-E277)&amp;" days")))</f>
        <v/>
      </c>
      <c r="G277" s="21" t="str">
        <f aca="false">IF(A277="","",Patients!H277)</f>
        <v/>
      </c>
      <c r="H277" s="1"/>
    </row>
    <row r="278" customFormat="false" ht="15" hidden="false" customHeight="false" outlineLevel="0" collapsed="false">
      <c r="A278" s="21" t="str">
        <f aca="false">IF(Patients!A278="","",IF(COUNTIF('Injection Sales'!$B$2:$B$501,Patients!A278)=0,"",Patients!A278))</f>
        <v/>
      </c>
      <c r="B278" s="24" t="str">
        <f aca="false">IF(A278="","",Patients!B278&amp;"")</f>
        <v/>
      </c>
      <c r="C278" s="21" t="str">
        <f aca="false">IF(A278="","",Patients!G278)</f>
        <v/>
      </c>
      <c r="D278" s="18" t="str">
        <f aca="false">IF(A278="","",_xlfn.MAXIFS('Injection Sales'!$A$2:$A$501,'Injection Sales'!$B$2:$B$501,A278))</f>
        <v/>
      </c>
      <c r="E278" s="19" t="str">
        <f aca="true">IF(A278="","",TODAY()-D278)</f>
        <v/>
      </c>
      <c r="F278" s="21" t="str">
        <f aca="false">IF(A278="","",IF(E278&gt;=Settings!$B$9,Settings!$B$9&amp;" Day",IF(E278&gt;=Settings!$B$8,Settings!$B$8&amp;" Day","Due in "&amp;(Settings!$B$8-E278)&amp;" days")))</f>
        <v/>
      </c>
      <c r="G278" s="21" t="str">
        <f aca="false">IF(A278="","",Patients!H278)</f>
        <v/>
      </c>
      <c r="H278" s="1"/>
    </row>
    <row r="279" customFormat="false" ht="15" hidden="false" customHeight="false" outlineLevel="0" collapsed="false">
      <c r="A279" s="21" t="str">
        <f aca="false">IF(Patients!A279="","",IF(COUNTIF('Injection Sales'!$B$2:$B$501,Patients!A279)=0,"",Patients!A279))</f>
        <v/>
      </c>
      <c r="B279" s="24" t="str">
        <f aca="false">IF(A279="","",Patients!B279&amp;"")</f>
        <v/>
      </c>
      <c r="C279" s="21" t="str">
        <f aca="false">IF(A279="","",Patients!G279)</f>
        <v/>
      </c>
      <c r="D279" s="18" t="str">
        <f aca="false">IF(A279="","",_xlfn.MAXIFS('Injection Sales'!$A$2:$A$501,'Injection Sales'!$B$2:$B$501,A279))</f>
        <v/>
      </c>
      <c r="E279" s="19" t="str">
        <f aca="true">IF(A279="","",TODAY()-D279)</f>
        <v/>
      </c>
      <c r="F279" s="21" t="str">
        <f aca="false">IF(A279="","",IF(E279&gt;=Settings!$B$9,Settings!$B$9&amp;" Day",IF(E279&gt;=Settings!$B$8,Settings!$B$8&amp;" Day","Due in "&amp;(Settings!$B$8-E279)&amp;" days")))</f>
        <v/>
      </c>
      <c r="G279" s="21" t="str">
        <f aca="false">IF(A279="","",Patients!H279)</f>
        <v/>
      </c>
      <c r="H279" s="1"/>
    </row>
    <row r="280" customFormat="false" ht="15" hidden="false" customHeight="false" outlineLevel="0" collapsed="false">
      <c r="A280" s="21" t="str">
        <f aca="false">IF(Patients!A280="","",IF(COUNTIF('Injection Sales'!$B$2:$B$501,Patients!A280)=0,"",Patients!A280))</f>
        <v/>
      </c>
      <c r="B280" s="24" t="str">
        <f aca="false">IF(A280="","",Patients!B280&amp;"")</f>
        <v/>
      </c>
      <c r="C280" s="21" t="str">
        <f aca="false">IF(A280="","",Patients!G280)</f>
        <v/>
      </c>
      <c r="D280" s="18" t="str">
        <f aca="false">IF(A280="","",_xlfn.MAXIFS('Injection Sales'!$A$2:$A$501,'Injection Sales'!$B$2:$B$501,A280))</f>
        <v/>
      </c>
      <c r="E280" s="19" t="str">
        <f aca="true">IF(A280="","",TODAY()-D280)</f>
        <v/>
      </c>
      <c r="F280" s="21" t="str">
        <f aca="false">IF(A280="","",IF(E280&gt;=Settings!$B$9,Settings!$B$9&amp;" Day",IF(E280&gt;=Settings!$B$8,Settings!$B$8&amp;" Day","Due in "&amp;(Settings!$B$8-E280)&amp;" days")))</f>
        <v/>
      </c>
      <c r="G280" s="21" t="str">
        <f aca="false">IF(A280="","",Patients!H280)</f>
        <v/>
      </c>
      <c r="H280" s="1"/>
    </row>
    <row r="281" customFormat="false" ht="15" hidden="false" customHeight="false" outlineLevel="0" collapsed="false">
      <c r="A281" s="21" t="str">
        <f aca="false">IF(Patients!A281="","",IF(COUNTIF('Injection Sales'!$B$2:$B$501,Patients!A281)=0,"",Patients!A281))</f>
        <v/>
      </c>
      <c r="B281" s="24" t="str">
        <f aca="false">IF(A281="","",Patients!B281&amp;"")</f>
        <v/>
      </c>
      <c r="C281" s="21" t="str">
        <f aca="false">IF(A281="","",Patients!G281)</f>
        <v/>
      </c>
      <c r="D281" s="18" t="str">
        <f aca="false">IF(A281="","",_xlfn.MAXIFS('Injection Sales'!$A$2:$A$501,'Injection Sales'!$B$2:$B$501,A281))</f>
        <v/>
      </c>
      <c r="E281" s="19" t="str">
        <f aca="true">IF(A281="","",TODAY()-D281)</f>
        <v/>
      </c>
      <c r="F281" s="21" t="str">
        <f aca="false">IF(A281="","",IF(E281&gt;=Settings!$B$9,Settings!$B$9&amp;" Day",IF(E281&gt;=Settings!$B$8,Settings!$B$8&amp;" Day","Due in "&amp;(Settings!$B$8-E281)&amp;" days")))</f>
        <v/>
      </c>
      <c r="G281" s="21" t="str">
        <f aca="false">IF(A281="","",Patients!H281)</f>
        <v/>
      </c>
      <c r="H281" s="1"/>
    </row>
    <row r="282" customFormat="false" ht="15" hidden="false" customHeight="false" outlineLevel="0" collapsed="false">
      <c r="A282" s="21" t="str">
        <f aca="false">IF(Patients!A282="","",IF(COUNTIF('Injection Sales'!$B$2:$B$501,Patients!A282)=0,"",Patients!A282))</f>
        <v/>
      </c>
      <c r="B282" s="24" t="str">
        <f aca="false">IF(A282="","",Patients!B282&amp;"")</f>
        <v/>
      </c>
      <c r="C282" s="21" t="str">
        <f aca="false">IF(A282="","",Patients!G282)</f>
        <v/>
      </c>
      <c r="D282" s="18" t="str">
        <f aca="false">IF(A282="","",_xlfn.MAXIFS('Injection Sales'!$A$2:$A$501,'Injection Sales'!$B$2:$B$501,A282))</f>
        <v/>
      </c>
      <c r="E282" s="19" t="str">
        <f aca="true">IF(A282="","",TODAY()-D282)</f>
        <v/>
      </c>
      <c r="F282" s="21" t="str">
        <f aca="false">IF(A282="","",IF(E282&gt;=Settings!$B$9,Settings!$B$9&amp;" Day",IF(E282&gt;=Settings!$B$8,Settings!$B$8&amp;" Day","Due in "&amp;(Settings!$B$8-E282)&amp;" days")))</f>
        <v/>
      </c>
      <c r="G282" s="21" t="str">
        <f aca="false">IF(A282="","",Patients!H282)</f>
        <v/>
      </c>
      <c r="H282" s="1"/>
    </row>
    <row r="283" customFormat="false" ht="15" hidden="false" customHeight="false" outlineLevel="0" collapsed="false">
      <c r="A283" s="21" t="str">
        <f aca="false">IF(Patients!A283="","",IF(COUNTIF('Injection Sales'!$B$2:$B$501,Patients!A283)=0,"",Patients!A283))</f>
        <v/>
      </c>
      <c r="B283" s="24" t="str">
        <f aca="false">IF(A283="","",Patients!B283&amp;"")</f>
        <v/>
      </c>
      <c r="C283" s="21" t="str">
        <f aca="false">IF(A283="","",Patients!G283)</f>
        <v/>
      </c>
      <c r="D283" s="18" t="str">
        <f aca="false">IF(A283="","",_xlfn.MAXIFS('Injection Sales'!$A$2:$A$501,'Injection Sales'!$B$2:$B$501,A283))</f>
        <v/>
      </c>
      <c r="E283" s="19" t="str">
        <f aca="true">IF(A283="","",TODAY()-D283)</f>
        <v/>
      </c>
      <c r="F283" s="21" t="str">
        <f aca="false">IF(A283="","",IF(E283&gt;=Settings!$B$9,Settings!$B$9&amp;" Day",IF(E283&gt;=Settings!$B$8,Settings!$B$8&amp;" Day","Due in "&amp;(Settings!$B$8-E283)&amp;" days")))</f>
        <v/>
      </c>
      <c r="G283" s="21" t="str">
        <f aca="false">IF(A283="","",Patients!H283)</f>
        <v/>
      </c>
      <c r="H283" s="1"/>
    </row>
    <row r="284" customFormat="false" ht="15" hidden="false" customHeight="false" outlineLevel="0" collapsed="false">
      <c r="A284" s="21" t="str">
        <f aca="false">IF(Patients!A284="","",IF(COUNTIF('Injection Sales'!$B$2:$B$501,Patients!A284)=0,"",Patients!A284))</f>
        <v/>
      </c>
      <c r="B284" s="24" t="str">
        <f aca="false">IF(A284="","",Patients!B284&amp;"")</f>
        <v/>
      </c>
      <c r="C284" s="21" t="str">
        <f aca="false">IF(A284="","",Patients!G284)</f>
        <v/>
      </c>
      <c r="D284" s="18" t="str">
        <f aca="false">IF(A284="","",_xlfn.MAXIFS('Injection Sales'!$A$2:$A$501,'Injection Sales'!$B$2:$B$501,A284))</f>
        <v/>
      </c>
      <c r="E284" s="19" t="str">
        <f aca="true">IF(A284="","",TODAY()-D284)</f>
        <v/>
      </c>
      <c r="F284" s="21" t="str">
        <f aca="false">IF(A284="","",IF(E284&gt;=Settings!$B$9,Settings!$B$9&amp;" Day",IF(E284&gt;=Settings!$B$8,Settings!$B$8&amp;" Day","Due in "&amp;(Settings!$B$8-E284)&amp;" days")))</f>
        <v/>
      </c>
      <c r="G284" s="21" t="str">
        <f aca="false">IF(A284="","",Patients!H284)</f>
        <v/>
      </c>
      <c r="H284" s="1"/>
    </row>
    <row r="285" customFormat="false" ht="15" hidden="false" customHeight="false" outlineLevel="0" collapsed="false">
      <c r="A285" s="21" t="str">
        <f aca="false">IF(Patients!A285="","",IF(COUNTIF('Injection Sales'!$B$2:$B$501,Patients!A285)=0,"",Patients!A285))</f>
        <v/>
      </c>
      <c r="B285" s="24" t="str">
        <f aca="false">IF(A285="","",Patients!B285&amp;"")</f>
        <v/>
      </c>
      <c r="C285" s="21" t="str">
        <f aca="false">IF(A285="","",Patients!G285)</f>
        <v/>
      </c>
      <c r="D285" s="18" t="str">
        <f aca="false">IF(A285="","",_xlfn.MAXIFS('Injection Sales'!$A$2:$A$501,'Injection Sales'!$B$2:$B$501,A285))</f>
        <v/>
      </c>
      <c r="E285" s="19" t="str">
        <f aca="true">IF(A285="","",TODAY()-D285)</f>
        <v/>
      </c>
      <c r="F285" s="21" t="str">
        <f aca="false">IF(A285="","",IF(E285&gt;=Settings!$B$9,Settings!$B$9&amp;" Day",IF(E285&gt;=Settings!$B$8,Settings!$B$8&amp;" Day","Due in "&amp;(Settings!$B$8-E285)&amp;" days")))</f>
        <v/>
      </c>
      <c r="G285" s="21" t="str">
        <f aca="false">IF(A285="","",Patients!H285)</f>
        <v/>
      </c>
      <c r="H285" s="1"/>
    </row>
    <row r="286" customFormat="false" ht="15" hidden="false" customHeight="false" outlineLevel="0" collapsed="false">
      <c r="A286" s="21" t="str">
        <f aca="false">IF(Patients!A286="","",IF(COUNTIF('Injection Sales'!$B$2:$B$501,Patients!A286)=0,"",Patients!A286))</f>
        <v/>
      </c>
      <c r="B286" s="24" t="str">
        <f aca="false">IF(A286="","",Patients!B286&amp;"")</f>
        <v/>
      </c>
      <c r="C286" s="21" t="str">
        <f aca="false">IF(A286="","",Patients!G286)</f>
        <v/>
      </c>
      <c r="D286" s="18" t="str">
        <f aca="false">IF(A286="","",_xlfn.MAXIFS('Injection Sales'!$A$2:$A$501,'Injection Sales'!$B$2:$B$501,A286))</f>
        <v/>
      </c>
      <c r="E286" s="19" t="str">
        <f aca="true">IF(A286="","",TODAY()-D286)</f>
        <v/>
      </c>
      <c r="F286" s="21" t="str">
        <f aca="false">IF(A286="","",IF(E286&gt;=Settings!$B$9,Settings!$B$9&amp;" Day",IF(E286&gt;=Settings!$B$8,Settings!$B$8&amp;" Day","Due in "&amp;(Settings!$B$8-E286)&amp;" days")))</f>
        <v/>
      </c>
      <c r="G286" s="21" t="str">
        <f aca="false">IF(A286="","",Patients!H286)</f>
        <v/>
      </c>
      <c r="H286" s="1"/>
    </row>
    <row r="287" customFormat="false" ht="15" hidden="false" customHeight="false" outlineLevel="0" collapsed="false">
      <c r="A287" s="21" t="str">
        <f aca="false">IF(Patients!A287="","",IF(COUNTIF('Injection Sales'!$B$2:$B$501,Patients!A287)=0,"",Patients!A287))</f>
        <v/>
      </c>
      <c r="B287" s="24" t="str">
        <f aca="false">IF(A287="","",Patients!B287&amp;"")</f>
        <v/>
      </c>
      <c r="C287" s="21" t="str">
        <f aca="false">IF(A287="","",Patients!G287)</f>
        <v/>
      </c>
      <c r="D287" s="18" t="str">
        <f aca="false">IF(A287="","",_xlfn.MAXIFS('Injection Sales'!$A$2:$A$501,'Injection Sales'!$B$2:$B$501,A287))</f>
        <v/>
      </c>
      <c r="E287" s="19" t="str">
        <f aca="true">IF(A287="","",TODAY()-D287)</f>
        <v/>
      </c>
      <c r="F287" s="21" t="str">
        <f aca="false">IF(A287="","",IF(E287&gt;=Settings!$B$9,Settings!$B$9&amp;" Day",IF(E287&gt;=Settings!$B$8,Settings!$B$8&amp;" Day","Due in "&amp;(Settings!$B$8-E287)&amp;" days")))</f>
        <v/>
      </c>
      <c r="G287" s="21" t="str">
        <f aca="false">IF(A287="","",Patients!H287)</f>
        <v/>
      </c>
      <c r="H287" s="1"/>
    </row>
    <row r="288" customFormat="false" ht="15" hidden="false" customHeight="false" outlineLevel="0" collapsed="false">
      <c r="A288" s="21" t="str">
        <f aca="false">IF(Patients!A288="","",IF(COUNTIF('Injection Sales'!$B$2:$B$501,Patients!A288)=0,"",Patients!A288))</f>
        <v/>
      </c>
      <c r="B288" s="24" t="str">
        <f aca="false">IF(A288="","",Patients!B288&amp;"")</f>
        <v/>
      </c>
      <c r="C288" s="21" t="str">
        <f aca="false">IF(A288="","",Patients!G288)</f>
        <v/>
      </c>
      <c r="D288" s="18" t="str">
        <f aca="false">IF(A288="","",_xlfn.MAXIFS('Injection Sales'!$A$2:$A$501,'Injection Sales'!$B$2:$B$501,A288))</f>
        <v/>
      </c>
      <c r="E288" s="19" t="str">
        <f aca="true">IF(A288="","",TODAY()-D288)</f>
        <v/>
      </c>
      <c r="F288" s="21" t="str">
        <f aca="false">IF(A288="","",IF(E288&gt;=Settings!$B$9,Settings!$B$9&amp;" Day",IF(E288&gt;=Settings!$B$8,Settings!$B$8&amp;" Day","Due in "&amp;(Settings!$B$8-E288)&amp;" days")))</f>
        <v/>
      </c>
      <c r="G288" s="21" t="str">
        <f aca="false">IF(A288="","",Patients!H288)</f>
        <v/>
      </c>
      <c r="H288" s="1"/>
    </row>
    <row r="289" customFormat="false" ht="15" hidden="false" customHeight="false" outlineLevel="0" collapsed="false">
      <c r="A289" s="21" t="str">
        <f aca="false">IF(Patients!A289="","",IF(COUNTIF('Injection Sales'!$B$2:$B$501,Patients!A289)=0,"",Patients!A289))</f>
        <v/>
      </c>
      <c r="B289" s="24" t="str">
        <f aca="false">IF(A289="","",Patients!B289&amp;"")</f>
        <v/>
      </c>
      <c r="C289" s="21" t="str">
        <f aca="false">IF(A289="","",Patients!G289)</f>
        <v/>
      </c>
      <c r="D289" s="18" t="str">
        <f aca="false">IF(A289="","",_xlfn.MAXIFS('Injection Sales'!$A$2:$A$501,'Injection Sales'!$B$2:$B$501,A289))</f>
        <v/>
      </c>
      <c r="E289" s="19" t="str">
        <f aca="true">IF(A289="","",TODAY()-D289)</f>
        <v/>
      </c>
      <c r="F289" s="21" t="str">
        <f aca="false">IF(A289="","",IF(E289&gt;=Settings!$B$9,Settings!$B$9&amp;" Day",IF(E289&gt;=Settings!$B$8,Settings!$B$8&amp;" Day","Due in "&amp;(Settings!$B$8-E289)&amp;" days")))</f>
        <v/>
      </c>
      <c r="G289" s="21" t="str">
        <f aca="false">IF(A289="","",Patients!H289)</f>
        <v/>
      </c>
      <c r="H289" s="1"/>
    </row>
    <row r="290" customFormat="false" ht="15" hidden="false" customHeight="false" outlineLevel="0" collapsed="false">
      <c r="A290" s="21" t="str">
        <f aca="false">IF(Patients!A290="","",IF(COUNTIF('Injection Sales'!$B$2:$B$501,Patients!A290)=0,"",Patients!A290))</f>
        <v/>
      </c>
      <c r="B290" s="24" t="str">
        <f aca="false">IF(A290="","",Patients!B290&amp;"")</f>
        <v/>
      </c>
      <c r="C290" s="21" t="str">
        <f aca="false">IF(A290="","",Patients!G290)</f>
        <v/>
      </c>
      <c r="D290" s="18" t="str">
        <f aca="false">IF(A290="","",_xlfn.MAXIFS('Injection Sales'!$A$2:$A$501,'Injection Sales'!$B$2:$B$501,A290))</f>
        <v/>
      </c>
      <c r="E290" s="19" t="str">
        <f aca="true">IF(A290="","",TODAY()-D290)</f>
        <v/>
      </c>
      <c r="F290" s="21" t="str">
        <f aca="false">IF(A290="","",IF(E290&gt;=Settings!$B$9,Settings!$B$9&amp;" Day",IF(E290&gt;=Settings!$B$8,Settings!$B$8&amp;" Day","Due in "&amp;(Settings!$B$8-E290)&amp;" days")))</f>
        <v/>
      </c>
      <c r="G290" s="21" t="str">
        <f aca="false">IF(A290="","",Patients!H290)</f>
        <v/>
      </c>
      <c r="H290" s="1"/>
    </row>
    <row r="291" customFormat="false" ht="15" hidden="false" customHeight="false" outlineLevel="0" collapsed="false">
      <c r="A291" s="21" t="str">
        <f aca="false">IF(Patients!A291="","",IF(COUNTIF('Injection Sales'!$B$2:$B$501,Patients!A291)=0,"",Patients!A291))</f>
        <v/>
      </c>
      <c r="B291" s="24" t="str">
        <f aca="false">IF(A291="","",Patients!B291&amp;"")</f>
        <v/>
      </c>
      <c r="C291" s="21" t="str">
        <f aca="false">IF(A291="","",Patients!G291)</f>
        <v/>
      </c>
      <c r="D291" s="18" t="str">
        <f aca="false">IF(A291="","",_xlfn.MAXIFS('Injection Sales'!$A$2:$A$501,'Injection Sales'!$B$2:$B$501,A291))</f>
        <v/>
      </c>
      <c r="E291" s="19" t="str">
        <f aca="true">IF(A291="","",TODAY()-D291)</f>
        <v/>
      </c>
      <c r="F291" s="21" t="str">
        <f aca="false">IF(A291="","",IF(E291&gt;=Settings!$B$9,Settings!$B$9&amp;" Day",IF(E291&gt;=Settings!$B$8,Settings!$B$8&amp;" Day","Due in "&amp;(Settings!$B$8-E291)&amp;" days")))</f>
        <v/>
      </c>
      <c r="G291" s="21" t="str">
        <f aca="false">IF(A291="","",Patients!H291)</f>
        <v/>
      </c>
      <c r="H291" s="1"/>
    </row>
    <row r="292" customFormat="false" ht="15" hidden="false" customHeight="false" outlineLevel="0" collapsed="false">
      <c r="A292" s="21" t="str">
        <f aca="false">IF(Patients!A292="","",IF(COUNTIF('Injection Sales'!$B$2:$B$501,Patients!A292)=0,"",Patients!A292))</f>
        <v/>
      </c>
      <c r="B292" s="24" t="str">
        <f aca="false">IF(A292="","",Patients!B292&amp;"")</f>
        <v/>
      </c>
      <c r="C292" s="21" t="str">
        <f aca="false">IF(A292="","",Patients!G292)</f>
        <v/>
      </c>
      <c r="D292" s="18" t="str">
        <f aca="false">IF(A292="","",_xlfn.MAXIFS('Injection Sales'!$A$2:$A$501,'Injection Sales'!$B$2:$B$501,A292))</f>
        <v/>
      </c>
      <c r="E292" s="19" t="str">
        <f aca="true">IF(A292="","",TODAY()-D292)</f>
        <v/>
      </c>
      <c r="F292" s="21" t="str">
        <f aca="false">IF(A292="","",IF(E292&gt;=Settings!$B$9,Settings!$B$9&amp;" Day",IF(E292&gt;=Settings!$B$8,Settings!$B$8&amp;" Day","Due in "&amp;(Settings!$B$8-E292)&amp;" days")))</f>
        <v/>
      </c>
      <c r="G292" s="21" t="str">
        <f aca="false">IF(A292="","",Patients!H292)</f>
        <v/>
      </c>
      <c r="H292" s="1"/>
    </row>
    <row r="293" customFormat="false" ht="15" hidden="false" customHeight="false" outlineLevel="0" collapsed="false">
      <c r="A293" s="21" t="str">
        <f aca="false">IF(Patients!A293="","",IF(COUNTIF('Injection Sales'!$B$2:$B$501,Patients!A293)=0,"",Patients!A293))</f>
        <v/>
      </c>
      <c r="B293" s="24" t="str">
        <f aca="false">IF(A293="","",Patients!B293&amp;"")</f>
        <v/>
      </c>
      <c r="C293" s="21" t="str">
        <f aca="false">IF(A293="","",Patients!G293)</f>
        <v/>
      </c>
      <c r="D293" s="18" t="str">
        <f aca="false">IF(A293="","",_xlfn.MAXIFS('Injection Sales'!$A$2:$A$501,'Injection Sales'!$B$2:$B$501,A293))</f>
        <v/>
      </c>
      <c r="E293" s="19" t="str">
        <f aca="true">IF(A293="","",TODAY()-D293)</f>
        <v/>
      </c>
      <c r="F293" s="21" t="str">
        <f aca="false">IF(A293="","",IF(E293&gt;=Settings!$B$9,Settings!$B$9&amp;" Day",IF(E293&gt;=Settings!$B$8,Settings!$B$8&amp;" Day","Due in "&amp;(Settings!$B$8-E293)&amp;" days")))</f>
        <v/>
      </c>
      <c r="G293" s="21" t="str">
        <f aca="false">IF(A293="","",Patients!H293)</f>
        <v/>
      </c>
      <c r="H293" s="1"/>
    </row>
    <row r="294" customFormat="false" ht="15" hidden="false" customHeight="false" outlineLevel="0" collapsed="false">
      <c r="A294" s="21" t="str">
        <f aca="false">IF(Patients!A294="","",IF(COUNTIF('Injection Sales'!$B$2:$B$501,Patients!A294)=0,"",Patients!A294))</f>
        <v/>
      </c>
      <c r="B294" s="24" t="str">
        <f aca="false">IF(A294="","",Patients!B294&amp;"")</f>
        <v/>
      </c>
      <c r="C294" s="21" t="str">
        <f aca="false">IF(A294="","",Patients!G294)</f>
        <v/>
      </c>
      <c r="D294" s="18" t="str">
        <f aca="false">IF(A294="","",_xlfn.MAXIFS('Injection Sales'!$A$2:$A$501,'Injection Sales'!$B$2:$B$501,A294))</f>
        <v/>
      </c>
      <c r="E294" s="19" t="str">
        <f aca="true">IF(A294="","",TODAY()-D294)</f>
        <v/>
      </c>
      <c r="F294" s="21" t="str">
        <f aca="false">IF(A294="","",IF(E294&gt;=Settings!$B$9,Settings!$B$9&amp;" Day",IF(E294&gt;=Settings!$B$8,Settings!$B$8&amp;" Day","Due in "&amp;(Settings!$B$8-E294)&amp;" days")))</f>
        <v/>
      </c>
      <c r="G294" s="21" t="str">
        <f aca="false">IF(A294="","",Patients!H294)</f>
        <v/>
      </c>
      <c r="H294" s="1"/>
    </row>
    <row r="295" customFormat="false" ht="15" hidden="false" customHeight="false" outlineLevel="0" collapsed="false">
      <c r="A295" s="21" t="str">
        <f aca="false">IF(Patients!A295="","",IF(COUNTIF('Injection Sales'!$B$2:$B$501,Patients!A295)=0,"",Patients!A295))</f>
        <v/>
      </c>
      <c r="B295" s="24" t="str">
        <f aca="false">IF(A295="","",Patients!B295&amp;"")</f>
        <v/>
      </c>
      <c r="C295" s="21" t="str">
        <f aca="false">IF(A295="","",Patients!G295)</f>
        <v/>
      </c>
      <c r="D295" s="18" t="str">
        <f aca="false">IF(A295="","",_xlfn.MAXIFS('Injection Sales'!$A$2:$A$501,'Injection Sales'!$B$2:$B$501,A295))</f>
        <v/>
      </c>
      <c r="E295" s="19" t="str">
        <f aca="true">IF(A295="","",TODAY()-D295)</f>
        <v/>
      </c>
      <c r="F295" s="21" t="str">
        <f aca="false">IF(A295="","",IF(E295&gt;=Settings!$B$9,Settings!$B$9&amp;" Day",IF(E295&gt;=Settings!$B$8,Settings!$B$8&amp;" Day","Due in "&amp;(Settings!$B$8-E295)&amp;" days")))</f>
        <v/>
      </c>
      <c r="G295" s="21" t="str">
        <f aca="false">IF(A295="","",Patients!H295)</f>
        <v/>
      </c>
      <c r="H295" s="1"/>
    </row>
    <row r="296" customFormat="false" ht="15" hidden="false" customHeight="false" outlineLevel="0" collapsed="false">
      <c r="A296" s="21" t="str">
        <f aca="false">IF(Patients!A296="","",IF(COUNTIF('Injection Sales'!$B$2:$B$501,Patients!A296)=0,"",Patients!A296))</f>
        <v/>
      </c>
      <c r="B296" s="24" t="str">
        <f aca="false">IF(A296="","",Patients!B296&amp;"")</f>
        <v/>
      </c>
      <c r="C296" s="21" t="str">
        <f aca="false">IF(A296="","",Patients!G296)</f>
        <v/>
      </c>
      <c r="D296" s="18" t="str">
        <f aca="false">IF(A296="","",_xlfn.MAXIFS('Injection Sales'!$A$2:$A$501,'Injection Sales'!$B$2:$B$501,A296))</f>
        <v/>
      </c>
      <c r="E296" s="19" t="str">
        <f aca="true">IF(A296="","",TODAY()-D296)</f>
        <v/>
      </c>
      <c r="F296" s="21" t="str">
        <f aca="false">IF(A296="","",IF(E296&gt;=Settings!$B$9,Settings!$B$9&amp;" Day",IF(E296&gt;=Settings!$B$8,Settings!$B$8&amp;" Day","Due in "&amp;(Settings!$B$8-E296)&amp;" days")))</f>
        <v/>
      </c>
      <c r="G296" s="21" t="str">
        <f aca="false">IF(A296="","",Patients!H296)</f>
        <v/>
      </c>
      <c r="H296" s="1"/>
    </row>
    <row r="297" customFormat="false" ht="15" hidden="false" customHeight="false" outlineLevel="0" collapsed="false">
      <c r="A297" s="21" t="str">
        <f aca="false">IF(Patients!A297="","",IF(COUNTIF('Injection Sales'!$B$2:$B$501,Patients!A297)=0,"",Patients!A297))</f>
        <v/>
      </c>
      <c r="B297" s="24" t="str">
        <f aca="false">IF(A297="","",Patients!B297&amp;"")</f>
        <v/>
      </c>
      <c r="C297" s="21" t="str">
        <f aca="false">IF(A297="","",Patients!G297)</f>
        <v/>
      </c>
      <c r="D297" s="18" t="str">
        <f aca="false">IF(A297="","",_xlfn.MAXIFS('Injection Sales'!$A$2:$A$501,'Injection Sales'!$B$2:$B$501,A297))</f>
        <v/>
      </c>
      <c r="E297" s="19" t="str">
        <f aca="true">IF(A297="","",TODAY()-D297)</f>
        <v/>
      </c>
      <c r="F297" s="21" t="str">
        <f aca="false">IF(A297="","",IF(E297&gt;=Settings!$B$9,Settings!$B$9&amp;" Day",IF(E297&gt;=Settings!$B$8,Settings!$B$8&amp;" Day","Due in "&amp;(Settings!$B$8-E297)&amp;" days")))</f>
        <v/>
      </c>
      <c r="G297" s="21" t="str">
        <f aca="false">IF(A297="","",Patients!H297)</f>
        <v/>
      </c>
      <c r="H297" s="1"/>
    </row>
    <row r="298" customFormat="false" ht="15" hidden="false" customHeight="false" outlineLevel="0" collapsed="false">
      <c r="A298" s="21" t="str">
        <f aca="false">IF(Patients!A298="","",IF(COUNTIF('Injection Sales'!$B$2:$B$501,Patients!A298)=0,"",Patients!A298))</f>
        <v/>
      </c>
      <c r="B298" s="24" t="str">
        <f aca="false">IF(A298="","",Patients!B298&amp;"")</f>
        <v/>
      </c>
      <c r="C298" s="21" t="str">
        <f aca="false">IF(A298="","",Patients!G298)</f>
        <v/>
      </c>
      <c r="D298" s="18" t="str">
        <f aca="false">IF(A298="","",_xlfn.MAXIFS('Injection Sales'!$A$2:$A$501,'Injection Sales'!$B$2:$B$501,A298))</f>
        <v/>
      </c>
      <c r="E298" s="19" t="str">
        <f aca="true">IF(A298="","",TODAY()-D298)</f>
        <v/>
      </c>
      <c r="F298" s="21" t="str">
        <f aca="false">IF(A298="","",IF(E298&gt;=Settings!$B$9,Settings!$B$9&amp;" Day",IF(E298&gt;=Settings!$B$8,Settings!$B$8&amp;" Day","Due in "&amp;(Settings!$B$8-E298)&amp;" days")))</f>
        <v/>
      </c>
      <c r="G298" s="21" t="str">
        <f aca="false">IF(A298="","",Patients!H298)</f>
        <v/>
      </c>
      <c r="H298" s="1"/>
    </row>
    <row r="299" customFormat="false" ht="15" hidden="false" customHeight="false" outlineLevel="0" collapsed="false">
      <c r="A299" s="21" t="str">
        <f aca="false">IF(Patients!A299="","",IF(COUNTIF('Injection Sales'!$B$2:$B$501,Patients!A299)=0,"",Patients!A299))</f>
        <v/>
      </c>
      <c r="B299" s="24" t="str">
        <f aca="false">IF(A299="","",Patients!B299&amp;"")</f>
        <v/>
      </c>
      <c r="C299" s="21" t="str">
        <f aca="false">IF(A299="","",Patients!G299)</f>
        <v/>
      </c>
      <c r="D299" s="18" t="str">
        <f aca="false">IF(A299="","",_xlfn.MAXIFS('Injection Sales'!$A$2:$A$501,'Injection Sales'!$B$2:$B$501,A299))</f>
        <v/>
      </c>
      <c r="E299" s="19" t="str">
        <f aca="true">IF(A299="","",TODAY()-D299)</f>
        <v/>
      </c>
      <c r="F299" s="21" t="str">
        <f aca="false">IF(A299="","",IF(E299&gt;=Settings!$B$9,Settings!$B$9&amp;" Day",IF(E299&gt;=Settings!$B$8,Settings!$B$8&amp;" Day","Due in "&amp;(Settings!$B$8-E299)&amp;" days")))</f>
        <v/>
      </c>
      <c r="G299" s="21" t="str">
        <f aca="false">IF(A299="","",Patients!H299)</f>
        <v/>
      </c>
      <c r="H299" s="1"/>
    </row>
    <row r="300" customFormat="false" ht="15" hidden="false" customHeight="false" outlineLevel="0" collapsed="false">
      <c r="A300" s="21" t="str">
        <f aca="false">IF(Patients!A300="","",IF(COUNTIF('Injection Sales'!$B$2:$B$501,Patients!A300)=0,"",Patients!A300))</f>
        <v/>
      </c>
      <c r="B300" s="24" t="str">
        <f aca="false">IF(A300="","",Patients!B300&amp;"")</f>
        <v/>
      </c>
      <c r="C300" s="21" t="str">
        <f aca="false">IF(A300="","",Patients!G300)</f>
        <v/>
      </c>
      <c r="D300" s="18" t="str">
        <f aca="false">IF(A300="","",_xlfn.MAXIFS('Injection Sales'!$A$2:$A$501,'Injection Sales'!$B$2:$B$501,A300))</f>
        <v/>
      </c>
      <c r="E300" s="19" t="str">
        <f aca="true">IF(A300="","",TODAY()-D300)</f>
        <v/>
      </c>
      <c r="F300" s="21" t="str">
        <f aca="false">IF(A300="","",IF(E300&gt;=Settings!$B$9,Settings!$B$9&amp;" Day",IF(E300&gt;=Settings!$B$8,Settings!$B$8&amp;" Day","Due in "&amp;(Settings!$B$8-E300)&amp;" days")))</f>
        <v/>
      </c>
      <c r="G300" s="21" t="str">
        <f aca="false">IF(A300="","",Patients!H300)</f>
        <v/>
      </c>
      <c r="H300" s="1"/>
    </row>
    <row r="301" customFormat="false" ht="15" hidden="false" customHeight="false" outlineLevel="0" collapsed="false">
      <c r="A301" s="21" t="str">
        <f aca="false">IF(Patients!A301="","",IF(COUNTIF('Injection Sales'!$B$2:$B$501,Patients!A301)=0,"",Patients!A301))</f>
        <v/>
      </c>
      <c r="B301" s="24" t="str">
        <f aca="false">IF(A301="","",Patients!B301&amp;"")</f>
        <v/>
      </c>
      <c r="C301" s="21" t="str">
        <f aca="false">IF(A301="","",Patients!G301)</f>
        <v/>
      </c>
      <c r="D301" s="18" t="str">
        <f aca="false">IF(A301="","",_xlfn.MAXIFS('Injection Sales'!$A$2:$A$501,'Injection Sales'!$B$2:$B$501,A301))</f>
        <v/>
      </c>
      <c r="E301" s="19" t="str">
        <f aca="true">IF(A301="","",TODAY()-D301)</f>
        <v/>
      </c>
      <c r="F301" s="21" t="str">
        <f aca="false">IF(A301="","",IF(E301&gt;=Settings!$B$9,Settings!$B$9&amp;" Day",IF(E301&gt;=Settings!$B$8,Settings!$B$8&amp;" Day","Due in "&amp;(Settings!$B$8-E301)&amp;" days")))</f>
        <v/>
      </c>
      <c r="G301" s="21" t="str">
        <f aca="false">IF(A301="","",Patients!H301)</f>
        <v/>
      </c>
      <c r="H301" s="1"/>
    </row>
    <row r="302" customFormat="false" ht="15" hidden="false" customHeight="false" outlineLevel="0" collapsed="false">
      <c r="A302" s="21" t="str">
        <f aca="false">IF(Patients!A302="","",IF(COUNTIF('Injection Sales'!$B$2:$B$501,Patients!A302)=0,"",Patients!A302))</f>
        <v/>
      </c>
      <c r="B302" s="24" t="str">
        <f aca="false">IF(A302="","",Patients!B302&amp;"")</f>
        <v/>
      </c>
      <c r="C302" s="21" t="str">
        <f aca="false">IF(A302="","",Patients!G302)</f>
        <v/>
      </c>
      <c r="D302" s="18" t="str">
        <f aca="false">IF(A302="","",_xlfn.MAXIFS('Injection Sales'!$A$2:$A$501,'Injection Sales'!$B$2:$B$501,A302))</f>
        <v/>
      </c>
      <c r="E302" s="19" t="str">
        <f aca="true">IF(A302="","",TODAY()-D302)</f>
        <v/>
      </c>
      <c r="F302" s="21" t="str">
        <f aca="false">IF(A302="","",IF(E302&gt;=Settings!$B$9,Settings!$B$9&amp;" Day",IF(E302&gt;=Settings!$B$8,Settings!$B$8&amp;" Day","Due in "&amp;(Settings!$B$8-E302)&amp;" days")))</f>
        <v/>
      </c>
      <c r="G302" s="21" t="str">
        <f aca="false">IF(A302="","",Patients!H302)</f>
        <v/>
      </c>
      <c r="H302" s="1"/>
    </row>
    <row r="303" customFormat="false" ht="15" hidden="false" customHeight="false" outlineLevel="0" collapsed="false">
      <c r="A303" s="21" t="str">
        <f aca="false">IF(Patients!A303="","",IF(COUNTIF('Injection Sales'!$B$2:$B$501,Patients!A303)=0,"",Patients!A303))</f>
        <v/>
      </c>
      <c r="B303" s="24" t="str">
        <f aca="false">IF(A303="","",Patients!B303&amp;"")</f>
        <v/>
      </c>
      <c r="C303" s="21" t="str">
        <f aca="false">IF(A303="","",Patients!G303)</f>
        <v/>
      </c>
      <c r="D303" s="18" t="str">
        <f aca="false">IF(A303="","",_xlfn.MAXIFS('Injection Sales'!$A$2:$A$501,'Injection Sales'!$B$2:$B$501,A303))</f>
        <v/>
      </c>
      <c r="E303" s="19" t="str">
        <f aca="true">IF(A303="","",TODAY()-D303)</f>
        <v/>
      </c>
      <c r="F303" s="21" t="str">
        <f aca="false">IF(A303="","",IF(E303&gt;=Settings!$B$9,Settings!$B$9&amp;" Day",IF(E303&gt;=Settings!$B$8,Settings!$B$8&amp;" Day","Due in "&amp;(Settings!$B$8-E303)&amp;" days")))</f>
        <v/>
      </c>
      <c r="G303" s="21" t="str">
        <f aca="false">IF(A303="","",Patients!H303)</f>
        <v/>
      </c>
      <c r="H303" s="1"/>
    </row>
    <row r="304" customFormat="false" ht="15" hidden="false" customHeight="false" outlineLevel="0" collapsed="false">
      <c r="A304" s="21" t="str">
        <f aca="false">IF(Patients!A304="","",IF(COUNTIF('Injection Sales'!$B$2:$B$501,Patients!A304)=0,"",Patients!A304))</f>
        <v/>
      </c>
      <c r="B304" s="24" t="str">
        <f aca="false">IF(A304="","",Patients!B304&amp;"")</f>
        <v/>
      </c>
      <c r="C304" s="21" t="str">
        <f aca="false">IF(A304="","",Patients!G304)</f>
        <v/>
      </c>
      <c r="D304" s="18" t="str">
        <f aca="false">IF(A304="","",_xlfn.MAXIFS('Injection Sales'!$A$2:$A$501,'Injection Sales'!$B$2:$B$501,A304))</f>
        <v/>
      </c>
      <c r="E304" s="19" t="str">
        <f aca="true">IF(A304="","",TODAY()-D304)</f>
        <v/>
      </c>
      <c r="F304" s="21" t="str">
        <f aca="false">IF(A304="","",IF(E304&gt;=Settings!$B$9,Settings!$B$9&amp;" Day",IF(E304&gt;=Settings!$B$8,Settings!$B$8&amp;" Day","Due in "&amp;(Settings!$B$8-E304)&amp;" days")))</f>
        <v/>
      </c>
      <c r="G304" s="21" t="str">
        <f aca="false">IF(A304="","",Patients!H304)</f>
        <v/>
      </c>
      <c r="H304" s="1"/>
    </row>
    <row r="305" customFormat="false" ht="15" hidden="false" customHeight="false" outlineLevel="0" collapsed="false">
      <c r="A305" s="21" t="str">
        <f aca="false">IF(Patients!A305="","",IF(COUNTIF('Injection Sales'!$B$2:$B$501,Patients!A305)=0,"",Patients!A305))</f>
        <v/>
      </c>
      <c r="B305" s="24" t="str">
        <f aca="false">IF(A305="","",Patients!B305&amp;"")</f>
        <v/>
      </c>
      <c r="C305" s="21" t="str">
        <f aca="false">IF(A305="","",Patients!G305)</f>
        <v/>
      </c>
      <c r="D305" s="18" t="str">
        <f aca="false">IF(A305="","",_xlfn.MAXIFS('Injection Sales'!$A$2:$A$501,'Injection Sales'!$B$2:$B$501,A305))</f>
        <v/>
      </c>
      <c r="E305" s="19" t="str">
        <f aca="true">IF(A305="","",TODAY()-D305)</f>
        <v/>
      </c>
      <c r="F305" s="21" t="str">
        <f aca="false">IF(A305="","",IF(E305&gt;=Settings!$B$9,Settings!$B$9&amp;" Day",IF(E305&gt;=Settings!$B$8,Settings!$B$8&amp;" Day","Due in "&amp;(Settings!$B$8-E305)&amp;" days")))</f>
        <v/>
      </c>
      <c r="G305" s="21" t="str">
        <f aca="false">IF(A305="","",Patients!H305)</f>
        <v/>
      </c>
      <c r="H305" s="1"/>
    </row>
    <row r="306" customFormat="false" ht="15" hidden="false" customHeight="false" outlineLevel="0" collapsed="false">
      <c r="A306" s="21" t="str">
        <f aca="false">IF(Patients!A306="","",IF(COUNTIF('Injection Sales'!$B$2:$B$501,Patients!A306)=0,"",Patients!A306))</f>
        <v/>
      </c>
      <c r="B306" s="24" t="str">
        <f aca="false">IF(A306="","",Patients!B306&amp;"")</f>
        <v/>
      </c>
      <c r="C306" s="21" t="str">
        <f aca="false">IF(A306="","",Patients!G306)</f>
        <v/>
      </c>
      <c r="D306" s="18" t="str">
        <f aca="false">IF(A306="","",_xlfn.MAXIFS('Injection Sales'!$A$2:$A$501,'Injection Sales'!$B$2:$B$501,A306))</f>
        <v/>
      </c>
      <c r="E306" s="19" t="str">
        <f aca="true">IF(A306="","",TODAY()-D306)</f>
        <v/>
      </c>
      <c r="F306" s="21" t="str">
        <f aca="false">IF(A306="","",IF(E306&gt;=Settings!$B$9,Settings!$B$9&amp;" Day",IF(E306&gt;=Settings!$B$8,Settings!$B$8&amp;" Day","Due in "&amp;(Settings!$B$8-E306)&amp;" days")))</f>
        <v/>
      </c>
      <c r="G306" s="21" t="str">
        <f aca="false">IF(A306="","",Patients!H306)</f>
        <v/>
      </c>
      <c r="H306" s="1"/>
    </row>
    <row r="307" customFormat="false" ht="15" hidden="false" customHeight="false" outlineLevel="0" collapsed="false">
      <c r="A307" s="21" t="str">
        <f aca="false">IF(Patients!A307="","",IF(COUNTIF('Injection Sales'!$B$2:$B$501,Patients!A307)=0,"",Patients!A307))</f>
        <v/>
      </c>
      <c r="B307" s="24" t="str">
        <f aca="false">IF(A307="","",Patients!B307&amp;"")</f>
        <v/>
      </c>
      <c r="C307" s="21" t="str">
        <f aca="false">IF(A307="","",Patients!G307)</f>
        <v/>
      </c>
      <c r="D307" s="18" t="str">
        <f aca="false">IF(A307="","",_xlfn.MAXIFS('Injection Sales'!$A$2:$A$501,'Injection Sales'!$B$2:$B$501,A307))</f>
        <v/>
      </c>
      <c r="E307" s="19" t="str">
        <f aca="true">IF(A307="","",TODAY()-D307)</f>
        <v/>
      </c>
      <c r="F307" s="21" t="str">
        <f aca="false">IF(A307="","",IF(E307&gt;=Settings!$B$9,Settings!$B$9&amp;" Day",IF(E307&gt;=Settings!$B$8,Settings!$B$8&amp;" Day","Due in "&amp;(Settings!$B$8-E307)&amp;" days")))</f>
        <v/>
      </c>
      <c r="G307" s="21" t="str">
        <f aca="false">IF(A307="","",Patients!H307)</f>
        <v/>
      </c>
      <c r="H307" s="1"/>
    </row>
    <row r="308" customFormat="false" ht="15" hidden="false" customHeight="false" outlineLevel="0" collapsed="false">
      <c r="A308" s="21" t="str">
        <f aca="false">IF(Patients!A308="","",IF(COUNTIF('Injection Sales'!$B$2:$B$501,Patients!A308)=0,"",Patients!A308))</f>
        <v/>
      </c>
      <c r="B308" s="24" t="str">
        <f aca="false">IF(A308="","",Patients!B308&amp;"")</f>
        <v/>
      </c>
      <c r="C308" s="21" t="str">
        <f aca="false">IF(A308="","",Patients!G308)</f>
        <v/>
      </c>
      <c r="D308" s="18" t="str">
        <f aca="false">IF(A308="","",_xlfn.MAXIFS('Injection Sales'!$A$2:$A$501,'Injection Sales'!$B$2:$B$501,A308))</f>
        <v/>
      </c>
      <c r="E308" s="19" t="str">
        <f aca="true">IF(A308="","",TODAY()-D308)</f>
        <v/>
      </c>
      <c r="F308" s="21" t="str">
        <f aca="false">IF(A308="","",IF(E308&gt;=Settings!$B$9,Settings!$B$9&amp;" Day",IF(E308&gt;=Settings!$B$8,Settings!$B$8&amp;" Day","Due in "&amp;(Settings!$B$8-E308)&amp;" days")))</f>
        <v/>
      </c>
      <c r="G308" s="21" t="str">
        <f aca="false">IF(A308="","",Patients!H308)</f>
        <v/>
      </c>
      <c r="H308" s="1"/>
    </row>
    <row r="309" customFormat="false" ht="15" hidden="false" customHeight="false" outlineLevel="0" collapsed="false">
      <c r="A309" s="21" t="str">
        <f aca="false">IF(Patients!A309="","",IF(COUNTIF('Injection Sales'!$B$2:$B$501,Patients!A309)=0,"",Patients!A309))</f>
        <v/>
      </c>
      <c r="B309" s="24" t="str">
        <f aca="false">IF(A309="","",Patients!B309&amp;"")</f>
        <v/>
      </c>
      <c r="C309" s="21" t="str">
        <f aca="false">IF(A309="","",Patients!G309)</f>
        <v/>
      </c>
      <c r="D309" s="18" t="str">
        <f aca="false">IF(A309="","",_xlfn.MAXIFS('Injection Sales'!$A$2:$A$501,'Injection Sales'!$B$2:$B$501,A309))</f>
        <v/>
      </c>
      <c r="E309" s="19" t="str">
        <f aca="true">IF(A309="","",TODAY()-D309)</f>
        <v/>
      </c>
      <c r="F309" s="21" t="str">
        <f aca="false">IF(A309="","",IF(E309&gt;=Settings!$B$9,Settings!$B$9&amp;" Day",IF(E309&gt;=Settings!$B$8,Settings!$B$8&amp;" Day","Due in "&amp;(Settings!$B$8-E309)&amp;" days")))</f>
        <v/>
      </c>
      <c r="G309" s="21" t="str">
        <f aca="false">IF(A309="","",Patients!H309)</f>
        <v/>
      </c>
      <c r="H309" s="1"/>
    </row>
    <row r="310" customFormat="false" ht="15" hidden="false" customHeight="false" outlineLevel="0" collapsed="false">
      <c r="A310" s="21" t="str">
        <f aca="false">IF(Patients!A310="","",IF(COUNTIF('Injection Sales'!$B$2:$B$501,Patients!A310)=0,"",Patients!A310))</f>
        <v/>
      </c>
      <c r="B310" s="24" t="str">
        <f aca="false">IF(A310="","",Patients!B310&amp;"")</f>
        <v/>
      </c>
      <c r="C310" s="21" t="str">
        <f aca="false">IF(A310="","",Patients!G310)</f>
        <v/>
      </c>
      <c r="D310" s="18" t="str">
        <f aca="false">IF(A310="","",_xlfn.MAXIFS('Injection Sales'!$A$2:$A$501,'Injection Sales'!$B$2:$B$501,A310))</f>
        <v/>
      </c>
      <c r="E310" s="19" t="str">
        <f aca="true">IF(A310="","",TODAY()-D310)</f>
        <v/>
      </c>
      <c r="F310" s="21" t="str">
        <f aca="false">IF(A310="","",IF(E310&gt;=Settings!$B$9,Settings!$B$9&amp;" Day",IF(E310&gt;=Settings!$B$8,Settings!$B$8&amp;" Day","Due in "&amp;(Settings!$B$8-E310)&amp;" days")))</f>
        <v/>
      </c>
      <c r="G310" s="21" t="str">
        <f aca="false">IF(A310="","",Patients!H310)</f>
        <v/>
      </c>
      <c r="H310" s="1"/>
    </row>
    <row r="311" customFormat="false" ht="15" hidden="false" customHeight="false" outlineLevel="0" collapsed="false">
      <c r="A311" s="21" t="str">
        <f aca="false">IF(Patients!A311="","",IF(COUNTIF('Injection Sales'!$B$2:$B$501,Patients!A311)=0,"",Patients!A311))</f>
        <v/>
      </c>
      <c r="B311" s="24" t="str">
        <f aca="false">IF(A311="","",Patients!B311&amp;"")</f>
        <v/>
      </c>
      <c r="C311" s="21" t="str">
        <f aca="false">IF(A311="","",Patients!G311)</f>
        <v/>
      </c>
      <c r="D311" s="18" t="str">
        <f aca="false">IF(A311="","",_xlfn.MAXIFS('Injection Sales'!$A$2:$A$501,'Injection Sales'!$B$2:$B$501,A311))</f>
        <v/>
      </c>
      <c r="E311" s="19" t="str">
        <f aca="true">IF(A311="","",TODAY()-D311)</f>
        <v/>
      </c>
      <c r="F311" s="21" t="str">
        <f aca="false">IF(A311="","",IF(E311&gt;=Settings!$B$9,Settings!$B$9&amp;" Day",IF(E311&gt;=Settings!$B$8,Settings!$B$8&amp;" Day","Due in "&amp;(Settings!$B$8-E311)&amp;" days")))</f>
        <v/>
      </c>
      <c r="G311" s="21" t="str">
        <f aca="false">IF(A311="","",Patients!H311)</f>
        <v/>
      </c>
      <c r="H311" s="1"/>
    </row>
    <row r="312" customFormat="false" ht="15" hidden="false" customHeight="false" outlineLevel="0" collapsed="false">
      <c r="A312" s="21" t="str">
        <f aca="false">IF(Patients!A312="","",IF(COUNTIF('Injection Sales'!$B$2:$B$501,Patients!A312)=0,"",Patients!A312))</f>
        <v/>
      </c>
      <c r="B312" s="24" t="str">
        <f aca="false">IF(A312="","",Patients!B312&amp;"")</f>
        <v/>
      </c>
      <c r="C312" s="21" t="str">
        <f aca="false">IF(A312="","",Patients!G312)</f>
        <v/>
      </c>
      <c r="D312" s="18" t="str">
        <f aca="false">IF(A312="","",_xlfn.MAXIFS('Injection Sales'!$A$2:$A$501,'Injection Sales'!$B$2:$B$501,A312))</f>
        <v/>
      </c>
      <c r="E312" s="19" t="str">
        <f aca="true">IF(A312="","",TODAY()-D312)</f>
        <v/>
      </c>
      <c r="F312" s="21" t="str">
        <f aca="false">IF(A312="","",IF(E312&gt;=Settings!$B$9,Settings!$B$9&amp;" Day",IF(E312&gt;=Settings!$B$8,Settings!$B$8&amp;" Day","Due in "&amp;(Settings!$B$8-E312)&amp;" days")))</f>
        <v/>
      </c>
      <c r="G312" s="21" t="str">
        <f aca="false">IF(A312="","",Patients!H312)</f>
        <v/>
      </c>
      <c r="H312" s="1"/>
    </row>
    <row r="313" customFormat="false" ht="15" hidden="false" customHeight="false" outlineLevel="0" collapsed="false">
      <c r="A313" s="21" t="str">
        <f aca="false">IF(Patients!A313="","",IF(COUNTIF('Injection Sales'!$B$2:$B$501,Patients!A313)=0,"",Patients!A313))</f>
        <v/>
      </c>
      <c r="B313" s="24" t="str">
        <f aca="false">IF(A313="","",Patients!B313&amp;"")</f>
        <v/>
      </c>
      <c r="C313" s="21" t="str">
        <f aca="false">IF(A313="","",Patients!G313)</f>
        <v/>
      </c>
      <c r="D313" s="18" t="str">
        <f aca="false">IF(A313="","",_xlfn.MAXIFS('Injection Sales'!$A$2:$A$501,'Injection Sales'!$B$2:$B$501,A313))</f>
        <v/>
      </c>
      <c r="E313" s="19" t="str">
        <f aca="true">IF(A313="","",TODAY()-D313)</f>
        <v/>
      </c>
      <c r="F313" s="21" t="str">
        <f aca="false">IF(A313="","",IF(E313&gt;=Settings!$B$9,Settings!$B$9&amp;" Day",IF(E313&gt;=Settings!$B$8,Settings!$B$8&amp;" Day","Due in "&amp;(Settings!$B$8-E313)&amp;" days")))</f>
        <v/>
      </c>
      <c r="G313" s="21" t="str">
        <f aca="false">IF(A313="","",Patients!H313)</f>
        <v/>
      </c>
      <c r="H313" s="1"/>
    </row>
    <row r="314" customFormat="false" ht="15" hidden="false" customHeight="false" outlineLevel="0" collapsed="false">
      <c r="A314" s="21" t="str">
        <f aca="false">IF(Patients!A314="","",IF(COUNTIF('Injection Sales'!$B$2:$B$501,Patients!A314)=0,"",Patients!A314))</f>
        <v/>
      </c>
      <c r="B314" s="24" t="str">
        <f aca="false">IF(A314="","",Patients!B314&amp;"")</f>
        <v/>
      </c>
      <c r="C314" s="21" t="str">
        <f aca="false">IF(A314="","",Patients!G314)</f>
        <v/>
      </c>
      <c r="D314" s="18" t="str">
        <f aca="false">IF(A314="","",_xlfn.MAXIFS('Injection Sales'!$A$2:$A$501,'Injection Sales'!$B$2:$B$501,A314))</f>
        <v/>
      </c>
      <c r="E314" s="19" t="str">
        <f aca="true">IF(A314="","",TODAY()-D314)</f>
        <v/>
      </c>
      <c r="F314" s="21" t="str">
        <f aca="false">IF(A314="","",IF(E314&gt;=Settings!$B$9,Settings!$B$9&amp;" Day",IF(E314&gt;=Settings!$B$8,Settings!$B$8&amp;" Day","Due in "&amp;(Settings!$B$8-E314)&amp;" days")))</f>
        <v/>
      </c>
      <c r="G314" s="21" t="str">
        <f aca="false">IF(A314="","",Patients!H314)</f>
        <v/>
      </c>
      <c r="H314" s="1"/>
    </row>
    <row r="315" customFormat="false" ht="15" hidden="false" customHeight="false" outlineLevel="0" collapsed="false">
      <c r="A315" s="21" t="str">
        <f aca="false">IF(Patients!A315="","",IF(COUNTIF('Injection Sales'!$B$2:$B$501,Patients!A315)=0,"",Patients!A315))</f>
        <v/>
      </c>
      <c r="B315" s="24" t="str">
        <f aca="false">IF(A315="","",Patients!B315&amp;"")</f>
        <v/>
      </c>
      <c r="C315" s="21" t="str">
        <f aca="false">IF(A315="","",Patients!G315)</f>
        <v/>
      </c>
      <c r="D315" s="18" t="str">
        <f aca="false">IF(A315="","",_xlfn.MAXIFS('Injection Sales'!$A$2:$A$501,'Injection Sales'!$B$2:$B$501,A315))</f>
        <v/>
      </c>
      <c r="E315" s="19" t="str">
        <f aca="true">IF(A315="","",TODAY()-D315)</f>
        <v/>
      </c>
      <c r="F315" s="21" t="str">
        <f aca="false">IF(A315="","",IF(E315&gt;=Settings!$B$9,Settings!$B$9&amp;" Day",IF(E315&gt;=Settings!$B$8,Settings!$B$8&amp;" Day","Due in "&amp;(Settings!$B$8-E315)&amp;" days")))</f>
        <v/>
      </c>
      <c r="G315" s="21" t="str">
        <f aca="false">IF(A315="","",Patients!H315)</f>
        <v/>
      </c>
      <c r="H315" s="1"/>
    </row>
    <row r="316" customFormat="false" ht="15" hidden="false" customHeight="false" outlineLevel="0" collapsed="false">
      <c r="A316" s="21" t="str">
        <f aca="false">IF(Patients!A316="","",IF(COUNTIF('Injection Sales'!$B$2:$B$501,Patients!A316)=0,"",Patients!A316))</f>
        <v/>
      </c>
      <c r="B316" s="24" t="str">
        <f aca="false">IF(A316="","",Patients!B316&amp;"")</f>
        <v/>
      </c>
      <c r="C316" s="21" t="str">
        <f aca="false">IF(A316="","",Patients!G316)</f>
        <v/>
      </c>
      <c r="D316" s="18" t="str">
        <f aca="false">IF(A316="","",_xlfn.MAXIFS('Injection Sales'!$A$2:$A$501,'Injection Sales'!$B$2:$B$501,A316))</f>
        <v/>
      </c>
      <c r="E316" s="19" t="str">
        <f aca="true">IF(A316="","",TODAY()-D316)</f>
        <v/>
      </c>
      <c r="F316" s="21" t="str">
        <f aca="false">IF(A316="","",IF(E316&gt;=Settings!$B$9,Settings!$B$9&amp;" Day",IF(E316&gt;=Settings!$B$8,Settings!$B$8&amp;" Day","Due in "&amp;(Settings!$B$8-E316)&amp;" days")))</f>
        <v/>
      </c>
      <c r="G316" s="21" t="str">
        <f aca="false">IF(A316="","",Patients!H316)</f>
        <v/>
      </c>
      <c r="H316" s="1"/>
    </row>
    <row r="317" customFormat="false" ht="15" hidden="false" customHeight="false" outlineLevel="0" collapsed="false">
      <c r="A317" s="21" t="str">
        <f aca="false">IF(Patients!A317="","",IF(COUNTIF('Injection Sales'!$B$2:$B$501,Patients!A317)=0,"",Patients!A317))</f>
        <v/>
      </c>
      <c r="B317" s="24" t="str">
        <f aca="false">IF(A317="","",Patients!B317&amp;"")</f>
        <v/>
      </c>
      <c r="C317" s="21" t="str">
        <f aca="false">IF(A317="","",Patients!G317)</f>
        <v/>
      </c>
      <c r="D317" s="18" t="str">
        <f aca="false">IF(A317="","",_xlfn.MAXIFS('Injection Sales'!$A$2:$A$501,'Injection Sales'!$B$2:$B$501,A317))</f>
        <v/>
      </c>
      <c r="E317" s="19" t="str">
        <f aca="true">IF(A317="","",TODAY()-D317)</f>
        <v/>
      </c>
      <c r="F317" s="21" t="str">
        <f aca="false">IF(A317="","",IF(E317&gt;=Settings!$B$9,Settings!$B$9&amp;" Day",IF(E317&gt;=Settings!$B$8,Settings!$B$8&amp;" Day","Due in "&amp;(Settings!$B$8-E317)&amp;" days")))</f>
        <v/>
      </c>
      <c r="G317" s="21" t="str">
        <f aca="false">IF(A317="","",Patients!H317)</f>
        <v/>
      </c>
      <c r="H317" s="1"/>
    </row>
    <row r="318" customFormat="false" ht="15" hidden="false" customHeight="false" outlineLevel="0" collapsed="false">
      <c r="A318" s="21" t="str">
        <f aca="false">IF(Patients!A318="","",IF(COUNTIF('Injection Sales'!$B$2:$B$501,Patients!A318)=0,"",Patients!A318))</f>
        <v/>
      </c>
      <c r="B318" s="24" t="str">
        <f aca="false">IF(A318="","",Patients!B318&amp;"")</f>
        <v/>
      </c>
      <c r="C318" s="21" t="str">
        <f aca="false">IF(A318="","",Patients!G318)</f>
        <v/>
      </c>
      <c r="D318" s="18" t="str">
        <f aca="false">IF(A318="","",_xlfn.MAXIFS('Injection Sales'!$A$2:$A$501,'Injection Sales'!$B$2:$B$501,A318))</f>
        <v/>
      </c>
      <c r="E318" s="19" t="str">
        <f aca="true">IF(A318="","",TODAY()-D318)</f>
        <v/>
      </c>
      <c r="F318" s="21" t="str">
        <f aca="false">IF(A318="","",IF(E318&gt;=Settings!$B$9,Settings!$B$9&amp;" Day",IF(E318&gt;=Settings!$B$8,Settings!$B$8&amp;" Day","Due in "&amp;(Settings!$B$8-E318)&amp;" days")))</f>
        <v/>
      </c>
      <c r="G318" s="21" t="str">
        <f aca="false">IF(A318="","",Patients!H318)</f>
        <v/>
      </c>
      <c r="H318" s="1"/>
    </row>
    <row r="319" customFormat="false" ht="15" hidden="false" customHeight="false" outlineLevel="0" collapsed="false">
      <c r="A319" s="21" t="str">
        <f aca="false">IF(Patients!A319="","",IF(COUNTIF('Injection Sales'!$B$2:$B$501,Patients!A319)=0,"",Patients!A319))</f>
        <v/>
      </c>
      <c r="B319" s="24" t="str">
        <f aca="false">IF(A319="","",Patients!B319&amp;"")</f>
        <v/>
      </c>
      <c r="C319" s="21" t="str">
        <f aca="false">IF(A319="","",Patients!G319)</f>
        <v/>
      </c>
      <c r="D319" s="18" t="str">
        <f aca="false">IF(A319="","",_xlfn.MAXIFS('Injection Sales'!$A$2:$A$501,'Injection Sales'!$B$2:$B$501,A319))</f>
        <v/>
      </c>
      <c r="E319" s="19" t="str">
        <f aca="true">IF(A319="","",TODAY()-D319)</f>
        <v/>
      </c>
      <c r="F319" s="21" t="str">
        <f aca="false">IF(A319="","",IF(E319&gt;=Settings!$B$9,Settings!$B$9&amp;" Day",IF(E319&gt;=Settings!$B$8,Settings!$B$8&amp;" Day","Due in "&amp;(Settings!$B$8-E319)&amp;" days")))</f>
        <v/>
      </c>
      <c r="G319" s="21" t="str">
        <f aca="false">IF(A319="","",Patients!H319)</f>
        <v/>
      </c>
      <c r="H319" s="1"/>
    </row>
    <row r="320" customFormat="false" ht="15" hidden="false" customHeight="false" outlineLevel="0" collapsed="false">
      <c r="A320" s="21" t="str">
        <f aca="false">IF(Patients!A320="","",IF(COUNTIF('Injection Sales'!$B$2:$B$501,Patients!A320)=0,"",Patients!A320))</f>
        <v/>
      </c>
      <c r="B320" s="24" t="str">
        <f aca="false">IF(A320="","",Patients!B320&amp;"")</f>
        <v/>
      </c>
      <c r="C320" s="21" t="str">
        <f aca="false">IF(A320="","",Patients!G320)</f>
        <v/>
      </c>
      <c r="D320" s="18" t="str">
        <f aca="false">IF(A320="","",_xlfn.MAXIFS('Injection Sales'!$A$2:$A$501,'Injection Sales'!$B$2:$B$501,A320))</f>
        <v/>
      </c>
      <c r="E320" s="19" t="str">
        <f aca="true">IF(A320="","",TODAY()-D320)</f>
        <v/>
      </c>
      <c r="F320" s="21" t="str">
        <f aca="false">IF(A320="","",IF(E320&gt;=Settings!$B$9,Settings!$B$9&amp;" Day",IF(E320&gt;=Settings!$B$8,Settings!$B$8&amp;" Day","Due in "&amp;(Settings!$B$8-E320)&amp;" days")))</f>
        <v/>
      </c>
      <c r="G320" s="21" t="str">
        <f aca="false">IF(A320="","",Patients!H320)</f>
        <v/>
      </c>
      <c r="H320" s="1"/>
    </row>
    <row r="321" customFormat="false" ht="15" hidden="false" customHeight="false" outlineLevel="0" collapsed="false">
      <c r="A321" s="21" t="str">
        <f aca="false">IF(Patients!A321="","",IF(COUNTIF('Injection Sales'!$B$2:$B$501,Patients!A321)=0,"",Patients!A321))</f>
        <v/>
      </c>
      <c r="B321" s="24" t="str">
        <f aca="false">IF(A321="","",Patients!B321&amp;"")</f>
        <v/>
      </c>
      <c r="C321" s="21" t="str">
        <f aca="false">IF(A321="","",Patients!G321)</f>
        <v/>
      </c>
      <c r="D321" s="18" t="str">
        <f aca="false">IF(A321="","",_xlfn.MAXIFS('Injection Sales'!$A$2:$A$501,'Injection Sales'!$B$2:$B$501,A321))</f>
        <v/>
      </c>
      <c r="E321" s="19" t="str">
        <f aca="true">IF(A321="","",TODAY()-D321)</f>
        <v/>
      </c>
      <c r="F321" s="21" t="str">
        <f aca="false">IF(A321="","",IF(E321&gt;=Settings!$B$9,Settings!$B$9&amp;" Day",IF(E321&gt;=Settings!$B$8,Settings!$B$8&amp;" Day","Due in "&amp;(Settings!$B$8-E321)&amp;" days")))</f>
        <v/>
      </c>
      <c r="G321" s="21" t="str">
        <f aca="false">IF(A321="","",Patients!H321)</f>
        <v/>
      </c>
      <c r="H321" s="1"/>
    </row>
    <row r="322" customFormat="false" ht="15" hidden="false" customHeight="false" outlineLevel="0" collapsed="false">
      <c r="A322" s="21" t="str">
        <f aca="false">IF(Patients!A322="","",IF(COUNTIF('Injection Sales'!$B$2:$B$501,Patients!A322)=0,"",Patients!A322))</f>
        <v/>
      </c>
      <c r="B322" s="24" t="str">
        <f aca="false">IF(A322="","",Patients!B322&amp;"")</f>
        <v/>
      </c>
      <c r="C322" s="21" t="str">
        <f aca="false">IF(A322="","",Patients!G322)</f>
        <v/>
      </c>
      <c r="D322" s="18" t="str">
        <f aca="false">IF(A322="","",_xlfn.MAXIFS('Injection Sales'!$A$2:$A$501,'Injection Sales'!$B$2:$B$501,A322))</f>
        <v/>
      </c>
      <c r="E322" s="19" t="str">
        <f aca="true">IF(A322="","",TODAY()-D322)</f>
        <v/>
      </c>
      <c r="F322" s="21" t="str">
        <f aca="false">IF(A322="","",IF(E322&gt;=Settings!$B$9,Settings!$B$9&amp;" Day",IF(E322&gt;=Settings!$B$8,Settings!$B$8&amp;" Day","Due in "&amp;(Settings!$B$8-E322)&amp;" days")))</f>
        <v/>
      </c>
      <c r="G322" s="21" t="str">
        <f aca="false">IF(A322="","",Patients!H322)</f>
        <v/>
      </c>
      <c r="H322" s="1"/>
    </row>
    <row r="323" customFormat="false" ht="15" hidden="false" customHeight="false" outlineLevel="0" collapsed="false">
      <c r="A323" s="21" t="str">
        <f aca="false">IF(Patients!A323="","",IF(COUNTIF('Injection Sales'!$B$2:$B$501,Patients!A323)=0,"",Patients!A323))</f>
        <v/>
      </c>
      <c r="B323" s="24" t="str">
        <f aca="false">IF(A323="","",Patients!B323&amp;"")</f>
        <v/>
      </c>
      <c r="C323" s="21" t="str">
        <f aca="false">IF(A323="","",Patients!G323)</f>
        <v/>
      </c>
      <c r="D323" s="18" t="str">
        <f aca="false">IF(A323="","",_xlfn.MAXIFS('Injection Sales'!$A$2:$A$501,'Injection Sales'!$B$2:$B$501,A323))</f>
        <v/>
      </c>
      <c r="E323" s="19" t="str">
        <f aca="true">IF(A323="","",TODAY()-D323)</f>
        <v/>
      </c>
      <c r="F323" s="21" t="str">
        <f aca="false">IF(A323="","",IF(E323&gt;=Settings!$B$9,Settings!$B$9&amp;" Day",IF(E323&gt;=Settings!$B$8,Settings!$B$8&amp;" Day","Due in "&amp;(Settings!$B$8-E323)&amp;" days")))</f>
        <v/>
      </c>
      <c r="G323" s="21" t="str">
        <f aca="false">IF(A323="","",Patients!H323)</f>
        <v/>
      </c>
      <c r="H323" s="1"/>
    </row>
    <row r="324" customFormat="false" ht="15" hidden="false" customHeight="false" outlineLevel="0" collapsed="false">
      <c r="A324" s="21" t="str">
        <f aca="false">IF(Patients!A324="","",IF(COUNTIF('Injection Sales'!$B$2:$B$501,Patients!A324)=0,"",Patients!A324))</f>
        <v/>
      </c>
      <c r="B324" s="24" t="str">
        <f aca="false">IF(A324="","",Patients!B324&amp;"")</f>
        <v/>
      </c>
      <c r="C324" s="21" t="str">
        <f aca="false">IF(A324="","",Patients!G324)</f>
        <v/>
      </c>
      <c r="D324" s="18" t="str">
        <f aca="false">IF(A324="","",_xlfn.MAXIFS('Injection Sales'!$A$2:$A$501,'Injection Sales'!$B$2:$B$501,A324))</f>
        <v/>
      </c>
      <c r="E324" s="19" t="str">
        <f aca="true">IF(A324="","",TODAY()-D324)</f>
        <v/>
      </c>
      <c r="F324" s="21" t="str">
        <f aca="false">IF(A324="","",IF(E324&gt;=Settings!$B$9,Settings!$B$9&amp;" Day",IF(E324&gt;=Settings!$B$8,Settings!$B$8&amp;" Day","Due in "&amp;(Settings!$B$8-E324)&amp;" days")))</f>
        <v/>
      </c>
      <c r="G324" s="21" t="str">
        <f aca="false">IF(A324="","",Patients!H324)</f>
        <v/>
      </c>
      <c r="H324" s="1"/>
    </row>
    <row r="325" customFormat="false" ht="15" hidden="false" customHeight="false" outlineLevel="0" collapsed="false">
      <c r="A325" s="21" t="str">
        <f aca="false">IF(Patients!A325="","",IF(COUNTIF('Injection Sales'!$B$2:$B$501,Patients!A325)=0,"",Patients!A325))</f>
        <v/>
      </c>
      <c r="B325" s="24" t="str">
        <f aca="false">IF(A325="","",Patients!B325&amp;"")</f>
        <v/>
      </c>
      <c r="C325" s="21" t="str">
        <f aca="false">IF(A325="","",Patients!G325)</f>
        <v/>
      </c>
      <c r="D325" s="18" t="str">
        <f aca="false">IF(A325="","",_xlfn.MAXIFS('Injection Sales'!$A$2:$A$501,'Injection Sales'!$B$2:$B$501,A325))</f>
        <v/>
      </c>
      <c r="E325" s="19" t="str">
        <f aca="true">IF(A325="","",TODAY()-D325)</f>
        <v/>
      </c>
      <c r="F325" s="21" t="str">
        <f aca="false">IF(A325="","",IF(E325&gt;=Settings!$B$9,Settings!$B$9&amp;" Day",IF(E325&gt;=Settings!$B$8,Settings!$B$8&amp;" Day","Due in "&amp;(Settings!$B$8-E325)&amp;" days")))</f>
        <v/>
      </c>
      <c r="G325" s="21" t="str">
        <f aca="false">IF(A325="","",Patients!H325)</f>
        <v/>
      </c>
      <c r="H325" s="1"/>
    </row>
    <row r="326" customFormat="false" ht="15" hidden="false" customHeight="false" outlineLevel="0" collapsed="false">
      <c r="A326" s="21" t="str">
        <f aca="false">IF(Patients!A326="","",IF(COUNTIF('Injection Sales'!$B$2:$B$501,Patients!A326)=0,"",Patients!A326))</f>
        <v/>
      </c>
      <c r="B326" s="24" t="str">
        <f aca="false">IF(A326="","",Patients!B326&amp;"")</f>
        <v/>
      </c>
      <c r="C326" s="21" t="str">
        <f aca="false">IF(A326="","",Patients!G326)</f>
        <v/>
      </c>
      <c r="D326" s="18" t="str">
        <f aca="false">IF(A326="","",_xlfn.MAXIFS('Injection Sales'!$A$2:$A$501,'Injection Sales'!$B$2:$B$501,A326))</f>
        <v/>
      </c>
      <c r="E326" s="19" t="str">
        <f aca="true">IF(A326="","",TODAY()-D326)</f>
        <v/>
      </c>
      <c r="F326" s="21" t="str">
        <f aca="false">IF(A326="","",IF(E326&gt;=Settings!$B$9,Settings!$B$9&amp;" Day",IF(E326&gt;=Settings!$B$8,Settings!$B$8&amp;" Day","Due in "&amp;(Settings!$B$8-E326)&amp;" days")))</f>
        <v/>
      </c>
      <c r="G326" s="21" t="str">
        <f aca="false">IF(A326="","",Patients!H326)</f>
        <v/>
      </c>
      <c r="H326" s="1"/>
    </row>
    <row r="327" customFormat="false" ht="15" hidden="false" customHeight="false" outlineLevel="0" collapsed="false">
      <c r="A327" s="21" t="str">
        <f aca="false">IF(Patients!A327="","",IF(COUNTIF('Injection Sales'!$B$2:$B$501,Patients!A327)=0,"",Patients!A327))</f>
        <v/>
      </c>
      <c r="B327" s="24" t="str">
        <f aca="false">IF(A327="","",Patients!B327&amp;"")</f>
        <v/>
      </c>
      <c r="C327" s="21" t="str">
        <f aca="false">IF(A327="","",Patients!G327)</f>
        <v/>
      </c>
      <c r="D327" s="18" t="str">
        <f aca="false">IF(A327="","",_xlfn.MAXIFS('Injection Sales'!$A$2:$A$501,'Injection Sales'!$B$2:$B$501,A327))</f>
        <v/>
      </c>
      <c r="E327" s="19" t="str">
        <f aca="true">IF(A327="","",TODAY()-D327)</f>
        <v/>
      </c>
      <c r="F327" s="21" t="str">
        <f aca="false">IF(A327="","",IF(E327&gt;=Settings!$B$9,Settings!$B$9&amp;" Day",IF(E327&gt;=Settings!$B$8,Settings!$B$8&amp;" Day","Due in "&amp;(Settings!$B$8-E327)&amp;" days")))</f>
        <v/>
      </c>
      <c r="G327" s="21" t="str">
        <f aca="false">IF(A327="","",Patients!H327)</f>
        <v/>
      </c>
      <c r="H327" s="1"/>
    </row>
    <row r="328" customFormat="false" ht="15" hidden="false" customHeight="false" outlineLevel="0" collapsed="false">
      <c r="A328" s="21" t="str">
        <f aca="false">IF(Patients!A328="","",IF(COUNTIF('Injection Sales'!$B$2:$B$501,Patients!A328)=0,"",Patients!A328))</f>
        <v/>
      </c>
      <c r="B328" s="24" t="str">
        <f aca="false">IF(A328="","",Patients!B328&amp;"")</f>
        <v/>
      </c>
      <c r="C328" s="21" t="str">
        <f aca="false">IF(A328="","",Patients!G328)</f>
        <v/>
      </c>
      <c r="D328" s="18" t="str">
        <f aca="false">IF(A328="","",_xlfn.MAXIFS('Injection Sales'!$A$2:$A$501,'Injection Sales'!$B$2:$B$501,A328))</f>
        <v/>
      </c>
      <c r="E328" s="19" t="str">
        <f aca="true">IF(A328="","",TODAY()-D328)</f>
        <v/>
      </c>
      <c r="F328" s="21" t="str">
        <f aca="false">IF(A328="","",IF(E328&gt;=Settings!$B$9,Settings!$B$9&amp;" Day",IF(E328&gt;=Settings!$B$8,Settings!$B$8&amp;" Day","Due in "&amp;(Settings!$B$8-E328)&amp;" days")))</f>
        <v/>
      </c>
      <c r="G328" s="21" t="str">
        <f aca="false">IF(A328="","",Patients!H328)</f>
        <v/>
      </c>
      <c r="H328" s="1"/>
    </row>
    <row r="329" customFormat="false" ht="15" hidden="false" customHeight="false" outlineLevel="0" collapsed="false">
      <c r="A329" s="21" t="str">
        <f aca="false">IF(Patients!A329="","",IF(COUNTIF('Injection Sales'!$B$2:$B$501,Patients!A329)=0,"",Patients!A329))</f>
        <v/>
      </c>
      <c r="B329" s="24" t="str">
        <f aca="false">IF(A329="","",Patients!B329&amp;"")</f>
        <v/>
      </c>
      <c r="C329" s="21" t="str">
        <f aca="false">IF(A329="","",Patients!G329)</f>
        <v/>
      </c>
      <c r="D329" s="18" t="str">
        <f aca="false">IF(A329="","",_xlfn.MAXIFS('Injection Sales'!$A$2:$A$501,'Injection Sales'!$B$2:$B$501,A329))</f>
        <v/>
      </c>
      <c r="E329" s="19" t="str">
        <f aca="true">IF(A329="","",TODAY()-D329)</f>
        <v/>
      </c>
      <c r="F329" s="21" t="str">
        <f aca="false">IF(A329="","",IF(E329&gt;=Settings!$B$9,Settings!$B$9&amp;" Day",IF(E329&gt;=Settings!$B$8,Settings!$B$8&amp;" Day","Due in "&amp;(Settings!$B$8-E329)&amp;" days")))</f>
        <v/>
      </c>
      <c r="G329" s="21" t="str">
        <f aca="false">IF(A329="","",Patients!H329)</f>
        <v/>
      </c>
      <c r="H329" s="1"/>
    </row>
    <row r="330" customFormat="false" ht="15" hidden="false" customHeight="false" outlineLevel="0" collapsed="false">
      <c r="A330" s="21" t="str">
        <f aca="false">IF(Patients!A330="","",IF(COUNTIF('Injection Sales'!$B$2:$B$501,Patients!A330)=0,"",Patients!A330))</f>
        <v/>
      </c>
      <c r="B330" s="24" t="str">
        <f aca="false">IF(A330="","",Patients!B330&amp;"")</f>
        <v/>
      </c>
      <c r="C330" s="21" t="str">
        <f aca="false">IF(A330="","",Patients!G330)</f>
        <v/>
      </c>
      <c r="D330" s="18" t="str">
        <f aca="false">IF(A330="","",_xlfn.MAXIFS('Injection Sales'!$A$2:$A$501,'Injection Sales'!$B$2:$B$501,A330))</f>
        <v/>
      </c>
      <c r="E330" s="19" t="str">
        <f aca="true">IF(A330="","",TODAY()-D330)</f>
        <v/>
      </c>
      <c r="F330" s="21" t="str">
        <f aca="false">IF(A330="","",IF(E330&gt;=Settings!$B$9,Settings!$B$9&amp;" Day",IF(E330&gt;=Settings!$B$8,Settings!$B$8&amp;" Day","Due in "&amp;(Settings!$B$8-E330)&amp;" days")))</f>
        <v/>
      </c>
      <c r="G330" s="21" t="str">
        <f aca="false">IF(A330="","",Patients!H330)</f>
        <v/>
      </c>
      <c r="H330" s="1"/>
    </row>
    <row r="331" customFormat="false" ht="15" hidden="false" customHeight="false" outlineLevel="0" collapsed="false">
      <c r="A331" s="21" t="str">
        <f aca="false">IF(Patients!A331="","",IF(COUNTIF('Injection Sales'!$B$2:$B$501,Patients!A331)=0,"",Patients!A331))</f>
        <v/>
      </c>
      <c r="B331" s="24" t="str">
        <f aca="false">IF(A331="","",Patients!B331&amp;"")</f>
        <v/>
      </c>
      <c r="C331" s="21" t="str">
        <f aca="false">IF(A331="","",Patients!G331)</f>
        <v/>
      </c>
      <c r="D331" s="18" t="str">
        <f aca="false">IF(A331="","",_xlfn.MAXIFS('Injection Sales'!$A$2:$A$501,'Injection Sales'!$B$2:$B$501,A331))</f>
        <v/>
      </c>
      <c r="E331" s="19" t="str">
        <f aca="true">IF(A331="","",TODAY()-D331)</f>
        <v/>
      </c>
      <c r="F331" s="21" t="str">
        <f aca="false">IF(A331="","",IF(E331&gt;=Settings!$B$9,Settings!$B$9&amp;" Day",IF(E331&gt;=Settings!$B$8,Settings!$B$8&amp;" Day","Due in "&amp;(Settings!$B$8-E331)&amp;" days")))</f>
        <v/>
      </c>
      <c r="G331" s="21" t="str">
        <f aca="false">IF(A331="","",Patients!H331)</f>
        <v/>
      </c>
      <c r="H331" s="1"/>
    </row>
    <row r="332" customFormat="false" ht="15" hidden="false" customHeight="false" outlineLevel="0" collapsed="false">
      <c r="A332" s="21" t="str">
        <f aca="false">IF(Patients!A332="","",IF(COUNTIF('Injection Sales'!$B$2:$B$501,Patients!A332)=0,"",Patients!A332))</f>
        <v/>
      </c>
      <c r="B332" s="24" t="str">
        <f aca="false">IF(A332="","",Patients!B332&amp;"")</f>
        <v/>
      </c>
      <c r="C332" s="21" t="str">
        <f aca="false">IF(A332="","",Patients!G332)</f>
        <v/>
      </c>
      <c r="D332" s="18" t="str">
        <f aca="false">IF(A332="","",_xlfn.MAXIFS('Injection Sales'!$A$2:$A$501,'Injection Sales'!$B$2:$B$501,A332))</f>
        <v/>
      </c>
      <c r="E332" s="19" t="str">
        <f aca="true">IF(A332="","",TODAY()-D332)</f>
        <v/>
      </c>
      <c r="F332" s="21" t="str">
        <f aca="false">IF(A332="","",IF(E332&gt;=Settings!$B$9,Settings!$B$9&amp;" Day",IF(E332&gt;=Settings!$B$8,Settings!$B$8&amp;" Day","Due in "&amp;(Settings!$B$8-E332)&amp;" days")))</f>
        <v/>
      </c>
      <c r="G332" s="21" t="str">
        <f aca="false">IF(A332="","",Patients!H332)</f>
        <v/>
      </c>
      <c r="H332" s="1"/>
    </row>
    <row r="333" customFormat="false" ht="15" hidden="false" customHeight="false" outlineLevel="0" collapsed="false">
      <c r="A333" s="21" t="str">
        <f aca="false">IF(Patients!A333="","",IF(COUNTIF('Injection Sales'!$B$2:$B$501,Patients!A333)=0,"",Patients!A333))</f>
        <v/>
      </c>
      <c r="B333" s="24" t="str">
        <f aca="false">IF(A333="","",Patients!B333&amp;"")</f>
        <v/>
      </c>
      <c r="C333" s="21" t="str">
        <f aca="false">IF(A333="","",Patients!G333)</f>
        <v/>
      </c>
      <c r="D333" s="18" t="str">
        <f aca="false">IF(A333="","",_xlfn.MAXIFS('Injection Sales'!$A$2:$A$501,'Injection Sales'!$B$2:$B$501,A333))</f>
        <v/>
      </c>
      <c r="E333" s="19" t="str">
        <f aca="true">IF(A333="","",TODAY()-D333)</f>
        <v/>
      </c>
      <c r="F333" s="21" t="str">
        <f aca="false">IF(A333="","",IF(E333&gt;=Settings!$B$9,Settings!$B$9&amp;" Day",IF(E333&gt;=Settings!$B$8,Settings!$B$8&amp;" Day","Due in "&amp;(Settings!$B$8-E333)&amp;" days")))</f>
        <v/>
      </c>
      <c r="G333" s="21" t="str">
        <f aca="false">IF(A333="","",Patients!H333)</f>
        <v/>
      </c>
      <c r="H333" s="1"/>
    </row>
    <row r="334" customFormat="false" ht="15" hidden="false" customHeight="false" outlineLevel="0" collapsed="false">
      <c r="A334" s="21" t="str">
        <f aca="false">IF(Patients!A334="","",IF(COUNTIF('Injection Sales'!$B$2:$B$501,Patients!A334)=0,"",Patients!A334))</f>
        <v/>
      </c>
      <c r="B334" s="24" t="str">
        <f aca="false">IF(A334="","",Patients!B334&amp;"")</f>
        <v/>
      </c>
      <c r="C334" s="21" t="str">
        <f aca="false">IF(A334="","",Patients!G334)</f>
        <v/>
      </c>
      <c r="D334" s="18" t="str">
        <f aca="false">IF(A334="","",_xlfn.MAXIFS('Injection Sales'!$A$2:$A$501,'Injection Sales'!$B$2:$B$501,A334))</f>
        <v/>
      </c>
      <c r="E334" s="19" t="str">
        <f aca="true">IF(A334="","",TODAY()-D334)</f>
        <v/>
      </c>
      <c r="F334" s="21" t="str">
        <f aca="false">IF(A334="","",IF(E334&gt;=Settings!$B$9,Settings!$B$9&amp;" Day",IF(E334&gt;=Settings!$B$8,Settings!$B$8&amp;" Day","Due in "&amp;(Settings!$B$8-E334)&amp;" days")))</f>
        <v/>
      </c>
      <c r="G334" s="21" t="str">
        <f aca="false">IF(A334="","",Patients!H334)</f>
        <v/>
      </c>
      <c r="H334" s="1"/>
    </row>
    <row r="335" customFormat="false" ht="15" hidden="false" customHeight="false" outlineLevel="0" collapsed="false">
      <c r="A335" s="21" t="str">
        <f aca="false">IF(Patients!A335="","",IF(COUNTIF('Injection Sales'!$B$2:$B$501,Patients!A335)=0,"",Patients!A335))</f>
        <v/>
      </c>
      <c r="B335" s="24" t="str">
        <f aca="false">IF(A335="","",Patients!B335&amp;"")</f>
        <v/>
      </c>
      <c r="C335" s="21" t="str">
        <f aca="false">IF(A335="","",Patients!G335)</f>
        <v/>
      </c>
      <c r="D335" s="18" t="str">
        <f aca="false">IF(A335="","",_xlfn.MAXIFS('Injection Sales'!$A$2:$A$501,'Injection Sales'!$B$2:$B$501,A335))</f>
        <v/>
      </c>
      <c r="E335" s="19" t="str">
        <f aca="true">IF(A335="","",TODAY()-D335)</f>
        <v/>
      </c>
      <c r="F335" s="21" t="str">
        <f aca="false">IF(A335="","",IF(E335&gt;=Settings!$B$9,Settings!$B$9&amp;" Day",IF(E335&gt;=Settings!$B$8,Settings!$B$8&amp;" Day","Due in "&amp;(Settings!$B$8-E335)&amp;" days")))</f>
        <v/>
      </c>
      <c r="G335" s="21" t="str">
        <f aca="false">IF(A335="","",Patients!H335)</f>
        <v/>
      </c>
      <c r="H335" s="1"/>
    </row>
    <row r="336" customFormat="false" ht="15" hidden="false" customHeight="false" outlineLevel="0" collapsed="false">
      <c r="A336" s="21" t="str">
        <f aca="false">IF(Patients!A336="","",IF(COUNTIF('Injection Sales'!$B$2:$B$501,Patients!A336)=0,"",Patients!A336))</f>
        <v/>
      </c>
      <c r="B336" s="24" t="str">
        <f aca="false">IF(A336="","",Patients!B336&amp;"")</f>
        <v/>
      </c>
      <c r="C336" s="21" t="str">
        <f aca="false">IF(A336="","",Patients!G336)</f>
        <v/>
      </c>
      <c r="D336" s="18" t="str">
        <f aca="false">IF(A336="","",_xlfn.MAXIFS('Injection Sales'!$A$2:$A$501,'Injection Sales'!$B$2:$B$501,A336))</f>
        <v/>
      </c>
      <c r="E336" s="19" t="str">
        <f aca="true">IF(A336="","",TODAY()-D336)</f>
        <v/>
      </c>
      <c r="F336" s="21" t="str">
        <f aca="false">IF(A336="","",IF(E336&gt;=Settings!$B$9,Settings!$B$9&amp;" Day",IF(E336&gt;=Settings!$B$8,Settings!$B$8&amp;" Day","Due in "&amp;(Settings!$B$8-E336)&amp;" days")))</f>
        <v/>
      </c>
      <c r="G336" s="21" t="str">
        <f aca="false">IF(A336="","",Patients!H336)</f>
        <v/>
      </c>
      <c r="H336" s="1"/>
    </row>
    <row r="337" customFormat="false" ht="15" hidden="false" customHeight="false" outlineLevel="0" collapsed="false">
      <c r="A337" s="21" t="str">
        <f aca="false">IF(Patients!A337="","",IF(COUNTIF('Injection Sales'!$B$2:$B$501,Patients!A337)=0,"",Patients!A337))</f>
        <v/>
      </c>
      <c r="B337" s="24" t="str">
        <f aca="false">IF(A337="","",Patients!B337&amp;"")</f>
        <v/>
      </c>
      <c r="C337" s="21" t="str">
        <f aca="false">IF(A337="","",Patients!G337)</f>
        <v/>
      </c>
      <c r="D337" s="18" t="str">
        <f aca="false">IF(A337="","",_xlfn.MAXIFS('Injection Sales'!$A$2:$A$501,'Injection Sales'!$B$2:$B$501,A337))</f>
        <v/>
      </c>
      <c r="E337" s="19" t="str">
        <f aca="true">IF(A337="","",TODAY()-D337)</f>
        <v/>
      </c>
      <c r="F337" s="21" t="str">
        <f aca="false">IF(A337="","",IF(E337&gt;=Settings!$B$9,Settings!$B$9&amp;" Day",IF(E337&gt;=Settings!$B$8,Settings!$B$8&amp;" Day","Due in "&amp;(Settings!$B$8-E337)&amp;" days")))</f>
        <v/>
      </c>
      <c r="G337" s="21" t="str">
        <f aca="false">IF(A337="","",Patients!H337)</f>
        <v/>
      </c>
      <c r="H337" s="1"/>
    </row>
    <row r="338" customFormat="false" ht="15" hidden="false" customHeight="false" outlineLevel="0" collapsed="false">
      <c r="A338" s="21" t="str">
        <f aca="false">IF(Patients!A338="","",IF(COUNTIF('Injection Sales'!$B$2:$B$501,Patients!A338)=0,"",Patients!A338))</f>
        <v/>
      </c>
      <c r="B338" s="24" t="str">
        <f aca="false">IF(A338="","",Patients!B338&amp;"")</f>
        <v/>
      </c>
      <c r="C338" s="21" t="str">
        <f aca="false">IF(A338="","",Patients!G338)</f>
        <v/>
      </c>
      <c r="D338" s="18" t="str">
        <f aca="false">IF(A338="","",_xlfn.MAXIFS('Injection Sales'!$A$2:$A$501,'Injection Sales'!$B$2:$B$501,A338))</f>
        <v/>
      </c>
      <c r="E338" s="19" t="str">
        <f aca="true">IF(A338="","",TODAY()-D338)</f>
        <v/>
      </c>
      <c r="F338" s="21" t="str">
        <f aca="false">IF(A338="","",IF(E338&gt;=Settings!$B$9,Settings!$B$9&amp;" Day",IF(E338&gt;=Settings!$B$8,Settings!$B$8&amp;" Day","Due in "&amp;(Settings!$B$8-E338)&amp;" days")))</f>
        <v/>
      </c>
      <c r="G338" s="21" t="str">
        <f aca="false">IF(A338="","",Patients!H338)</f>
        <v/>
      </c>
      <c r="H338" s="1"/>
    </row>
    <row r="339" customFormat="false" ht="15" hidden="false" customHeight="false" outlineLevel="0" collapsed="false">
      <c r="A339" s="21" t="str">
        <f aca="false">IF(Patients!A339="","",IF(COUNTIF('Injection Sales'!$B$2:$B$501,Patients!A339)=0,"",Patients!A339))</f>
        <v/>
      </c>
      <c r="B339" s="24" t="str">
        <f aca="false">IF(A339="","",Patients!B339&amp;"")</f>
        <v/>
      </c>
      <c r="C339" s="21" t="str">
        <f aca="false">IF(A339="","",Patients!G339)</f>
        <v/>
      </c>
      <c r="D339" s="18" t="str">
        <f aca="false">IF(A339="","",_xlfn.MAXIFS('Injection Sales'!$A$2:$A$501,'Injection Sales'!$B$2:$B$501,A339))</f>
        <v/>
      </c>
      <c r="E339" s="19" t="str">
        <f aca="true">IF(A339="","",TODAY()-D339)</f>
        <v/>
      </c>
      <c r="F339" s="21" t="str">
        <f aca="false">IF(A339="","",IF(E339&gt;=Settings!$B$9,Settings!$B$9&amp;" Day",IF(E339&gt;=Settings!$B$8,Settings!$B$8&amp;" Day","Due in "&amp;(Settings!$B$8-E339)&amp;" days")))</f>
        <v/>
      </c>
      <c r="G339" s="21" t="str">
        <f aca="false">IF(A339="","",Patients!H339)</f>
        <v/>
      </c>
      <c r="H339" s="1"/>
    </row>
    <row r="340" customFormat="false" ht="15" hidden="false" customHeight="false" outlineLevel="0" collapsed="false">
      <c r="A340" s="21" t="str">
        <f aca="false">IF(Patients!A340="","",IF(COUNTIF('Injection Sales'!$B$2:$B$501,Patients!A340)=0,"",Patients!A340))</f>
        <v/>
      </c>
      <c r="B340" s="24" t="str">
        <f aca="false">IF(A340="","",Patients!B340&amp;"")</f>
        <v/>
      </c>
      <c r="C340" s="21" t="str">
        <f aca="false">IF(A340="","",Patients!G340)</f>
        <v/>
      </c>
      <c r="D340" s="18" t="str">
        <f aca="false">IF(A340="","",_xlfn.MAXIFS('Injection Sales'!$A$2:$A$501,'Injection Sales'!$B$2:$B$501,A340))</f>
        <v/>
      </c>
      <c r="E340" s="19" t="str">
        <f aca="true">IF(A340="","",TODAY()-D340)</f>
        <v/>
      </c>
      <c r="F340" s="21" t="str">
        <f aca="false">IF(A340="","",IF(E340&gt;=Settings!$B$9,Settings!$B$9&amp;" Day",IF(E340&gt;=Settings!$B$8,Settings!$B$8&amp;" Day","Due in "&amp;(Settings!$B$8-E340)&amp;" days")))</f>
        <v/>
      </c>
      <c r="G340" s="21" t="str">
        <f aca="false">IF(A340="","",Patients!H340)</f>
        <v/>
      </c>
      <c r="H340" s="1"/>
    </row>
    <row r="341" customFormat="false" ht="15" hidden="false" customHeight="false" outlineLevel="0" collapsed="false">
      <c r="A341" s="21" t="str">
        <f aca="false">IF(Patients!A341="","",IF(COUNTIF('Injection Sales'!$B$2:$B$501,Patients!A341)=0,"",Patients!A341))</f>
        <v/>
      </c>
      <c r="B341" s="24" t="str">
        <f aca="false">IF(A341="","",Patients!B341&amp;"")</f>
        <v/>
      </c>
      <c r="C341" s="21" t="str">
        <f aca="false">IF(A341="","",Patients!G341)</f>
        <v/>
      </c>
      <c r="D341" s="18" t="str">
        <f aca="false">IF(A341="","",_xlfn.MAXIFS('Injection Sales'!$A$2:$A$501,'Injection Sales'!$B$2:$B$501,A341))</f>
        <v/>
      </c>
      <c r="E341" s="19" t="str">
        <f aca="true">IF(A341="","",TODAY()-D341)</f>
        <v/>
      </c>
      <c r="F341" s="21" t="str">
        <f aca="false">IF(A341="","",IF(E341&gt;=Settings!$B$9,Settings!$B$9&amp;" Day",IF(E341&gt;=Settings!$B$8,Settings!$B$8&amp;" Day","Due in "&amp;(Settings!$B$8-E341)&amp;" days")))</f>
        <v/>
      </c>
      <c r="G341" s="21" t="str">
        <f aca="false">IF(A341="","",Patients!H341)</f>
        <v/>
      </c>
      <c r="H341" s="1"/>
    </row>
    <row r="342" customFormat="false" ht="15" hidden="false" customHeight="false" outlineLevel="0" collapsed="false">
      <c r="A342" s="21" t="str">
        <f aca="false">IF(Patients!A342="","",IF(COUNTIF('Injection Sales'!$B$2:$B$501,Patients!A342)=0,"",Patients!A342))</f>
        <v/>
      </c>
      <c r="B342" s="24" t="str">
        <f aca="false">IF(A342="","",Patients!B342&amp;"")</f>
        <v/>
      </c>
      <c r="C342" s="21" t="str">
        <f aca="false">IF(A342="","",Patients!G342)</f>
        <v/>
      </c>
      <c r="D342" s="18" t="str">
        <f aca="false">IF(A342="","",_xlfn.MAXIFS('Injection Sales'!$A$2:$A$501,'Injection Sales'!$B$2:$B$501,A342))</f>
        <v/>
      </c>
      <c r="E342" s="19" t="str">
        <f aca="true">IF(A342="","",TODAY()-D342)</f>
        <v/>
      </c>
      <c r="F342" s="21" t="str">
        <f aca="false">IF(A342="","",IF(E342&gt;=Settings!$B$9,Settings!$B$9&amp;" Day",IF(E342&gt;=Settings!$B$8,Settings!$B$8&amp;" Day","Due in "&amp;(Settings!$B$8-E342)&amp;" days")))</f>
        <v/>
      </c>
      <c r="G342" s="21" t="str">
        <f aca="false">IF(A342="","",Patients!H342)</f>
        <v/>
      </c>
      <c r="H342" s="1"/>
    </row>
    <row r="343" customFormat="false" ht="15" hidden="false" customHeight="false" outlineLevel="0" collapsed="false">
      <c r="A343" s="21" t="str">
        <f aca="false">IF(Patients!A343="","",IF(COUNTIF('Injection Sales'!$B$2:$B$501,Patients!A343)=0,"",Patients!A343))</f>
        <v/>
      </c>
      <c r="B343" s="24" t="str">
        <f aca="false">IF(A343="","",Patients!B343&amp;"")</f>
        <v/>
      </c>
      <c r="C343" s="21" t="str">
        <f aca="false">IF(A343="","",Patients!G343)</f>
        <v/>
      </c>
      <c r="D343" s="18" t="str">
        <f aca="false">IF(A343="","",_xlfn.MAXIFS('Injection Sales'!$A$2:$A$501,'Injection Sales'!$B$2:$B$501,A343))</f>
        <v/>
      </c>
      <c r="E343" s="19" t="str">
        <f aca="true">IF(A343="","",TODAY()-D343)</f>
        <v/>
      </c>
      <c r="F343" s="21" t="str">
        <f aca="false">IF(A343="","",IF(E343&gt;=Settings!$B$9,Settings!$B$9&amp;" Day",IF(E343&gt;=Settings!$B$8,Settings!$B$8&amp;" Day","Due in "&amp;(Settings!$B$8-E343)&amp;" days")))</f>
        <v/>
      </c>
      <c r="G343" s="21" t="str">
        <f aca="false">IF(A343="","",Patients!H343)</f>
        <v/>
      </c>
      <c r="H343" s="1"/>
    </row>
    <row r="344" customFormat="false" ht="15" hidden="false" customHeight="false" outlineLevel="0" collapsed="false">
      <c r="A344" s="21" t="str">
        <f aca="false">IF(Patients!A344="","",IF(COUNTIF('Injection Sales'!$B$2:$B$501,Patients!A344)=0,"",Patients!A344))</f>
        <v/>
      </c>
      <c r="B344" s="24" t="str">
        <f aca="false">IF(A344="","",Patients!B344&amp;"")</f>
        <v/>
      </c>
      <c r="C344" s="21" t="str">
        <f aca="false">IF(A344="","",Patients!G344)</f>
        <v/>
      </c>
      <c r="D344" s="18" t="str">
        <f aca="false">IF(A344="","",_xlfn.MAXIFS('Injection Sales'!$A$2:$A$501,'Injection Sales'!$B$2:$B$501,A344))</f>
        <v/>
      </c>
      <c r="E344" s="19" t="str">
        <f aca="true">IF(A344="","",TODAY()-D344)</f>
        <v/>
      </c>
      <c r="F344" s="21" t="str">
        <f aca="false">IF(A344="","",IF(E344&gt;=Settings!$B$9,Settings!$B$9&amp;" Day",IF(E344&gt;=Settings!$B$8,Settings!$B$8&amp;" Day","Due in "&amp;(Settings!$B$8-E344)&amp;" days")))</f>
        <v/>
      </c>
      <c r="G344" s="21" t="str">
        <f aca="false">IF(A344="","",Patients!H344)</f>
        <v/>
      </c>
      <c r="H344" s="1"/>
    </row>
    <row r="345" customFormat="false" ht="15" hidden="false" customHeight="false" outlineLevel="0" collapsed="false">
      <c r="A345" s="21" t="str">
        <f aca="false">IF(Patients!A345="","",IF(COUNTIF('Injection Sales'!$B$2:$B$501,Patients!A345)=0,"",Patients!A345))</f>
        <v/>
      </c>
      <c r="B345" s="24" t="str">
        <f aca="false">IF(A345="","",Patients!B345&amp;"")</f>
        <v/>
      </c>
      <c r="C345" s="21" t="str">
        <f aca="false">IF(A345="","",Patients!G345)</f>
        <v/>
      </c>
      <c r="D345" s="18" t="str">
        <f aca="false">IF(A345="","",_xlfn.MAXIFS('Injection Sales'!$A$2:$A$501,'Injection Sales'!$B$2:$B$501,A345))</f>
        <v/>
      </c>
      <c r="E345" s="19" t="str">
        <f aca="true">IF(A345="","",TODAY()-D345)</f>
        <v/>
      </c>
      <c r="F345" s="21" t="str">
        <f aca="false">IF(A345="","",IF(E345&gt;=Settings!$B$9,Settings!$B$9&amp;" Day",IF(E345&gt;=Settings!$B$8,Settings!$B$8&amp;" Day","Due in "&amp;(Settings!$B$8-E345)&amp;" days")))</f>
        <v/>
      </c>
      <c r="G345" s="21" t="str">
        <f aca="false">IF(A345="","",Patients!H345)</f>
        <v/>
      </c>
      <c r="H345" s="1"/>
    </row>
    <row r="346" customFormat="false" ht="15" hidden="false" customHeight="false" outlineLevel="0" collapsed="false">
      <c r="A346" s="21" t="str">
        <f aca="false">IF(Patients!A346="","",IF(COUNTIF('Injection Sales'!$B$2:$B$501,Patients!A346)=0,"",Patients!A346))</f>
        <v/>
      </c>
      <c r="B346" s="24" t="str">
        <f aca="false">IF(A346="","",Patients!B346&amp;"")</f>
        <v/>
      </c>
      <c r="C346" s="21" t="str">
        <f aca="false">IF(A346="","",Patients!G346)</f>
        <v/>
      </c>
      <c r="D346" s="18" t="str">
        <f aca="false">IF(A346="","",_xlfn.MAXIFS('Injection Sales'!$A$2:$A$501,'Injection Sales'!$B$2:$B$501,A346))</f>
        <v/>
      </c>
      <c r="E346" s="19" t="str">
        <f aca="true">IF(A346="","",TODAY()-D346)</f>
        <v/>
      </c>
      <c r="F346" s="21" t="str">
        <f aca="false">IF(A346="","",IF(E346&gt;=Settings!$B$9,Settings!$B$9&amp;" Day",IF(E346&gt;=Settings!$B$8,Settings!$B$8&amp;" Day","Due in "&amp;(Settings!$B$8-E346)&amp;" days")))</f>
        <v/>
      </c>
      <c r="G346" s="21" t="str">
        <f aca="false">IF(A346="","",Patients!H346)</f>
        <v/>
      </c>
      <c r="H346" s="1"/>
    </row>
    <row r="347" customFormat="false" ht="15" hidden="false" customHeight="false" outlineLevel="0" collapsed="false">
      <c r="A347" s="21" t="str">
        <f aca="false">IF(Patients!A347="","",IF(COUNTIF('Injection Sales'!$B$2:$B$501,Patients!A347)=0,"",Patients!A347))</f>
        <v/>
      </c>
      <c r="B347" s="24" t="str">
        <f aca="false">IF(A347="","",Patients!B347&amp;"")</f>
        <v/>
      </c>
      <c r="C347" s="21" t="str">
        <f aca="false">IF(A347="","",Patients!G347)</f>
        <v/>
      </c>
      <c r="D347" s="18" t="str">
        <f aca="false">IF(A347="","",_xlfn.MAXIFS('Injection Sales'!$A$2:$A$501,'Injection Sales'!$B$2:$B$501,A347))</f>
        <v/>
      </c>
      <c r="E347" s="19" t="str">
        <f aca="true">IF(A347="","",TODAY()-D347)</f>
        <v/>
      </c>
      <c r="F347" s="21" t="str">
        <f aca="false">IF(A347="","",IF(E347&gt;=Settings!$B$9,Settings!$B$9&amp;" Day",IF(E347&gt;=Settings!$B$8,Settings!$B$8&amp;" Day","Due in "&amp;(Settings!$B$8-E347)&amp;" days")))</f>
        <v/>
      </c>
      <c r="G347" s="21" t="str">
        <f aca="false">IF(A347="","",Patients!H347)</f>
        <v/>
      </c>
      <c r="H347" s="1"/>
    </row>
    <row r="348" customFormat="false" ht="15" hidden="false" customHeight="false" outlineLevel="0" collapsed="false">
      <c r="A348" s="21" t="str">
        <f aca="false">IF(Patients!A348="","",IF(COUNTIF('Injection Sales'!$B$2:$B$501,Patients!A348)=0,"",Patients!A348))</f>
        <v/>
      </c>
      <c r="B348" s="24" t="str">
        <f aca="false">IF(A348="","",Patients!B348&amp;"")</f>
        <v/>
      </c>
      <c r="C348" s="21" t="str">
        <f aca="false">IF(A348="","",Patients!G348)</f>
        <v/>
      </c>
      <c r="D348" s="18" t="str">
        <f aca="false">IF(A348="","",_xlfn.MAXIFS('Injection Sales'!$A$2:$A$501,'Injection Sales'!$B$2:$B$501,A348))</f>
        <v/>
      </c>
      <c r="E348" s="19" t="str">
        <f aca="true">IF(A348="","",TODAY()-D348)</f>
        <v/>
      </c>
      <c r="F348" s="21" t="str">
        <f aca="false">IF(A348="","",IF(E348&gt;=Settings!$B$9,Settings!$B$9&amp;" Day",IF(E348&gt;=Settings!$B$8,Settings!$B$8&amp;" Day","Due in "&amp;(Settings!$B$8-E348)&amp;" days")))</f>
        <v/>
      </c>
      <c r="G348" s="21" t="str">
        <f aca="false">IF(A348="","",Patients!H348)</f>
        <v/>
      </c>
      <c r="H348" s="1"/>
    </row>
    <row r="349" customFormat="false" ht="15" hidden="false" customHeight="false" outlineLevel="0" collapsed="false">
      <c r="A349" s="21" t="str">
        <f aca="false">IF(Patients!A349="","",IF(COUNTIF('Injection Sales'!$B$2:$B$501,Patients!A349)=0,"",Patients!A349))</f>
        <v/>
      </c>
      <c r="B349" s="24" t="str">
        <f aca="false">IF(A349="","",Patients!B349&amp;"")</f>
        <v/>
      </c>
      <c r="C349" s="21" t="str">
        <f aca="false">IF(A349="","",Patients!G349)</f>
        <v/>
      </c>
      <c r="D349" s="18" t="str">
        <f aca="false">IF(A349="","",_xlfn.MAXIFS('Injection Sales'!$A$2:$A$501,'Injection Sales'!$B$2:$B$501,A349))</f>
        <v/>
      </c>
      <c r="E349" s="19" t="str">
        <f aca="true">IF(A349="","",TODAY()-D349)</f>
        <v/>
      </c>
      <c r="F349" s="21" t="str">
        <f aca="false">IF(A349="","",IF(E349&gt;=Settings!$B$9,Settings!$B$9&amp;" Day",IF(E349&gt;=Settings!$B$8,Settings!$B$8&amp;" Day","Due in "&amp;(Settings!$B$8-E349)&amp;" days")))</f>
        <v/>
      </c>
      <c r="G349" s="21" t="str">
        <f aca="false">IF(A349="","",Patients!H349)</f>
        <v/>
      </c>
      <c r="H349" s="1"/>
    </row>
    <row r="350" customFormat="false" ht="15" hidden="false" customHeight="false" outlineLevel="0" collapsed="false">
      <c r="A350" s="21" t="str">
        <f aca="false">IF(Patients!A350="","",IF(COUNTIF('Injection Sales'!$B$2:$B$501,Patients!A350)=0,"",Patients!A350))</f>
        <v/>
      </c>
      <c r="B350" s="24" t="str">
        <f aca="false">IF(A350="","",Patients!B350&amp;"")</f>
        <v/>
      </c>
      <c r="C350" s="21" t="str">
        <f aca="false">IF(A350="","",Patients!G350)</f>
        <v/>
      </c>
      <c r="D350" s="18" t="str">
        <f aca="false">IF(A350="","",_xlfn.MAXIFS('Injection Sales'!$A$2:$A$501,'Injection Sales'!$B$2:$B$501,A350))</f>
        <v/>
      </c>
      <c r="E350" s="19" t="str">
        <f aca="true">IF(A350="","",TODAY()-D350)</f>
        <v/>
      </c>
      <c r="F350" s="21" t="str">
        <f aca="false">IF(A350="","",IF(E350&gt;=Settings!$B$9,Settings!$B$9&amp;" Day",IF(E350&gt;=Settings!$B$8,Settings!$B$8&amp;" Day","Due in "&amp;(Settings!$B$8-E350)&amp;" days")))</f>
        <v/>
      </c>
      <c r="G350" s="21" t="str">
        <f aca="false">IF(A350="","",Patients!H350)</f>
        <v/>
      </c>
      <c r="H350" s="1"/>
    </row>
    <row r="351" customFormat="false" ht="15" hidden="false" customHeight="false" outlineLevel="0" collapsed="false">
      <c r="A351" s="21" t="str">
        <f aca="false">IF(Patients!A351="","",IF(COUNTIF('Injection Sales'!$B$2:$B$501,Patients!A351)=0,"",Patients!A351))</f>
        <v/>
      </c>
      <c r="B351" s="24" t="str">
        <f aca="false">IF(A351="","",Patients!B351&amp;"")</f>
        <v/>
      </c>
      <c r="C351" s="21" t="str">
        <f aca="false">IF(A351="","",Patients!G351)</f>
        <v/>
      </c>
      <c r="D351" s="18" t="str">
        <f aca="false">IF(A351="","",_xlfn.MAXIFS('Injection Sales'!$A$2:$A$501,'Injection Sales'!$B$2:$B$501,A351))</f>
        <v/>
      </c>
      <c r="E351" s="19" t="str">
        <f aca="true">IF(A351="","",TODAY()-D351)</f>
        <v/>
      </c>
      <c r="F351" s="21" t="str">
        <f aca="false">IF(A351="","",IF(E351&gt;=Settings!$B$9,Settings!$B$9&amp;" Day",IF(E351&gt;=Settings!$B$8,Settings!$B$8&amp;" Day","Due in "&amp;(Settings!$B$8-E351)&amp;" days")))</f>
        <v/>
      </c>
      <c r="G351" s="21" t="str">
        <f aca="false">IF(A351="","",Patients!H351)</f>
        <v/>
      </c>
      <c r="H351" s="1"/>
    </row>
    <row r="352" customFormat="false" ht="15" hidden="false" customHeight="false" outlineLevel="0" collapsed="false">
      <c r="A352" s="21" t="str">
        <f aca="false">IF(Patients!A352="","",IF(COUNTIF('Injection Sales'!$B$2:$B$501,Patients!A352)=0,"",Patients!A352))</f>
        <v/>
      </c>
      <c r="B352" s="24" t="str">
        <f aca="false">IF(A352="","",Patients!B352&amp;"")</f>
        <v/>
      </c>
      <c r="C352" s="21" t="str">
        <f aca="false">IF(A352="","",Patients!G352)</f>
        <v/>
      </c>
      <c r="D352" s="18" t="str">
        <f aca="false">IF(A352="","",_xlfn.MAXIFS('Injection Sales'!$A$2:$A$501,'Injection Sales'!$B$2:$B$501,A352))</f>
        <v/>
      </c>
      <c r="E352" s="19" t="str">
        <f aca="true">IF(A352="","",TODAY()-D352)</f>
        <v/>
      </c>
      <c r="F352" s="21" t="str">
        <f aca="false">IF(A352="","",IF(E352&gt;=Settings!$B$9,Settings!$B$9&amp;" Day",IF(E352&gt;=Settings!$B$8,Settings!$B$8&amp;" Day","Due in "&amp;(Settings!$B$8-E352)&amp;" days")))</f>
        <v/>
      </c>
      <c r="G352" s="21" t="str">
        <f aca="false">IF(A352="","",Patients!H352)</f>
        <v/>
      </c>
      <c r="H352" s="1"/>
    </row>
    <row r="353" customFormat="false" ht="15" hidden="false" customHeight="false" outlineLevel="0" collapsed="false">
      <c r="A353" s="21" t="str">
        <f aca="false">IF(Patients!A353="","",IF(COUNTIF('Injection Sales'!$B$2:$B$501,Patients!A353)=0,"",Patients!A353))</f>
        <v/>
      </c>
      <c r="B353" s="24" t="str">
        <f aca="false">IF(A353="","",Patients!B353&amp;"")</f>
        <v/>
      </c>
      <c r="C353" s="21" t="str">
        <f aca="false">IF(A353="","",Patients!G353)</f>
        <v/>
      </c>
      <c r="D353" s="18" t="str">
        <f aca="false">IF(A353="","",_xlfn.MAXIFS('Injection Sales'!$A$2:$A$501,'Injection Sales'!$B$2:$B$501,A353))</f>
        <v/>
      </c>
      <c r="E353" s="19" t="str">
        <f aca="true">IF(A353="","",TODAY()-D353)</f>
        <v/>
      </c>
      <c r="F353" s="21" t="str">
        <f aca="false">IF(A353="","",IF(E353&gt;=Settings!$B$9,Settings!$B$9&amp;" Day",IF(E353&gt;=Settings!$B$8,Settings!$B$8&amp;" Day","Due in "&amp;(Settings!$B$8-E353)&amp;" days")))</f>
        <v/>
      </c>
      <c r="G353" s="21" t="str">
        <f aca="false">IF(A353="","",Patients!H353)</f>
        <v/>
      </c>
      <c r="H353" s="1"/>
    </row>
    <row r="354" customFormat="false" ht="15" hidden="false" customHeight="false" outlineLevel="0" collapsed="false">
      <c r="A354" s="21" t="str">
        <f aca="false">IF(Patients!A354="","",IF(COUNTIF('Injection Sales'!$B$2:$B$501,Patients!A354)=0,"",Patients!A354))</f>
        <v/>
      </c>
      <c r="B354" s="24" t="str">
        <f aca="false">IF(A354="","",Patients!B354&amp;"")</f>
        <v/>
      </c>
      <c r="C354" s="21" t="str">
        <f aca="false">IF(A354="","",Patients!G354)</f>
        <v/>
      </c>
      <c r="D354" s="18" t="str">
        <f aca="false">IF(A354="","",_xlfn.MAXIFS('Injection Sales'!$A$2:$A$501,'Injection Sales'!$B$2:$B$501,A354))</f>
        <v/>
      </c>
      <c r="E354" s="19" t="str">
        <f aca="true">IF(A354="","",TODAY()-D354)</f>
        <v/>
      </c>
      <c r="F354" s="21" t="str">
        <f aca="false">IF(A354="","",IF(E354&gt;=Settings!$B$9,Settings!$B$9&amp;" Day",IF(E354&gt;=Settings!$B$8,Settings!$B$8&amp;" Day","Due in "&amp;(Settings!$B$8-E354)&amp;" days")))</f>
        <v/>
      </c>
      <c r="G354" s="21" t="str">
        <f aca="false">IF(A354="","",Patients!H354)</f>
        <v/>
      </c>
      <c r="H354" s="1"/>
    </row>
    <row r="355" customFormat="false" ht="15" hidden="false" customHeight="false" outlineLevel="0" collapsed="false">
      <c r="A355" s="21" t="str">
        <f aca="false">IF(Patients!A355="","",IF(COUNTIF('Injection Sales'!$B$2:$B$501,Patients!A355)=0,"",Patients!A355))</f>
        <v/>
      </c>
      <c r="B355" s="24" t="str">
        <f aca="false">IF(A355="","",Patients!B355&amp;"")</f>
        <v/>
      </c>
      <c r="C355" s="21" t="str">
        <f aca="false">IF(A355="","",Patients!G355)</f>
        <v/>
      </c>
      <c r="D355" s="18" t="str">
        <f aca="false">IF(A355="","",_xlfn.MAXIFS('Injection Sales'!$A$2:$A$501,'Injection Sales'!$B$2:$B$501,A355))</f>
        <v/>
      </c>
      <c r="E355" s="19" t="str">
        <f aca="true">IF(A355="","",TODAY()-D355)</f>
        <v/>
      </c>
      <c r="F355" s="21" t="str">
        <f aca="false">IF(A355="","",IF(E355&gt;=Settings!$B$9,Settings!$B$9&amp;" Day",IF(E355&gt;=Settings!$B$8,Settings!$B$8&amp;" Day","Due in "&amp;(Settings!$B$8-E355)&amp;" days")))</f>
        <v/>
      </c>
      <c r="G355" s="21" t="str">
        <f aca="false">IF(A355="","",Patients!H355)</f>
        <v/>
      </c>
      <c r="H355" s="1"/>
    </row>
    <row r="356" customFormat="false" ht="15" hidden="false" customHeight="false" outlineLevel="0" collapsed="false">
      <c r="A356" s="21" t="str">
        <f aca="false">IF(Patients!A356="","",IF(COUNTIF('Injection Sales'!$B$2:$B$501,Patients!A356)=0,"",Patients!A356))</f>
        <v/>
      </c>
      <c r="B356" s="24" t="str">
        <f aca="false">IF(A356="","",Patients!B356&amp;"")</f>
        <v/>
      </c>
      <c r="C356" s="21" t="str">
        <f aca="false">IF(A356="","",Patients!G356)</f>
        <v/>
      </c>
      <c r="D356" s="18" t="str">
        <f aca="false">IF(A356="","",_xlfn.MAXIFS('Injection Sales'!$A$2:$A$501,'Injection Sales'!$B$2:$B$501,A356))</f>
        <v/>
      </c>
      <c r="E356" s="19" t="str">
        <f aca="true">IF(A356="","",TODAY()-D356)</f>
        <v/>
      </c>
      <c r="F356" s="21" t="str">
        <f aca="false">IF(A356="","",IF(E356&gt;=Settings!$B$9,Settings!$B$9&amp;" Day",IF(E356&gt;=Settings!$B$8,Settings!$B$8&amp;" Day","Due in "&amp;(Settings!$B$8-E356)&amp;" days")))</f>
        <v/>
      </c>
      <c r="G356" s="21" t="str">
        <f aca="false">IF(A356="","",Patients!H356)</f>
        <v/>
      </c>
      <c r="H356" s="1"/>
    </row>
    <row r="357" customFormat="false" ht="15" hidden="false" customHeight="false" outlineLevel="0" collapsed="false">
      <c r="A357" s="21" t="str">
        <f aca="false">IF(Patients!A357="","",IF(COUNTIF('Injection Sales'!$B$2:$B$501,Patients!A357)=0,"",Patients!A357))</f>
        <v/>
      </c>
      <c r="B357" s="24" t="str">
        <f aca="false">IF(A357="","",Patients!B357&amp;"")</f>
        <v/>
      </c>
      <c r="C357" s="21" t="str">
        <f aca="false">IF(A357="","",Patients!G357)</f>
        <v/>
      </c>
      <c r="D357" s="18" t="str">
        <f aca="false">IF(A357="","",_xlfn.MAXIFS('Injection Sales'!$A$2:$A$501,'Injection Sales'!$B$2:$B$501,A357))</f>
        <v/>
      </c>
      <c r="E357" s="19" t="str">
        <f aca="true">IF(A357="","",TODAY()-D357)</f>
        <v/>
      </c>
      <c r="F357" s="21" t="str">
        <f aca="false">IF(A357="","",IF(E357&gt;=Settings!$B$9,Settings!$B$9&amp;" Day",IF(E357&gt;=Settings!$B$8,Settings!$B$8&amp;" Day","Due in "&amp;(Settings!$B$8-E357)&amp;" days")))</f>
        <v/>
      </c>
      <c r="G357" s="21" t="str">
        <f aca="false">IF(A357="","",Patients!H357)</f>
        <v/>
      </c>
      <c r="H357" s="1"/>
    </row>
    <row r="358" customFormat="false" ht="15" hidden="false" customHeight="false" outlineLevel="0" collapsed="false">
      <c r="A358" s="21" t="str">
        <f aca="false">IF(Patients!A358="","",IF(COUNTIF('Injection Sales'!$B$2:$B$501,Patients!A358)=0,"",Patients!A358))</f>
        <v/>
      </c>
      <c r="B358" s="24" t="str">
        <f aca="false">IF(A358="","",Patients!B358&amp;"")</f>
        <v/>
      </c>
      <c r="C358" s="21" t="str">
        <f aca="false">IF(A358="","",Patients!G358)</f>
        <v/>
      </c>
      <c r="D358" s="18" t="str">
        <f aca="false">IF(A358="","",_xlfn.MAXIFS('Injection Sales'!$A$2:$A$501,'Injection Sales'!$B$2:$B$501,A358))</f>
        <v/>
      </c>
      <c r="E358" s="19" t="str">
        <f aca="true">IF(A358="","",TODAY()-D358)</f>
        <v/>
      </c>
      <c r="F358" s="21" t="str">
        <f aca="false">IF(A358="","",IF(E358&gt;=Settings!$B$9,Settings!$B$9&amp;" Day",IF(E358&gt;=Settings!$B$8,Settings!$B$8&amp;" Day","Due in "&amp;(Settings!$B$8-E358)&amp;" days")))</f>
        <v/>
      </c>
      <c r="G358" s="21" t="str">
        <f aca="false">IF(A358="","",Patients!H358)</f>
        <v/>
      </c>
      <c r="H358" s="1"/>
    </row>
    <row r="359" customFormat="false" ht="15" hidden="false" customHeight="false" outlineLevel="0" collapsed="false">
      <c r="A359" s="21" t="str">
        <f aca="false">IF(Patients!A359="","",IF(COUNTIF('Injection Sales'!$B$2:$B$501,Patients!A359)=0,"",Patients!A359))</f>
        <v/>
      </c>
      <c r="B359" s="24" t="str">
        <f aca="false">IF(A359="","",Patients!B359&amp;"")</f>
        <v/>
      </c>
      <c r="C359" s="21" t="str">
        <f aca="false">IF(A359="","",Patients!G359)</f>
        <v/>
      </c>
      <c r="D359" s="18" t="str">
        <f aca="false">IF(A359="","",_xlfn.MAXIFS('Injection Sales'!$A$2:$A$501,'Injection Sales'!$B$2:$B$501,A359))</f>
        <v/>
      </c>
      <c r="E359" s="19" t="str">
        <f aca="true">IF(A359="","",TODAY()-D359)</f>
        <v/>
      </c>
      <c r="F359" s="21" t="str">
        <f aca="false">IF(A359="","",IF(E359&gt;=Settings!$B$9,Settings!$B$9&amp;" Day",IF(E359&gt;=Settings!$B$8,Settings!$B$8&amp;" Day","Due in "&amp;(Settings!$B$8-E359)&amp;" days")))</f>
        <v/>
      </c>
      <c r="G359" s="21" t="str">
        <f aca="false">IF(A359="","",Patients!H359)</f>
        <v/>
      </c>
      <c r="H359" s="1"/>
    </row>
    <row r="360" customFormat="false" ht="15" hidden="false" customHeight="false" outlineLevel="0" collapsed="false">
      <c r="A360" s="21" t="str">
        <f aca="false">IF(Patients!A360="","",IF(COUNTIF('Injection Sales'!$B$2:$B$501,Patients!A360)=0,"",Patients!A360))</f>
        <v/>
      </c>
      <c r="B360" s="24" t="str">
        <f aca="false">IF(A360="","",Patients!B360&amp;"")</f>
        <v/>
      </c>
      <c r="C360" s="21" t="str">
        <f aca="false">IF(A360="","",Patients!G360)</f>
        <v/>
      </c>
      <c r="D360" s="18" t="str">
        <f aca="false">IF(A360="","",_xlfn.MAXIFS('Injection Sales'!$A$2:$A$501,'Injection Sales'!$B$2:$B$501,A360))</f>
        <v/>
      </c>
      <c r="E360" s="19" t="str">
        <f aca="true">IF(A360="","",TODAY()-D360)</f>
        <v/>
      </c>
      <c r="F360" s="21" t="str">
        <f aca="false">IF(A360="","",IF(E360&gt;=Settings!$B$9,Settings!$B$9&amp;" Day",IF(E360&gt;=Settings!$B$8,Settings!$B$8&amp;" Day","Due in "&amp;(Settings!$B$8-E360)&amp;" days")))</f>
        <v/>
      </c>
      <c r="G360" s="21" t="str">
        <f aca="false">IF(A360="","",Patients!H360)</f>
        <v/>
      </c>
      <c r="H360" s="1"/>
    </row>
    <row r="361" customFormat="false" ht="15" hidden="false" customHeight="false" outlineLevel="0" collapsed="false">
      <c r="A361" s="21" t="str">
        <f aca="false">IF(Patients!A361="","",IF(COUNTIF('Injection Sales'!$B$2:$B$501,Patients!A361)=0,"",Patients!A361))</f>
        <v/>
      </c>
      <c r="B361" s="24" t="str">
        <f aca="false">IF(A361="","",Patients!B361&amp;"")</f>
        <v/>
      </c>
      <c r="C361" s="21" t="str">
        <f aca="false">IF(A361="","",Patients!G361)</f>
        <v/>
      </c>
      <c r="D361" s="18" t="str">
        <f aca="false">IF(A361="","",_xlfn.MAXIFS('Injection Sales'!$A$2:$A$501,'Injection Sales'!$B$2:$B$501,A361))</f>
        <v/>
      </c>
      <c r="E361" s="19" t="str">
        <f aca="true">IF(A361="","",TODAY()-D361)</f>
        <v/>
      </c>
      <c r="F361" s="21" t="str">
        <f aca="false">IF(A361="","",IF(E361&gt;=Settings!$B$9,Settings!$B$9&amp;" Day",IF(E361&gt;=Settings!$B$8,Settings!$B$8&amp;" Day","Due in "&amp;(Settings!$B$8-E361)&amp;" days")))</f>
        <v/>
      </c>
      <c r="G361" s="21" t="str">
        <f aca="false">IF(A361="","",Patients!H361)</f>
        <v/>
      </c>
      <c r="H361" s="1"/>
    </row>
    <row r="362" customFormat="false" ht="15" hidden="false" customHeight="false" outlineLevel="0" collapsed="false">
      <c r="A362" s="21" t="str">
        <f aca="false">IF(Patients!A362="","",IF(COUNTIF('Injection Sales'!$B$2:$B$501,Patients!A362)=0,"",Patients!A362))</f>
        <v/>
      </c>
      <c r="B362" s="24" t="str">
        <f aca="false">IF(A362="","",Patients!B362&amp;"")</f>
        <v/>
      </c>
      <c r="C362" s="21" t="str">
        <f aca="false">IF(A362="","",Patients!G362)</f>
        <v/>
      </c>
      <c r="D362" s="18" t="str">
        <f aca="false">IF(A362="","",_xlfn.MAXIFS('Injection Sales'!$A$2:$A$501,'Injection Sales'!$B$2:$B$501,A362))</f>
        <v/>
      </c>
      <c r="E362" s="19" t="str">
        <f aca="true">IF(A362="","",TODAY()-D362)</f>
        <v/>
      </c>
      <c r="F362" s="21" t="str">
        <f aca="false">IF(A362="","",IF(E362&gt;=Settings!$B$9,Settings!$B$9&amp;" Day",IF(E362&gt;=Settings!$B$8,Settings!$B$8&amp;" Day","Due in "&amp;(Settings!$B$8-E362)&amp;" days")))</f>
        <v/>
      </c>
      <c r="G362" s="21" t="str">
        <f aca="false">IF(A362="","",Patients!H362)</f>
        <v/>
      </c>
      <c r="H362" s="1"/>
    </row>
    <row r="363" customFormat="false" ht="15" hidden="false" customHeight="false" outlineLevel="0" collapsed="false">
      <c r="A363" s="21" t="str">
        <f aca="false">IF(Patients!A363="","",IF(COUNTIF('Injection Sales'!$B$2:$B$501,Patients!A363)=0,"",Patients!A363))</f>
        <v/>
      </c>
      <c r="B363" s="24" t="str">
        <f aca="false">IF(A363="","",Patients!B363&amp;"")</f>
        <v/>
      </c>
      <c r="C363" s="21" t="str">
        <f aca="false">IF(A363="","",Patients!G363)</f>
        <v/>
      </c>
      <c r="D363" s="18" t="str">
        <f aca="false">IF(A363="","",_xlfn.MAXIFS('Injection Sales'!$A$2:$A$501,'Injection Sales'!$B$2:$B$501,A363))</f>
        <v/>
      </c>
      <c r="E363" s="19" t="str">
        <f aca="true">IF(A363="","",TODAY()-D363)</f>
        <v/>
      </c>
      <c r="F363" s="21" t="str">
        <f aca="false">IF(A363="","",IF(E363&gt;=Settings!$B$9,Settings!$B$9&amp;" Day",IF(E363&gt;=Settings!$B$8,Settings!$B$8&amp;" Day","Due in "&amp;(Settings!$B$8-E363)&amp;" days")))</f>
        <v/>
      </c>
      <c r="G363" s="21" t="str">
        <f aca="false">IF(A363="","",Patients!H363)</f>
        <v/>
      </c>
      <c r="H363" s="1"/>
    </row>
    <row r="364" customFormat="false" ht="15" hidden="false" customHeight="false" outlineLevel="0" collapsed="false">
      <c r="A364" s="21" t="str">
        <f aca="false">IF(Patients!A364="","",IF(COUNTIF('Injection Sales'!$B$2:$B$501,Patients!A364)=0,"",Patients!A364))</f>
        <v/>
      </c>
      <c r="B364" s="24" t="str">
        <f aca="false">IF(A364="","",Patients!B364&amp;"")</f>
        <v/>
      </c>
      <c r="C364" s="21" t="str">
        <f aca="false">IF(A364="","",Patients!G364)</f>
        <v/>
      </c>
      <c r="D364" s="18" t="str">
        <f aca="false">IF(A364="","",_xlfn.MAXIFS('Injection Sales'!$A$2:$A$501,'Injection Sales'!$B$2:$B$501,A364))</f>
        <v/>
      </c>
      <c r="E364" s="19" t="str">
        <f aca="true">IF(A364="","",TODAY()-D364)</f>
        <v/>
      </c>
      <c r="F364" s="21" t="str">
        <f aca="false">IF(A364="","",IF(E364&gt;=Settings!$B$9,Settings!$B$9&amp;" Day",IF(E364&gt;=Settings!$B$8,Settings!$B$8&amp;" Day","Due in "&amp;(Settings!$B$8-E364)&amp;" days")))</f>
        <v/>
      </c>
      <c r="G364" s="21" t="str">
        <f aca="false">IF(A364="","",Patients!H364)</f>
        <v/>
      </c>
      <c r="H364" s="1"/>
    </row>
    <row r="365" customFormat="false" ht="15" hidden="false" customHeight="false" outlineLevel="0" collapsed="false">
      <c r="A365" s="21" t="str">
        <f aca="false">IF(Patients!A365="","",IF(COUNTIF('Injection Sales'!$B$2:$B$501,Patients!A365)=0,"",Patients!A365))</f>
        <v/>
      </c>
      <c r="B365" s="24" t="str">
        <f aca="false">IF(A365="","",Patients!B365&amp;"")</f>
        <v/>
      </c>
      <c r="C365" s="21" t="str">
        <f aca="false">IF(A365="","",Patients!G365)</f>
        <v/>
      </c>
      <c r="D365" s="18" t="str">
        <f aca="false">IF(A365="","",_xlfn.MAXIFS('Injection Sales'!$A$2:$A$501,'Injection Sales'!$B$2:$B$501,A365))</f>
        <v/>
      </c>
      <c r="E365" s="19" t="str">
        <f aca="true">IF(A365="","",TODAY()-D365)</f>
        <v/>
      </c>
      <c r="F365" s="21" t="str">
        <f aca="false">IF(A365="","",IF(E365&gt;=Settings!$B$9,Settings!$B$9&amp;" Day",IF(E365&gt;=Settings!$B$8,Settings!$B$8&amp;" Day","Due in "&amp;(Settings!$B$8-E365)&amp;" days")))</f>
        <v/>
      </c>
      <c r="G365" s="21" t="str">
        <f aca="false">IF(A365="","",Patients!H365)</f>
        <v/>
      </c>
      <c r="H365" s="1"/>
    </row>
    <row r="366" customFormat="false" ht="15" hidden="false" customHeight="false" outlineLevel="0" collapsed="false">
      <c r="A366" s="21" t="str">
        <f aca="false">IF(Patients!A366="","",IF(COUNTIF('Injection Sales'!$B$2:$B$501,Patients!A366)=0,"",Patients!A366))</f>
        <v/>
      </c>
      <c r="B366" s="24" t="str">
        <f aca="false">IF(A366="","",Patients!B366&amp;"")</f>
        <v/>
      </c>
      <c r="C366" s="21" t="str">
        <f aca="false">IF(A366="","",Patients!G366)</f>
        <v/>
      </c>
      <c r="D366" s="18" t="str">
        <f aca="false">IF(A366="","",_xlfn.MAXIFS('Injection Sales'!$A$2:$A$501,'Injection Sales'!$B$2:$B$501,A366))</f>
        <v/>
      </c>
      <c r="E366" s="19" t="str">
        <f aca="true">IF(A366="","",TODAY()-D366)</f>
        <v/>
      </c>
      <c r="F366" s="21" t="str">
        <f aca="false">IF(A366="","",IF(E366&gt;=Settings!$B$9,Settings!$B$9&amp;" Day",IF(E366&gt;=Settings!$B$8,Settings!$B$8&amp;" Day","Due in "&amp;(Settings!$B$8-E366)&amp;" days")))</f>
        <v/>
      </c>
      <c r="G366" s="21" t="str">
        <f aca="false">IF(A366="","",Patients!H366)</f>
        <v/>
      </c>
      <c r="H366" s="1"/>
    </row>
    <row r="367" customFormat="false" ht="15" hidden="false" customHeight="false" outlineLevel="0" collapsed="false">
      <c r="A367" s="21" t="str">
        <f aca="false">IF(Patients!A367="","",IF(COUNTIF('Injection Sales'!$B$2:$B$501,Patients!A367)=0,"",Patients!A367))</f>
        <v/>
      </c>
      <c r="B367" s="24" t="str">
        <f aca="false">IF(A367="","",Patients!B367&amp;"")</f>
        <v/>
      </c>
      <c r="C367" s="21" t="str">
        <f aca="false">IF(A367="","",Patients!G367)</f>
        <v/>
      </c>
      <c r="D367" s="18" t="str">
        <f aca="false">IF(A367="","",_xlfn.MAXIFS('Injection Sales'!$A$2:$A$501,'Injection Sales'!$B$2:$B$501,A367))</f>
        <v/>
      </c>
      <c r="E367" s="19" t="str">
        <f aca="true">IF(A367="","",TODAY()-D367)</f>
        <v/>
      </c>
      <c r="F367" s="21" t="str">
        <f aca="false">IF(A367="","",IF(E367&gt;=Settings!$B$9,Settings!$B$9&amp;" Day",IF(E367&gt;=Settings!$B$8,Settings!$B$8&amp;" Day","Due in "&amp;(Settings!$B$8-E367)&amp;" days")))</f>
        <v/>
      </c>
      <c r="G367" s="21" t="str">
        <f aca="false">IF(A367="","",Patients!H367)</f>
        <v/>
      </c>
      <c r="H367" s="1"/>
    </row>
    <row r="368" customFormat="false" ht="15" hidden="false" customHeight="false" outlineLevel="0" collapsed="false">
      <c r="A368" s="21" t="str">
        <f aca="false">IF(Patients!A368="","",IF(COUNTIF('Injection Sales'!$B$2:$B$501,Patients!A368)=0,"",Patients!A368))</f>
        <v/>
      </c>
      <c r="B368" s="24" t="str">
        <f aca="false">IF(A368="","",Patients!B368&amp;"")</f>
        <v/>
      </c>
      <c r="C368" s="21" t="str">
        <f aca="false">IF(A368="","",Patients!G368)</f>
        <v/>
      </c>
      <c r="D368" s="18" t="str">
        <f aca="false">IF(A368="","",_xlfn.MAXIFS('Injection Sales'!$A$2:$A$501,'Injection Sales'!$B$2:$B$501,A368))</f>
        <v/>
      </c>
      <c r="E368" s="19" t="str">
        <f aca="true">IF(A368="","",TODAY()-D368)</f>
        <v/>
      </c>
      <c r="F368" s="21" t="str">
        <f aca="false">IF(A368="","",IF(E368&gt;=Settings!$B$9,Settings!$B$9&amp;" Day",IF(E368&gt;=Settings!$B$8,Settings!$B$8&amp;" Day","Due in "&amp;(Settings!$B$8-E368)&amp;" days")))</f>
        <v/>
      </c>
      <c r="G368" s="21" t="str">
        <f aca="false">IF(A368="","",Patients!H368)</f>
        <v/>
      </c>
      <c r="H368" s="1"/>
    </row>
    <row r="369" customFormat="false" ht="15" hidden="false" customHeight="false" outlineLevel="0" collapsed="false">
      <c r="A369" s="21" t="str">
        <f aca="false">IF(Patients!A369="","",IF(COUNTIF('Injection Sales'!$B$2:$B$501,Patients!A369)=0,"",Patients!A369))</f>
        <v/>
      </c>
      <c r="B369" s="24" t="str">
        <f aca="false">IF(A369="","",Patients!B369&amp;"")</f>
        <v/>
      </c>
      <c r="C369" s="21" t="str">
        <f aca="false">IF(A369="","",Patients!G369)</f>
        <v/>
      </c>
      <c r="D369" s="18" t="str">
        <f aca="false">IF(A369="","",_xlfn.MAXIFS('Injection Sales'!$A$2:$A$501,'Injection Sales'!$B$2:$B$501,A369))</f>
        <v/>
      </c>
      <c r="E369" s="19" t="str">
        <f aca="true">IF(A369="","",TODAY()-D369)</f>
        <v/>
      </c>
      <c r="F369" s="21" t="str">
        <f aca="false">IF(A369="","",IF(E369&gt;=Settings!$B$9,Settings!$B$9&amp;" Day",IF(E369&gt;=Settings!$B$8,Settings!$B$8&amp;" Day","Due in "&amp;(Settings!$B$8-E369)&amp;" days")))</f>
        <v/>
      </c>
      <c r="G369" s="21" t="str">
        <f aca="false">IF(A369="","",Patients!H369)</f>
        <v/>
      </c>
      <c r="H369" s="1"/>
    </row>
    <row r="370" customFormat="false" ht="15" hidden="false" customHeight="false" outlineLevel="0" collapsed="false">
      <c r="A370" s="21" t="str">
        <f aca="false">IF(Patients!A370="","",IF(COUNTIF('Injection Sales'!$B$2:$B$501,Patients!A370)=0,"",Patients!A370))</f>
        <v/>
      </c>
      <c r="B370" s="24" t="str">
        <f aca="false">IF(A370="","",Patients!B370&amp;"")</f>
        <v/>
      </c>
      <c r="C370" s="21" t="str">
        <f aca="false">IF(A370="","",Patients!G370)</f>
        <v/>
      </c>
      <c r="D370" s="18" t="str">
        <f aca="false">IF(A370="","",_xlfn.MAXIFS('Injection Sales'!$A$2:$A$501,'Injection Sales'!$B$2:$B$501,A370))</f>
        <v/>
      </c>
      <c r="E370" s="19" t="str">
        <f aca="true">IF(A370="","",TODAY()-D370)</f>
        <v/>
      </c>
      <c r="F370" s="21" t="str">
        <f aca="false">IF(A370="","",IF(E370&gt;=Settings!$B$9,Settings!$B$9&amp;" Day",IF(E370&gt;=Settings!$B$8,Settings!$B$8&amp;" Day","Due in "&amp;(Settings!$B$8-E370)&amp;" days")))</f>
        <v/>
      </c>
      <c r="G370" s="21" t="str">
        <f aca="false">IF(A370="","",Patients!H370)</f>
        <v/>
      </c>
      <c r="H370" s="1"/>
    </row>
    <row r="371" customFormat="false" ht="15" hidden="false" customHeight="false" outlineLevel="0" collapsed="false">
      <c r="A371" s="21" t="str">
        <f aca="false">IF(Patients!A371="","",IF(COUNTIF('Injection Sales'!$B$2:$B$501,Patients!A371)=0,"",Patients!A371))</f>
        <v/>
      </c>
      <c r="B371" s="24" t="str">
        <f aca="false">IF(A371="","",Patients!B371&amp;"")</f>
        <v/>
      </c>
      <c r="C371" s="21" t="str">
        <f aca="false">IF(A371="","",Patients!G371)</f>
        <v/>
      </c>
      <c r="D371" s="18" t="str">
        <f aca="false">IF(A371="","",_xlfn.MAXIFS('Injection Sales'!$A$2:$A$501,'Injection Sales'!$B$2:$B$501,A371))</f>
        <v/>
      </c>
      <c r="E371" s="19" t="str">
        <f aca="true">IF(A371="","",TODAY()-D371)</f>
        <v/>
      </c>
      <c r="F371" s="21" t="str">
        <f aca="false">IF(A371="","",IF(E371&gt;=Settings!$B$9,Settings!$B$9&amp;" Day",IF(E371&gt;=Settings!$B$8,Settings!$B$8&amp;" Day","Due in "&amp;(Settings!$B$8-E371)&amp;" days")))</f>
        <v/>
      </c>
      <c r="G371" s="21" t="str">
        <f aca="false">IF(A371="","",Patients!H371)</f>
        <v/>
      </c>
      <c r="H371" s="1"/>
    </row>
    <row r="372" customFormat="false" ht="15" hidden="false" customHeight="false" outlineLevel="0" collapsed="false">
      <c r="A372" s="21" t="str">
        <f aca="false">IF(Patients!A372="","",IF(COUNTIF('Injection Sales'!$B$2:$B$501,Patients!A372)=0,"",Patients!A372))</f>
        <v/>
      </c>
      <c r="B372" s="24" t="str">
        <f aca="false">IF(A372="","",Patients!B372&amp;"")</f>
        <v/>
      </c>
      <c r="C372" s="21" t="str">
        <f aca="false">IF(A372="","",Patients!G372)</f>
        <v/>
      </c>
      <c r="D372" s="18" t="str">
        <f aca="false">IF(A372="","",_xlfn.MAXIFS('Injection Sales'!$A$2:$A$501,'Injection Sales'!$B$2:$B$501,A372))</f>
        <v/>
      </c>
      <c r="E372" s="19" t="str">
        <f aca="true">IF(A372="","",TODAY()-D372)</f>
        <v/>
      </c>
      <c r="F372" s="21" t="str">
        <f aca="false">IF(A372="","",IF(E372&gt;=Settings!$B$9,Settings!$B$9&amp;" Day",IF(E372&gt;=Settings!$B$8,Settings!$B$8&amp;" Day","Due in "&amp;(Settings!$B$8-E372)&amp;" days")))</f>
        <v/>
      </c>
      <c r="G372" s="21" t="str">
        <f aca="false">IF(A372="","",Patients!H372)</f>
        <v/>
      </c>
      <c r="H372" s="1"/>
    </row>
    <row r="373" customFormat="false" ht="15" hidden="false" customHeight="false" outlineLevel="0" collapsed="false">
      <c r="A373" s="21" t="str">
        <f aca="false">IF(Patients!A373="","",IF(COUNTIF('Injection Sales'!$B$2:$B$501,Patients!A373)=0,"",Patients!A373))</f>
        <v/>
      </c>
      <c r="B373" s="24" t="str">
        <f aca="false">IF(A373="","",Patients!B373&amp;"")</f>
        <v/>
      </c>
      <c r="C373" s="21" t="str">
        <f aca="false">IF(A373="","",Patients!G373)</f>
        <v/>
      </c>
      <c r="D373" s="18" t="str">
        <f aca="false">IF(A373="","",_xlfn.MAXIFS('Injection Sales'!$A$2:$A$501,'Injection Sales'!$B$2:$B$501,A373))</f>
        <v/>
      </c>
      <c r="E373" s="19" t="str">
        <f aca="true">IF(A373="","",TODAY()-D373)</f>
        <v/>
      </c>
      <c r="F373" s="21" t="str">
        <f aca="false">IF(A373="","",IF(E373&gt;=Settings!$B$9,Settings!$B$9&amp;" Day",IF(E373&gt;=Settings!$B$8,Settings!$B$8&amp;" Day","Due in "&amp;(Settings!$B$8-E373)&amp;" days")))</f>
        <v/>
      </c>
      <c r="G373" s="21" t="str">
        <f aca="false">IF(A373="","",Patients!H373)</f>
        <v/>
      </c>
      <c r="H373" s="1"/>
    </row>
    <row r="374" customFormat="false" ht="15" hidden="false" customHeight="false" outlineLevel="0" collapsed="false">
      <c r="A374" s="21" t="str">
        <f aca="false">IF(Patients!A374="","",IF(COUNTIF('Injection Sales'!$B$2:$B$501,Patients!A374)=0,"",Patients!A374))</f>
        <v/>
      </c>
      <c r="B374" s="24" t="str">
        <f aca="false">IF(A374="","",Patients!B374&amp;"")</f>
        <v/>
      </c>
      <c r="C374" s="21" t="str">
        <f aca="false">IF(A374="","",Patients!G374)</f>
        <v/>
      </c>
      <c r="D374" s="18" t="str">
        <f aca="false">IF(A374="","",_xlfn.MAXIFS('Injection Sales'!$A$2:$A$501,'Injection Sales'!$B$2:$B$501,A374))</f>
        <v/>
      </c>
      <c r="E374" s="19" t="str">
        <f aca="true">IF(A374="","",TODAY()-D374)</f>
        <v/>
      </c>
      <c r="F374" s="21" t="str">
        <f aca="false">IF(A374="","",IF(E374&gt;=Settings!$B$9,Settings!$B$9&amp;" Day",IF(E374&gt;=Settings!$B$8,Settings!$B$8&amp;" Day","Due in "&amp;(Settings!$B$8-E374)&amp;" days")))</f>
        <v/>
      </c>
      <c r="G374" s="21" t="str">
        <f aca="false">IF(A374="","",Patients!H374)</f>
        <v/>
      </c>
      <c r="H374" s="1"/>
    </row>
    <row r="375" customFormat="false" ht="15" hidden="false" customHeight="false" outlineLevel="0" collapsed="false">
      <c r="A375" s="21" t="str">
        <f aca="false">IF(Patients!A375="","",IF(COUNTIF('Injection Sales'!$B$2:$B$501,Patients!A375)=0,"",Patients!A375))</f>
        <v/>
      </c>
      <c r="B375" s="24" t="str">
        <f aca="false">IF(A375="","",Patients!B375&amp;"")</f>
        <v/>
      </c>
      <c r="C375" s="21" t="str">
        <f aca="false">IF(A375="","",Patients!G375)</f>
        <v/>
      </c>
      <c r="D375" s="18" t="str">
        <f aca="false">IF(A375="","",_xlfn.MAXIFS('Injection Sales'!$A$2:$A$501,'Injection Sales'!$B$2:$B$501,A375))</f>
        <v/>
      </c>
      <c r="E375" s="19" t="str">
        <f aca="true">IF(A375="","",TODAY()-D375)</f>
        <v/>
      </c>
      <c r="F375" s="21" t="str">
        <f aca="false">IF(A375="","",IF(E375&gt;=Settings!$B$9,Settings!$B$9&amp;" Day",IF(E375&gt;=Settings!$B$8,Settings!$B$8&amp;" Day","Due in "&amp;(Settings!$B$8-E375)&amp;" days")))</f>
        <v/>
      </c>
      <c r="G375" s="21" t="str">
        <f aca="false">IF(A375="","",Patients!H375)</f>
        <v/>
      </c>
      <c r="H375" s="1"/>
    </row>
    <row r="376" customFormat="false" ht="15" hidden="false" customHeight="false" outlineLevel="0" collapsed="false">
      <c r="A376" s="21" t="str">
        <f aca="false">IF(Patients!A376="","",IF(COUNTIF('Injection Sales'!$B$2:$B$501,Patients!A376)=0,"",Patients!A376))</f>
        <v/>
      </c>
      <c r="B376" s="24" t="str">
        <f aca="false">IF(A376="","",Patients!B376&amp;"")</f>
        <v/>
      </c>
      <c r="C376" s="21" t="str">
        <f aca="false">IF(A376="","",Patients!G376)</f>
        <v/>
      </c>
      <c r="D376" s="18" t="str">
        <f aca="false">IF(A376="","",_xlfn.MAXIFS('Injection Sales'!$A$2:$A$501,'Injection Sales'!$B$2:$B$501,A376))</f>
        <v/>
      </c>
      <c r="E376" s="19" t="str">
        <f aca="true">IF(A376="","",TODAY()-D376)</f>
        <v/>
      </c>
      <c r="F376" s="21" t="str">
        <f aca="false">IF(A376="","",IF(E376&gt;=Settings!$B$9,Settings!$B$9&amp;" Day",IF(E376&gt;=Settings!$B$8,Settings!$B$8&amp;" Day","Due in "&amp;(Settings!$B$8-E376)&amp;" days")))</f>
        <v/>
      </c>
      <c r="G376" s="21" t="str">
        <f aca="false">IF(A376="","",Patients!H376)</f>
        <v/>
      </c>
      <c r="H376" s="1"/>
    </row>
    <row r="377" customFormat="false" ht="15" hidden="false" customHeight="false" outlineLevel="0" collapsed="false">
      <c r="A377" s="21" t="str">
        <f aca="false">IF(Patients!A377="","",IF(COUNTIF('Injection Sales'!$B$2:$B$501,Patients!A377)=0,"",Patients!A377))</f>
        <v/>
      </c>
      <c r="B377" s="24" t="str">
        <f aca="false">IF(A377="","",Patients!B377&amp;"")</f>
        <v/>
      </c>
      <c r="C377" s="21" t="str">
        <f aca="false">IF(A377="","",Patients!G377)</f>
        <v/>
      </c>
      <c r="D377" s="18" t="str">
        <f aca="false">IF(A377="","",_xlfn.MAXIFS('Injection Sales'!$A$2:$A$501,'Injection Sales'!$B$2:$B$501,A377))</f>
        <v/>
      </c>
      <c r="E377" s="19" t="str">
        <f aca="true">IF(A377="","",TODAY()-D377)</f>
        <v/>
      </c>
      <c r="F377" s="21" t="str">
        <f aca="false">IF(A377="","",IF(E377&gt;=Settings!$B$9,Settings!$B$9&amp;" Day",IF(E377&gt;=Settings!$B$8,Settings!$B$8&amp;" Day","Due in "&amp;(Settings!$B$8-E377)&amp;" days")))</f>
        <v/>
      </c>
      <c r="G377" s="21" t="str">
        <f aca="false">IF(A377="","",Patients!H377)</f>
        <v/>
      </c>
      <c r="H377" s="1"/>
    </row>
    <row r="378" customFormat="false" ht="15" hidden="false" customHeight="false" outlineLevel="0" collapsed="false">
      <c r="A378" s="21" t="str">
        <f aca="false">IF(Patients!A378="","",IF(COUNTIF('Injection Sales'!$B$2:$B$501,Patients!A378)=0,"",Patients!A378))</f>
        <v/>
      </c>
      <c r="B378" s="24" t="str">
        <f aca="false">IF(A378="","",Patients!B378&amp;"")</f>
        <v/>
      </c>
      <c r="C378" s="21" t="str">
        <f aca="false">IF(A378="","",Patients!G378)</f>
        <v/>
      </c>
      <c r="D378" s="18" t="str">
        <f aca="false">IF(A378="","",_xlfn.MAXIFS('Injection Sales'!$A$2:$A$501,'Injection Sales'!$B$2:$B$501,A378))</f>
        <v/>
      </c>
      <c r="E378" s="19" t="str">
        <f aca="true">IF(A378="","",TODAY()-D378)</f>
        <v/>
      </c>
      <c r="F378" s="21" t="str">
        <f aca="false">IF(A378="","",IF(E378&gt;=Settings!$B$9,Settings!$B$9&amp;" Day",IF(E378&gt;=Settings!$B$8,Settings!$B$8&amp;" Day","Due in "&amp;(Settings!$B$8-E378)&amp;" days")))</f>
        <v/>
      </c>
      <c r="G378" s="21" t="str">
        <f aca="false">IF(A378="","",Patients!H378)</f>
        <v/>
      </c>
      <c r="H378" s="1"/>
    </row>
    <row r="379" customFormat="false" ht="15" hidden="false" customHeight="false" outlineLevel="0" collapsed="false">
      <c r="A379" s="21" t="str">
        <f aca="false">IF(Patients!A379="","",IF(COUNTIF('Injection Sales'!$B$2:$B$501,Patients!A379)=0,"",Patients!A379))</f>
        <v/>
      </c>
      <c r="B379" s="24" t="str">
        <f aca="false">IF(A379="","",Patients!B379&amp;"")</f>
        <v/>
      </c>
      <c r="C379" s="21" t="str">
        <f aca="false">IF(A379="","",Patients!G379)</f>
        <v/>
      </c>
      <c r="D379" s="18" t="str">
        <f aca="false">IF(A379="","",_xlfn.MAXIFS('Injection Sales'!$A$2:$A$501,'Injection Sales'!$B$2:$B$501,A379))</f>
        <v/>
      </c>
      <c r="E379" s="19" t="str">
        <f aca="true">IF(A379="","",TODAY()-D379)</f>
        <v/>
      </c>
      <c r="F379" s="21" t="str">
        <f aca="false">IF(A379="","",IF(E379&gt;=Settings!$B$9,Settings!$B$9&amp;" Day",IF(E379&gt;=Settings!$B$8,Settings!$B$8&amp;" Day","Due in "&amp;(Settings!$B$8-E379)&amp;" days")))</f>
        <v/>
      </c>
      <c r="G379" s="21" t="str">
        <f aca="false">IF(A379="","",Patients!H379)</f>
        <v/>
      </c>
      <c r="H379" s="1"/>
    </row>
    <row r="380" customFormat="false" ht="15" hidden="false" customHeight="false" outlineLevel="0" collapsed="false">
      <c r="A380" s="21" t="str">
        <f aca="false">IF(Patients!A380="","",IF(COUNTIF('Injection Sales'!$B$2:$B$501,Patients!A380)=0,"",Patients!A380))</f>
        <v/>
      </c>
      <c r="B380" s="24" t="str">
        <f aca="false">IF(A380="","",Patients!B380&amp;"")</f>
        <v/>
      </c>
      <c r="C380" s="21" t="str">
        <f aca="false">IF(A380="","",Patients!G380)</f>
        <v/>
      </c>
      <c r="D380" s="18" t="str">
        <f aca="false">IF(A380="","",_xlfn.MAXIFS('Injection Sales'!$A$2:$A$501,'Injection Sales'!$B$2:$B$501,A380))</f>
        <v/>
      </c>
      <c r="E380" s="19" t="str">
        <f aca="true">IF(A380="","",TODAY()-D380)</f>
        <v/>
      </c>
      <c r="F380" s="21" t="str">
        <f aca="false">IF(A380="","",IF(E380&gt;=Settings!$B$9,Settings!$B$9&amp;" Day",IF(E380&gt;=Settings!$B$8,Settings!$B$8&amp;" Day","Due in "&amp;(Settings!$B$8-E380)&amp;" days")))</f>
        <v/>
      </c>
      <c r="G380" s="21" t="str">
        <f aca="false">IF(A380="","",Patients!H380)</f>
        <v/>
      </c>
      <c r="H380" s="1"/>
    </row>
    <row r="381" customFormat="false" ht="15" hidden="false" customHeight="false" outlineLevel="0" collapsed="false">
      <c r="A381" s="21" t="str">
        <f aca="false">IF(Patients!A381="","",IF(COUNTIF('Injection Sales'!$B$2:$B$501,Patients!A381)=0,"",Patients!A381))</f>
        <v/>
      </c>
      <c r="B381" s="24" t="str">
        <f aca="false">IF(A381="","",Patients!B381&amp;"")</f>
        <v/>
      </c>
      <c r="C381" s="21" t="str">
        <f aca="false">IF(A381="","",Patients!G381)</f>
        <v/>
      </c>
      <c r="D381" s="18" t="str">
        <f aca="false">IF(A381="","",_xlfn.MAXIFS('Injection Sales'!$A$2:$A$501,'Injection Sales'!$B$2:$B$501,A381))</f>
        <v/>
      </c>
      <c r="E381" s="19" t="str">
        <f aca="true">IF(A381="","",TODAY()-D381)</f>
        <v/>
      </c>
      <c r="F381" s="21" t="str">
        <f aca="false">IF(A381="","",IF(E381&gt;=Settings!$B$9,Settings!$B$9&amp;" Day",IF(E381&gt;=Settings!$B$8,Settings!$B$8&amp;" Day","Due in "&amp;(Settings!$B$8-E381)&amp;" days")))</f>
        <v/>
      </c>
      <c r="G381" s="21" t="str">
        <f aca="false">IF(A381="","",Patients!H381)</f>
        <v/>
      </c>
      <c r="H381" s="1"/>
    </row>
    <row r="382" customFormat="false" ht="15" hidden="false" customHeight="false" outlineLevel="0" collapsed="false">
      <c r="A382" s="21" t="str">
        <f aca="false">IF(Patients!A382="","",IF(COUNTIF('Injection Sales'!$B$2:$B$501,Patients!A382)=0,"",Patients!A382))</f>
        <v/>
      </c>
      <c r="B382" s="24" t="str">
        <f aca="false">IF(A382="","",Patients!B382&amp;"")</f>
        <v/>
      </c>
      <c r="C382" s="21" t="str">
        <f aca="false">IF(A382="","",Patients!G382)</f>
        <v/>
      </c>
      <c r="D382" s="18" t="str">
        <f aca="false">IF(A382="","",_xlfn.MAXIFS('Injection Sales'!$A$2:$A$501,'Injection Sales'!$B$2:$B$501,A382))</f>
        <v/>
      </c>
      <c r="E382" s="19" t="str">
        <f aca="true">IF(A382="","",TODAY()-D382)</f>
        <v/>
      </c>
      <c r="F382" s="21" t="str">
        <f aca="false">IF(A382="","",IF(E382&gt;=Settings!$B$9,Settings!$B$9&amp;" Day",IF(E382&gt;=Settings!$B$8,Settings!$B$8&amp;" Day","Due in "&amp;(Settings!$B$8-E382)&amp;" days")))</f>
        <v/>
      </c>
      <c r="G382" s="21" t="str">
        <f aca="false">IF(A382="","",Patients!H382)</f>
        <v/>
      </c>
      <c r="H382" s="1"/>
    </row>
    <row r="383" customFormat="false" ht="15" hidden="false" customHeight="false" outlineLevel="0" collapsed="false">
      <c r="A383" s="21" t="str">
        <f aca="false">IF(Patients!A383="","",IF(COUNTIF('Injection Sales'!$B$2:$B$501,Patients!A383)=0,"",Patients!A383))</f>
        <v/>
      </c>
      <c r="B383" s="24" t="str">
        <f aca="false">IF(A383="","",Patients!B383&amp;"")</f>
        <v/>
      </c>
      <c r="C383" s="21" t="str">
        <f aca="false">IF(A383="","",Patients!G383)</f>
        <v/>
      </c>
      <c r="D383" s="18" t="str">
        <f aca="false">IF(A383="","",_xlfn.MAXIFS('Injection Sales'!$A$2:$A$501,'Injection Sales'!$B$2:$B$501,A383))</f>
        <v/>
      </c>
      <c r="E383" s="19" t="str">
        <f aca="true">IF(A383="","",TODAY()-D383)</f>
        <v/>
      </c>
      <c r="F383" s="21" t="str">
        <f aca="false">IF(A383="","",IF(E383&gt;=Settings!$B$9,Settings!$B$9&amp;" Day",IF(E383&gt;=Settings!$B$8,Settings!$B$8&amp;" Day","Due in "&amp;(Settings!$B$8-E383)&amp;" days")))</f>
        <v/>
      </c>
      <c r="G383" s="21" t="str">
        <f aca="false">IF(A383="","",Patients!H383)</f>
        <v/>
      </c>
      <c r="H383" s="1"/>
    </row>
    <row r="384" customFormat="false" ht="15" hidden="false" customHeight="false" outlineLevel="0" collapsed="false">
      <c r="A384" s="21" t="str">
        <f aca="false">IF(Patients!A384="","",IF(COUNTIF('Injection Sales'!$B$2:$B$501,Patients!A384)=0,"",Patients!A384))</f>
        <v/>
      </c>
      <c r="B384" s="24" t="str">
        <f aca="false">IF(A384="","",Patients!B384&amp;"")</f>
        <v/>
      </c>
      <c r="C384" s="21" t="str">
        <f aca="false">IF(A384="","",Patients!G384)</f>
        <v/>
      </c>
      <c r="D384" s="18" t="str">
        <f aca="false">IF(A384="","",_xlfn.MAXIFS('Injection Sales'!$A$2:$A$501,'Injection Sales'!$B$2:$B$501,A384))</f>
        <v/>
      </c>
      <c r="E384" s="19" t="str">
        <f aca="true">IF(A384="","",TODAY()-D384)</f>
        <v/>
      </c>
      <c r="F384" s="21" t="str">
        <f aca="false">IF(A384="","",IF(E384&gt;=Settings!$B$9,Settings!$B$9&amp;" Day",IF(E384&gt;=Settings!$B$8,Settings!$B$8&amp;" Day","Due in "&amp;(Settings!$B$8-E384)&amp;" days")))</f>
        <v/>
      </c>
      <c r="G384" s="21" t="str">
        <f aca="false">IF(A384="","",Patients!H384)</f>
        <v/>
      </c>
      <c r="H384" s="1"/>
    </row>
    <row r="385" customFormat="false" ht="15" hidden="false" customHeight="false" outlineLevel="0" collapsed="false">
      <c r="A385" s="21" t="str">
        <f aca="false">IF(Patients!A385="","",IF(COUNTIF('Injection Sales'!$B$2:$B$501,Patients!A385)=0,"",Patients!A385))</f>
        <v/>
      </c>
      <c r="B385" s="24" t="str">
        <f aca="false">IF(A385="","",Patients!B385&amp;"")</f>
        <v/>
      </c>
      <c r="C385" s="21" t="str">
        <f aca="false">IF(A385="","",Patients!G385)</f>
        <v/>
      </c>
      <c r="D385" s="18" t="str">
        <f aca="false">IF(A385="","",_xlfn.MAXIFS('Injection Sales'!$A$2:$A$501,'Injection Sales'!$B$2:$B$501,A385))</f>
        <v/>
      </c>
      <c r="E385" s="19" t="str">
        <f aca="true">IF(A385="","",TODAY()-D385)</f>
        <v/>
      </c>
      <c r="F385" s="21" t="str">
        <f aca="false">IF(A385="","",IF(E385&gt;=Settings!$B$9,Settings!$B$9&amp;" Day",IF(E385&gt;=Settings!$B$8,Settings!$B$8&amp;" Day","Due in "&amp;(Settings!$B$8-E385)&amp;" days")))</f>
        <v/>
      </c>
      <c r="G385" s="21" t="str">
        <f aca="false">IF(A385="","",Patients!H385)</f>
        <v/>
      </c>
      <c r="H385" s="1"/>
    </row>
    <row r="386" customFormat="false" ht="15" hidden="false" customHeight="false" outlineLevel="0" collapsed="false">
      <c r="A386" s="21" t="str">
        <f aca="false">IF(Patients!A386="","",IF(COUNTIF('Injection Sales'!$B$2:$B$501,Patients!A386)=0,"",Patients!A386))</f>
        <v/>
      </c>
      <c r="B386" s="24" t="str">
        <f aca="false">IF(A386="","",Patients!B386&amp;"")</f>
        <v/>
      </c>
      <c r="C386" s="21" t="str">
        <f aca="false">IF(A386="","",Patients!G386)</f>
        <v/>
      </c>
      <c r="D386" s="18" t="str">
        <f aca="false">IF(A386="","",_xlfn.MAXIFS('Injection Sales'!$A$2:$A$501,'Injection Sales'!$B$2:$B$501,A386))</f>
        <v/>
      </c>
      <c r="E386" s="19" t="str">
        <f aca="true">IF(A386="","",TODAY()-D386)</f>
        <v/>
      </c>
      <c r="F386" s="21" t="str">
        <f aca="false">IF(A386="","",IF(E386&gt;=Settings!$B$9,Settings!$B$9&amp;" Day",IF(E386&gt;=Settings!$B$8,Settings!$B$8&amp;" Day","Due in "&amp;(Settings!$B$8-E386)&amp;" days")))</f>
        <v/>
      </c>
      <c r="G386" s="21" t="str">
        <f aca="false">IF(A386="","",Patients!H386)</f>
        <v/>
      </c>
      <c r="H386" s="1"/>
    </row>
    <row r="387" customFormat="false" ht="15" hidden="false" customHeight="false" outlineLevel="0" collapsed="false">
      <c r="A387" s="21" t="str">
        <f aca="false">IF(Patients!A387="","",IF(COUNTIF('Injection Sales'!$B$2:$B$501,Patients!A387)=0,"",Patients!A387))</f>
        <v/>
      </c>
      <c r="B387" s="24" t="str">
        <f aca="false">IF(A387="","",Patients!B387&amp;"")</f>
        <v/>
      </c>
      <c r="C387" s="21" t="str">
        <f aca="false">IF(A387="","",Patients!G387)</f>
        <v/>
      </c>
      <c r="D387" s="18" t="str">
        <f aca="false">IF(A387="","",_xlfn.MAXIFS('Injection Sales'!$A$2:$A$501,'Injection Sales'!$B$2:$B$501,A387))</f>
        <v/>
      </c>
      <c r="E387" s="19" t="str">
        <f aca="true">IF(A387="","",TODAY()-D387)</f>
        <v/>
      </c>
      <c r="F387" s="21" t="str">
        <f aca="false">IF(A387="","",IF(E387&gt;=Settings!$B$9,Settings!$B$9&amp;" Day",IF(E387&gt;=Settings!$B$8,Settings!$B$8&amp;" Day","Due in "&amp;(Settings!$B$8-E387)&amp;" days")))</f>
        <v/>
      </c>
      <c r="G387" s="21" t="str">
        <f aca="false">IF(A387="","",Patients!H387)</f>
        <v/>
      </c>
      <c r="H387" s="1"/>
    </row>
    <row r="388" customFormat="false" ht="15" hidden="false" customHeight="false" outlineLevel="0" collapsed="false">
      <c r="A388" s="21" t="str">
        <f aca="false">IF(Patients!A388="","",IF(COUNTIF('Injection Sales'!$B$2:$B$501,Patients!A388)=0,"",Patients!A388))</f>
        <v/>
      </c>
      <c r="B388" s="24" t="str">
        <f aca="false">IF(A388="","",Patients!B388&amp;"")</f>
        <v/>
      </c>
      <c r="C388" s="21" t="str">
        <f aca="false">IF(A388="","",Patients!G388)</f>
        <v/>
      </c>
      <c r="D388" s="18" t="str">
        <f aca="false">IF(A388="","",_xlfn.MAXIFS('Injection Sales'!$A$2:$A$501,'Injection Sales'!$B$2:$B$501,A388))</f>
        <v/>
      </c>
      <c r="E388" s="19" t="str">
        <f aca="true">IF(A388="","",TODAY()-D388)</f>
        <v/>
      </c>
      <c r="F388" s="21" t="str">
        <f aca="false">IF(A388="","",IF(E388&gt;=Settings!$B$9,Settings!$B$9&amp;" Day",IF(E388&gt;=Settings!$B$8,Settings!$B$8&amp;" Day","Due in "&amp;(Settings!$B$8-E388)&amp;" days")))</f>
        <v/>
      </c>
      <c r="G388" s="21" t="str">
        <f aca="false">IF(A388="","",Patients!H388)</f>
        <v/>
      </c>
      <c r="H388" s="1"/>
    </row>
    <row r="389" customFormat="false" ht="15" hidden="false" customHeight="false" outlineLevel="0" collapsed="false">
      <c r="A389" s="21" t="str">
        <f aca="false">IF(Patients!A389="","",IF(COUNTIF('Injection Sales'!$B$2:$B$501,Patients!A389)=0,"",Patients!A389))</f>
        <v/>
      </c>
      <c r="B389" s="24" t="str">
        <f aca="false">IF(A389="","",Patients!B389&amp;"")</f>
        <v/>
      </c>
      <c r="C389" s="21" t="str">
        <f aca="false">IF(A389="","",Patients!G389)</f>
        <v/>
      </c>
      <c r="D389" s="18" t="str">
        <f aca="false">IF(A389="","",_xlfn.MAXIFS('Injection Sales'!$A$2:$A$501,'Injection Sales'!$B$2:$B$501,A389))</f>
        <v/>
      </c>
      <c r="E389" s="19" t="str">
        <f aca="true">IF(A389="","",TODAY()-D389)</f>
        <v/>
      </c>
      <c r="F389" s="21" t="str">
        <f aca="false">IF(A389="","",IF(E389&gt;=Settings!$B$9,Settings!$B$9&amp;" Day",IF(E389&gt;=Settings!$B$8,Settings!$B$8&amp;" Day","Due in "&amp;(Settings!$B$8-E389)&amp;" days")))</f>
        <v/>
      </c>
      <c r="G389" s="21" t="str">
        <f aca="false">IF(A389="","",Patients!H389)</f>
        <v/>
      </c>
      <c r="H389" s="1"/>
    </row>
    <row r="390" customFormat="false" ht="15" hidden="false" customHeight="false" outlineLevel="0" collapsed="false">
      <c r="A390" s="21" t="str">
        <f aca="false">IF(Patients!A390="","",IF(COUNTIF('Injection Sales'!$B$2:$B$501,Patients!A390)=0,"",Patients!A390))</f>
        <v/>
      </c>
      <c r="B390" s="24" t="str">
        <f aca="false">IF(A390="","",Patients!B390&amp;"")</f>
        <v/>
      </c>
      <c r="C390" s="21" t="str">
        <f aca="false">IF(A390="","",Patients!G390)</f>
        <v/>
      </c>
      <c r="D390" s="18" t="str">
        <f aca="false">IF(A390="","",_xlfn.MAXIFS('Injection Sales'!$A$2:$A$501,'Injection Sales'!$B$2:$B$501,A390))</f>
        <v/>
      </c>
      <c r="E390" s="19" t="str">
        <f aca="true">IF(A390="","",TODAY()-D390)</f>
        <v/>
      </c>
      <c r="F390" s="21" t="str">
        <f aca="false">IF(A390="","",IF(E390&gt;=Settings!$B$9,Settings!$B$9&amp;" Day",IF(E390&gt;=Settings!$B$8,Settings!$B$8&amp;" Day","Due in "&amp;(Settings!$B$8-E390)&amp;" days")))</f>
        <v/>
      </c>
      <c r="G390" s="21" t="str">
        <f aca="false">IF(A390="","",Patients!H390)</f>
        <v/>
      </c>
      <c r="H390" s="1"/>
    </row>
    <row r="391" customFormat="false" ht="15" hidden="false" customHeight="false" outlineLevel="0" collapsed="false">
      <c r="A391" s="21" t="str">
        <f aca="false">IF(Patients!A391="","",IF(COUNTIF('Injection Sales'!$B$2:$B$501,Patients!A391)=0,"",Patients!A391))</f>
        <v/>
      </c>
      <c r="B391" s="24" t="str">
        <f aca="false">IF(A391="","",Patients!B391&amp;"")</f>
        <v/>
      </c>
      <c r="C391" s="21" t="str">
        <f aca="false">IF(A391="","",Patients!G391)</f>
        <v/>
      </c>
      <c r="D391" s="18" t="str">
        <f aca="false">IF(A391="","",_xlfn.MAXIFS('Injection Sales'!$A$2:$A$501,'Injection Sales'!$B$2:$B$501,A391))</f>
        <v/>
      </c>
      <c r="E391" s="19" t="str">
        <f aca="true">IF(A391="","",TODAY()-D391)</f>
        <v/>
      </c>
      <c r="F391" s="21" t="str">
        <f aca="false">IF(A391="","",IF(E391&gt;=Settings!$B$9,Settings!$B$9&amp;" Day",IF(E391&gt;=Settings!$B$8,Settings!$B$8&amp;" Day","Due in "&amp;(Settings!$B$8-E391)&amp;" days")))</f>
        <v/>
      </c>
      <c r="G391" s="21" t="str">
        <f aca="false">IF(A391="","",Patients!H391)</f>
        <v/>
      </c>
      <c r="H391" s="1"/>
    </row>
    <row r="392" customFormat="false" ht="15" hidden="false" customHeight="false" outlineLevel="0" collapsed="false">
      <c r="A392" s="21" t="str">
        <f aca="false">IF(Patients!A392="","",IF(COUNTIF('Injection Sales'!$B$2:$B$501,Patients!A392)=0,"",Patients!A392))</f>
        <v/>
      </c>
      <c r="B392" s="24" t="str">
        <f aca="false">IF(A392="","",Patients!B392&amp;"")</f>
        <v/>
      </c>
      <c r="C392" s="21" t="str">
        <f aca="false">IF(A392="","",Patients!G392)</f>
        <v/>
      </c>
      <c r="D392" s="18" t="str">
        <f aca="false">IF(A392="","",_xlfn.MAXIFS('Injection Sales'!$A$2:$A$501,'Injection Sales'!$B$2:$B$501,A392))</f>
        <v/>
      </c>
      <c r="E392" s="19" t="str">
        <f aca="true">IF(A392="","",TODAY()-D392)</f>
        <v/>
      </c>
      <c r="F392" s="21" t="str">
        <f aca="false">IF(A392="","",IF(E392&gt;=Settings!$B$9,Settings!$B$9&amp;" Day",IF(E392&gt;=Settings!$B$8,Settings!$B$8&amp;" Day","Due in "&amp;(Settings!$B$8-E392)&amp;" days")))</f>
        <v/>
      </c>
      <c r="G392" s="21" t="str">
        <f aca="false">IF(A392="","",Patients!H392)</f>
        <v/>
      </c>
      <c r="H392" s="1"/>
    </row>
    <row r="393" customFormat="false" ht="15" hidden="false" customHeight="false" outlineLevel="0" collapsed="false">
      <c r="A393" s="21" t="str">
        <f aca="false">IF(Patients!A393="","",IF(COUNTIF('Injection Sales'!$B$2:$B$501,Patients!A393)=0,"",Patients!A393))</f>
        <v/>
      </c>
      <c r="B393" s="24" t="str">
        <f aca="false">IF(A393="","",Patients!B393&amp;"")</f>
        <v/>
      </c>
      <c r="C393" s="21" t="str">
        <f aca="false">IF(A393="","",Patients!G393)</f>
        <v/>
      </c>
      <c r="D393" s="18" t="str">
        <f aca="false">IF(A393="","",_xlfn.MAXIFS('Injection Sales'!$A$2:$A$501,'Injection Sales'!$B$2:$B$501,A393))</f>
        <v/>
      </c>
      <c r="E393" s="19" t="str">
        <f aca="true">IF(A393="","",TODAY()-D393)</f>
        <v/>
      </c>
      <c r="F393" s="21" t="str">
        <f aca="false">IF(A393="","",IF(E393&gt;=Settings!$B$9,Settings!$B$9&amp;" Day",IF(E393&gt;=Settings!$B$8,Settings!$B$8&amp;" Day","Due in "&amp;(Settings!$B$8-E393)&amp;" days")))</f>
        <v/>
      </c>
      <c r="G393" s="21" t="str">
        <f aca="false">IF(A393="","",Patients!H393)</f>
        <v/>
      </c>
      <c r="H393" s="1"/>
    </row>
    <row r="394" customFormat="false" ht="15" hidden="false" customHeight="false" outlineLevel="0" collapsed="false">
      <c r="A394" s="21" t="str">
        <f aca="false">IF(Patients!A394="","",IF(COUNTIF('Injection Sales'!$B$2:$B$501,Patients!A394)=0,"",Patients!A394))</f>
        <v/>
      </c>
      <c r="B394" s="24" t="str">
        <f aca="false">IF(A394="","",Patients!B394&amp;"")</f>
        <v/>
      </c>
      <c r="C394" s="21" t="str">
        <f aca="false">IF(A394="","",Patients!G394)</f>
        <v/>
      </c>
      <c r="D394" s="18" t="str">
        <f aca="false">IF(A394="","",_xlfn.MAXIFS('Injection Sales'!$A$2:$A$501,'Injection Sales'!$B$2:$B$501,A394))</f>
        <v/>
      </c>
      <c r="E394" s="19" t="str">
        <f aca="true">IF(A394="","",TODAY()-D394)</f>
        <v/>
      </c>
      <c r="F394" s="21" t="str">
        <f aca="false">IF(A394="","",IF(E394&gt;=Settings!$B$9,Settings!$B$9&amp;" Day",IF(E394&gt;=Settings!$B$8,Settings!$B$8&amp;" Day","Due in "&amp;(Settings!$B$8-E394)&amp;" days")))</f>
        <v/>
      </c>
      <c r="G394" s="21" t="str">
        <f aca="false">IF(A394="","",Patients!H394)</f>
        <v/>
      </c>
      <c r="H394" s="1"/>
    </row>
    <row r="395" customFormat="false" ht="15" hidden="false" customHeight="false" outlineLevel="0" collapsed="false">
      <c r="A395" s="21" t="str">
        <f aca="false">IF(Patients!A395="","",IF(COUNTIF('Injection Sales'!$B$2:$B$501,Patients!A395)=0,"",Patients!A395))</f>
        <v/>
      </c>
      <c r="B395" s="24" t="str">
        <f aca="false">IF(A395="","",Patients!B395&amp;"")</f>
        <v/>
      </c>
      <c r="C395" s="21" t="str">
        <f aca="false">IF(A395="","",Patients!G395)</f>
        <v/>
      </c>
      <c r="D395" s="18" t="str">
        <f aca="false">IF(A395="","",_xlfn.MAXIFS('Injection Sales'!$A$2:$A$501,'Injection Sales'!$B$2:$B$501,A395))</f>
        <v/>
      </c>
      <c r="E395" s="19" t="str">
        <f aca="true">IF(A395="","",TODAY()-D395)</f>
        <v/>
      </c>
      <c r="F395" s="21" t="str">
        <f aca="false">IF(A395="","",IF(E395&gt;=Settings!$B$9,Settings!$B$9&amp;" Day",IF(E395&gt;=Settings!$B$8,Settings!$B$8&amp;" Day","Due in "&amp;(Settings!$B$8-E395)&amp;" days")))</f>
        <v/>
      </c>
      <c r="G395" s="21" t="str">
        <f aca="false">IF(A395="","",Patients!H395)</f>
        <v/>
      </c>
      <c r="H395" s="1"/>
    </row>
    <row r="396" customFormat="false" ht="15" hidden="false" customHeight="false" outlineLevel="0" collapsed="false">
      <c r="A396" s="21" t="str">
        <f aca="false">IF(Patients!A396="","",IF(COUNTIF('Injection Sales'!$B$2:$B$501,Patients!A396)=0,"",Patients!A396))</f>
        <v/>
      </c>
      <c r="B396" s="24" t="str">
        <f aca="false">IF(A396="","",Patients!B396&amp;"")</f>
        <v/>
      </c>
      <c r="C396" s="21" t="str">
        <f aca="false">IF(A396="","",Patients!G396)</f>
        <v/>
      </c>
      <c r="D396" s="18" t="str">
        <f aca="false">IF(A396="","",_xlfn.MAXIFS('Injection Sales'!$A$2:$A$501,'Injection Sales'!$B$2:$B$501,A396))</f>
        <v/>
      </c>
      <c r="E396" s="19" t="str">
        <f aca="true">IF(A396="","",TODAY()-D396)</f>
        <v/>
      </c>
      <c r="F396" s="21" t="str">
        <f aca="false">IF(A396="","",IF(E396&gt;=Settings!$B$9,Settings!$B$9&amp;" Day",IF(E396&gt;=Settings!$B$8,Settings!$B$8&amp;" Day","Due in "&amp;(Settings!$B$8-E396)&amp;" days")))</f>
        <v/>
      </c>
      <c r="G396" s="21" t="str">
        <f aca="false">IF(A396="","",Patients!H396)</f>
        <v/>
      </c>
      <c r="H396" s="1"/>
    </row>
    <row r="397" customFormat="false" ht="15" hidden="false" customHeight="false" outlineLevel="0" collapsed="false">
      <c r="A397" s="21" t="str">
        <f aca="false">IF(Patients!A397="","",IF(COUNTIF('Injection Sales'!$B$2:$B$501,Patients!A397)=0,"",Patients!A397))</f>
        <v/>
      </c>
      <c r="B397" s="24" t="str">
        <f aca="false">IF(A397="","",Patients!B397&amp;"")</f>
        <v/>
      </c>
      <c r="C397" s="21" t="str">
        <f aca="false">IF(A397="","",Patients!G397)</f>
        <v/>
      </c>
      <c r="D397" s="18" t="str">
        <f aca="false">IF(A397="","",_xlfn.MAXIFS('Injection Sales'!$A$2:$A$501,'Injection Sales'!$B$2:$B$501,A397))</f>
        <v/>
      </c>
      <c r="E397" s="19" t="str">
        <f aca="true">IF(A397="","",TODAY()-D397)</f>
        <v/>
      </c>
      <c r="F397" s="21" t="str">
        <f aca="false">IF(A397="","",IF(E397&gt;=Settings!$B$9,Settings!$B$9&amp;" Day",IF(E397&gt;=Settings!$B$8,Settings!$B$8&amp;" Day","Due in "&amp;(Settings!$B$8-E397)&amp;" days")))</f>
        <v/>
      </c>
      <c r="G397" s="21" t="str">
        <f aca="false">IF(A397="","",Patients!H397)</f>
        <v/>
      </c>
      <c r="H397" s="1"/>
    </row>
    <row r="398" customFormat="false" ht="15" hidden="false" customHeight="false" outlineLevel="0" collapsed="false">
      <c r="A398" s="21" t="str">
        <f aca="false">IF(Patients!A398="","",IF(COUNTIF('Injection Sales'!$B$2:$B$501,Patients!A398)=0,"",Patients!A398))</f>
        <v/>
      </c>
      <c r="B398" s="24" t="str">
        <f aca="false">IF(A398="","",Patients!B398&amp;"")</f>
        <v/>
      </c>
      <c r="C398" s="21" t="str">
        <f aca="false">IF(A398="","",Patients!G398)</f>
        <v/>
      </c>
      <c r="D398" s="18" t="str">
        <f aca="false">IF(A398="","",_xlfn.MAXIFS('Injection Sales'!$A$2:$A$501,'Injection Sales'!$B$2:$B$501,A398))</f>
        <v/>
      </c>
      <c r="E398" s="19" t="str">
        <f aca="true">IF(A398="","",TODAY()-D398)</f>
        <v/>
      </c>
      <c r="F398" s="21" t="str">
        <f aca="false">IF(A398="","",IF(E398&gt;=Settings!$B$9,Settings!$B$9&amp;" Day",IF(E398&gt;=Settings!$B$8,Settings!$B$8&amp;" Day","Due in "&amp;(Settings!$B$8-E398)&amp;" days")))</f>
        <v/>
      </c>
      <c r="G398" s="21" t="str">
        <f aca="false">IF(A398="","",Patients!H398)</f>
        <v/>
      </c>
      <c r="H398" s="1"/>
    </row>
    <row r="399" customFormat="false" ht="15" hidden="false" customHeight="false" outlineLevel="0" collapsed="false">
      <c r="A399" s="21" t="str">
        <f aca="false">IF(Patients!A399="","",IF(COUNTIF('Injection Sales'!$B$2:$B$501,Patients!A399)=0,"",Patients!A399))</f>
        <v/>
      </c>
      <c r="B399" s="24" t="str">
        <f aca="false">IF(A399="","",Patients!B399&amp;"")</f>
        <v/>
      </c>
      <c r="C399" s="21" t="str">
        <f aca="false">IF(A399="","",Patients!G399)</f>
        <v/>
      </c>
      <c r="D399" s="18" t="str">
        <f aca="false">IF(A399="","",_xlfn.MAXIFS('Injection Sales'!$A$2:$A$501,'Injection Sales'!$B$2:$B$501,A399))</f>
        <v/>
      </c>
      <c r="E399" s="19" t="str">
        <f aca="true">IF(A399="","",TODAY()-D399)</f>
        <v/>
      </c>
      <c r="F399" s="21" t="str">
        <f aca="false">IF(A399="","",IF(E399&gt;=Settings!$B$9,Settings!$B$9&amp;" Day",IF(E399&gt;=Settings!$B$8,Settings!$B$8&amp;" Day","Due in "&amp;(Settings!$B$8-E399)&amp;" days")))</f>
        <v/>
      </c>
      <c r="G399" s="21" t="str">
        <f aca="false">IF(A399="","",Patients!H399)</f>
        <v/>
      </c>
      <c r="H399" s="1"/>
    </row>
    <row r="400" customFormat="false" ht="15" hidden="false" customHeight="false" outlineLevel="0" collapsed="false">
      <c r="A400" s="21" t="str">
        <f aca="false">IF(Patients!A400="","",IF(COUNTIF('Injection Sales'!$B$2:$B$501,Patients!A400)=0,"",Patients!A400))</f>
        <v/>
      </c>
      <c r="B400" s="24" t="str">
        <f aca="false">IF(A400="","",Patients!B400&amp;"")</f>
        <v/>
      </c>
      <c r="C400" s="21" t="str">
        <f aca="false">IF(A400="","",Patients!G400)</f>
        <v/>
      </c>
      <c r="D400" s="18" t="str">
        <f aca="false">IF(A400="","",_xlfn.MAXIFS('Injection Sales'!$A$2:$A$501,'Injection Sales'!$B$2:$B$501,A400))</f>
        <v/>
      </c>
      <c r="E400" s="19" t="str">
        <f aca="true">IF(A400="","",TODAY()-D400)</f>
        <v/>
      </c>
      <c r="F400" s="21" t="str">
        <f aca="false">IF(A400="","",IF(E400&gt;=Settings!$B$9,Settings!$B$9&amp;" Day",IF(E400&gt;=Settings!$B$8,Settings!$B$8&amp;" Day","Due in "&amp;(Settings!$B$8-E400)&amp;" days")))</f>
        <v/>
      </c>
      <c r="G400" s="21" t="str">
        <f aca="false">IF(A400="","",Patients!H400)</f>
        <v/>
      </c>
      <c r="H400" s="1"/>
    </row>
    <row r="401" customFormat="false" ht="15" hidden="false" customHeight="false" outlineLevel="0" collapsed="false">
      <c r="A401" s="21" t="str">
        <f aca="false">IF(Patients!A401="","",IF(COUNTIF('Injection Sales'!$B$2:$B$501,Patients!A401)=0,"",Patients!A401))</f>
        <v/>
      </c>
      <c r="B401" s="24" t="str">
        <f aca="false">IF(A401="","",Patients!B401&amp;"")</f>
        <v/>
      </c>
      <c r="C401" s="21" t="str">
        <f aca="false">IF(A401="","",Patients!G401)</f>
        <v/>
      </c>
      <c r="D401" s="18" t="str">
        <f aca="false">IF(A401="","",_xlfn.MAXIFS('Injection Sales'!$A$2:$A$501,'Injection Sales'!$B$2:$B$501,A401))</f>
        <v/>
      </c>
      <c r="E401" s="19" t="str">
        <f aca="true">IF(A401="","",TODAY()-D401)</f>
        <v/>
      </c>
      <c r="F401" s="21" t="str">
        <f aca="false">IF(A401="","",IF(E401&gt;=Settings!$B$9,Settings!$B$9&amp;" Day",IF(E401&gt;=Settings!$B$8,Settings!$B$8&amp;" Day","Due in "&amp;(Settings!$B$8-E401)&amp;" days")))</f>
        <v/>
      </c>
      <c r="G401" s="21" t="str">
        <f aca="false">IF(A401="","",Patients!H401)</f>
        <v/>
      </c>
      <c r="H401" s="1"/>
    </row>
    <row r="402" customFormat="false" ht="15" hidden="false" customHeight="false" outlineLevel="0" collapsed="false">
      <c r="A402" s="21" t="str">
        <f aca="false">IF(Patients!A402="","",IF(COUNTIF('Injection Sales'!$B$2:$B$501,Patients!A402)=0,"",Patients!A402))</f>
        <v/>
      </c>
      <c r="B402" s="24" t="str">
        <f aca="false">IF(A402="","",Patients!B402&amp;"")</f>
        <v/>
      </c>
      <c r="C402" s="21" t="str">
        <f aca="false">IF(A402="","",Patients!G402)</f>
        <v/>
      </c>
      <c r="D402" s="18" t="str">
        <f aca="false">IF(A402="","",_xlfn.MAXIFS('Injection Sales'!$A$2:$A$501,'Injection Sales'!$B$2:$B$501,A402))</f>
        <v/>
      </c>
      <c r="E402" s="19" t="str">
        <f aca="true">IF(A402="","",TODAY()-D402)</f>
        <v/>
      </c>
      <c r="F402" s="21" t="str">
        <f aca="false">IF(A402="","",IF(E402&gt;=Settings!$B$9,Settings!$B$9&amp;" Day",IF(E402&gt;=Settings!$B$8,Settings!$B$8&amp;" Day","Due in "&amp;(Settings!$B$8-E402)&amp;" days")))</f>
        <v/>
      </c>
      <c r="G402" s="21" t="str">
        <f aca="false">IF(A402="","",Patients!H402)</f>
        <v/>
      </c>
      <c r="H402" s="1"/>
    </row>
    <row r="403" customFormat="false" ht="15" hidden="false" customHeight="false" outlineLevel="0" collapsed="false">
      <c r="A403" s="21" t="str">
        <f aca="false">IF(Patients!A403="","",IF(COUNTIF('Injection Sales'!$B$2:$B$501,Patients!A403)=0,"",Patients!A403))</f>
        <v/>
      </c>
      <c r="B403" s="24" t="str">
        <f aca="false">IF(A403="","",Patients!B403&amp;"")</f>
        <v/>
      </c>
      <c r="C403" s="21" t="str">
        <f aca="false">IF(A403="","",Patients!G403)</f>
        <v/>
      </c>
      <c r="D403" s="18" t="str">
        <f aca="false">IF(A403="","",_xlfn.MAXIFS('Injection Sales'!$A$2:$A$501,'Injection Sales'!$B$2:$B$501,A403))</f>
        <v/>
      </c>
      <c r="E403" s="19" t="str">
        <f aca="true">IF(A403="","",TODAY()-D403)</f>
        <v/>
      </c>
      <c r="F403" s="21" t="str">
        <f aca="false">IF(A403="","",IF(E403&gt;=Settings!$B$9,Settings!$B$9&amp;" Day",IF(E403&gt;=Settings!$B$8,Settings!$B$8&amp;" Day","Due in "&amp;(Settings!$B$8-E403)&amp;" days")))</f>
        <v/>
      </c>
      <c r="G403" s="21" t="str">
        <f aca="false">IF(A403="","",Patients!H403)</f>
        <v/>
      </c>
      <c r="H403" s="1"/>
    </row>
    <row r="404" customFormat="false" ht="15" hidden="false" customHeight="false" outlineLevel="0" collapsed="false">
      <c r="A404" s="21" t="str">
        <f aca="false">IF(Patients!A404="","",IF(COUNTIF('Injection Sales'!$B$2:$B$501,Patients!A404)=0,"",Patients!A404))</f>
        <v/>
      </c>
      <c r="B404" s="24" t="str">
        <f aca="false">IF(A404="","",Patients!B404&amp;"")</f>
        <v/>
      </c>
      <c r="C404" s="21" t="str">
        <f aca="false">IF(A404="","",Patients!G404)</f>
        <v/>
      </c>
      <c r="D404" s="18" t="str">
        <f aca="false">IF(A404="","",_xlfn.MAXIFS('Injection Sales'!$A$2:$A$501,'Injection Sales'!$B$2:$B$501,A404))</f>
        <v/>
      </c>
      <c r="E404" s="19" t="str">
        <f aca="true">IF(A404="","",TODAY()-D404)</f>
        <v/>
      </c>
      <c r="F404" s="21" t="str">
        <f aca="false">IF(A404="","",IF(E404&gt;=Settings!$B$9,Settings!$B$9&amp;" Day",IF(E404&gt;=Settings!$B$8,Settings!$B$8&amp;" Day","Due in "&amp;(Settings!$B$8-E404)&amp;" days")))</f>
        <v/>
      </c>
      <c r="G404" s="21" t="str">
        <f aca="false">IF(A404="","",Patients!H404)</f>
        <v/>
      </c>
      <c r="H404" s="1"/>
    </row>
    <row r="405" customFormat="false" ht="15" hidden="false" customHeight="false" outlineLevel="0" collapsed="false">
      <c r="A405" s="21" t="str">
        <f aca="false">IF(Patients!A405="","",IF(COUNTIF('Injection Sales'!$B$2:$B$501,Patients!A405)=0,"",Patients!A405))</f>
        <v/>
      </c>
      <c r="B405" s="24" t="str">
        <f aca="false">IF(A405="","",Patients!B405&amp;"")</f>
        <v/>
      </c>
      <c r="C405" s="21" t="str">
        <f aca="false">IF(A405="","",Patients!G405)</f>
        <v/>
      </c>
      <c r="D405" s="18" t="str">
        <f aca="false">IF(A405="","",_xlfn.MAXIFS('Injection Sales'!$A$2:$A$501,'Injection Sales'!$B$2:$B$501,A405))</f>
        <v/>
      </c>
      <c r="E405" s="19" t="str">
        <f aca="true">IF(A405="","",TODAY()-D405)</f>
        <v/>
      </c>
      <c r="F405" s="21" t="str">
        <f aca="false">IF(A405="","",IF(E405&gt;=Settings!$B$9,Settings!$B$9&amp;" Day",IF(E405&gt;=Settings!$B$8,Settings!$B$8&amp;" Day","Due in "&amp;(Settings!$B$8-E405)&amp;" days")))</f>
        <v/>
      </c>
      <c r="G405" s="21" t="str">
        <f aca="false">IF(A405="","",Patients!H405)</f>
        <v/>
      </c>
      <c r="H405" s="1"/>
    </row>
    <row r="406" customFormat="false" ht="15" hidden="false" customHeight="false" outlineLevel="0" collapsed="false">
      <c r="A406" s="21" t="str">
        <f aca="false">IF(Patients!A406="","",IF(COUNTIF('Injection Sales'!$B$2:$B$501,Patients!A406)=0,"",Patients!A406))</f>
        <v/>
      </c>
      <c r="B406" s="24" t="str">
        <f aca="false">IF(A406="","",Patients!B406&amp;"")</f>
        <v/>
      </c>
      <c r="C406" s="21" t="str">
        <f aca="false">IF(A406="","",Patients!G406)</f>
        <v/>
      </c>
      <c r="D406" s="18" t="str">
        <f aca="false">IF(A406="","",_xlfn.MAXIFS('Injection Sales'!$A$2:$A$501,'Injection Sales'!$B$2:$B$501,A406))</f>
        <v/>
      </c>
      <c r="E406" s="19" t="str">
        <f aca="true">IF(A406="","",TODAY()-D406)</f>
        <v/>
      </c>
      <c r="F406" s="21" t="str">
        <f aca="false">IF(A406="","",IF(E406&gt;=Settings!$B$9,Settings!$B$9&amp;" Day",IF(E406&gt;=Settings!$B$8,Settings!$B$8&amp;" Day","Due in "&amp;(Settings!$B$8-E406)&amp;" days")))</f>
        <v/>
      </c>
      <c r="G406" s="21" t="str">
        <f aca="false">IF(A406="","",Patients!H406)</f>
        <v/>
      </c>
      <c r="H406" s="1"/>
    </row>
    <row r="407" customFormat="false" ht="15" hidden="false" customHeight="false" outlineLevel="0" collapsed="false">
      <c r="A407" s="21" t="str">
        <f aca="false">IF(Patients!A407="","",IF(COUNTIF('Injection Sales'!$B$2:$B$501,Patients!A407)=0,"",Patients!A407))</f>
        <v/>
      </c>
      <c r="B407" s="24" t="str">
        <f aca="false">IF(A407="","",Patients!B407&amp;"")</f>
        <v/>
      </c>
      <c r="C407" s="21" t="str">
        <f aca="false">IF(A407="","",Patients!G407)</f>
        <v/>
      </c>
      <c r="D407" s="18" t="str">
        <f aca="false">IF(A407="","",_xlfn.MAXIFS('Injection Sales'!$A$2:$A$501,'Injection Sales'!$B$2:$B$501,A407))</f>
        <v/>
      </c>
      <c r="E407" s="19" t="str">
        <f aca="true">IF(A407="","",TODAY()-D407)</f>
        <v/>
      </c>
      <c r="F407" s="21" t="str">
        <f aca="false">IF(A407="","",IF(E407&gt;=Settings!$B$9,Settings!$B$9&amp;" Day",IF(E407&gt;=Settings!$B$8,Settings!$B$8&amp;" Day","Due in "&amp;(Settings!$B$8-E407)&amp;" days")))</f>
        <v/>
      </c>
      <c r="G407" s="21" t="str">
        <f aca="false">IF(A407="","",Patients!H407)</f>
        <v/>
      </c>
      <c r="H407" s="1"/>
    </row>
    <row r="408" customFormat="false" ht="15" hidden="false" customHeight="false" outlineLevel="0" collapsed="false">
      <c r="A408" s="21" t="str">
        <f aca="false">IF(Patients!A408="","",IF(COUNTIF('Injection Sales'!$B$2:$B$501,Patients!A408)=0,"",Patients!A408))</f>
        <v/>
      </c>
      <c r="B408" s="24" t="str">
        <f aca="false">IF(A408="","",Patients!B408&amp;"")</f>
        <v/>
      </c>
      <c r="C408" s="21" t="str">
        <f aca="false">IF(A408="","",Patients!G408)</f>
        <v/>
      </c>
      <c r="D408" s="18" t="str">
        <f aca="false">IF(A408="","",_xlfn.MAXIFS('Injection Sales'!$A$2:$A$501,'Injection Sales'!$B$2:$B$501,A408))</f>
        <v/>
      </c>
      <c r="E408" s="19" t="str">
        <f aca="true">IF(A408="","",TODAY()-D408)</f>
        <v/>
      </c>
      <c r="F408" s="21" t="str">
        <f aca="false">IF(A408="","",IF(E408&gt;=Settings!$B$9,Settings!$B$9&amp;" Day",IF(E408&gt;=Settings!$B$8,Settings!$B$8&amp;" Day","Due in "&amp;(Settings!$B$8-E408)&amp;" days")))</f>
        <v/>
      </c>
      <c r="G408" s="21" t="str">
        <f aca="false">IF(A408="","",Patients!H408)</f>
        <v/>
      </c>
      <c r="H408" s="1"/>
    </row>
    <row r="409" customFormat="false" ht="15" hidden="false" customHeight="false" outlineLevel="0" collapsed="false">
      <c r="A409" s="21" t="str">
        <f aca="false">IF(Patients!A409="","",IF(COUNTIF('Injection Sales'!$B$2:$B$501,Patients!A409)=0,"",Patients!A409))</f>
        <v/>
      </c>
      <c r="B409" s="24" t="str">
        <f aca="false">IF(A409="","",Patients!B409&amp;"")</f>
        <v/>
      </c>
      <c r="C409" s="21" t="str">
        <f aca="false">IF(A409="","",Patients!G409)</f>
        <v/>
      </c>
      <c r="D409" s="18" t="str">
        <f aca="false">IF(A409="","",_xlfn.MAXIFS('Injection Sales'!$A$2:$A$501,'Injection Sales'!$B$2:$B$501,A409))</f>
        <v/>
      </c>
      <c r="E409" s="19" t="str">
        <f aca="true">IF(A409="","",TODAY()-D409)</f>
        <v/>
      </c>
      <c r="F409" s="21" t="str">
        <f aca="false">IF(A409="","",IF(E409&gt;=Settings!$B$9,Settings!$B$9&amp;" Day",IF(E409&gt;=Settings!$B$8,Settings!$B$8&amp;" Day","Due in "&amp;(Settings!$B$8-E409)&amp;" days")))</f>
        <v/>
      </c>
      <c r="G409" s="21" t="str">
        <f aca="false">IF(A409="","",Patients!H409)</f>
        <v/>
      </c>
      <c r="H409" s="1"/>
    </row>
    <row r="410" customFormat="false" ht="15" hidden="false" customHeight="false" outlineLevel="0" collapsed="false">
      <c r="A410" s="21" t="str">
        <f aca="false">IF(Patients!A410="","",IF(COUNTIF('Injection Sales'!$B$2:$B$501,Patients!A410)=0,"",Patients!A410))</f>
        <v/>
      </c>
      <c r="B410" s="24" t="str">
        <f aca="false">IF(A410="","",Patients!B410&amp;"")</f>
        <v/>
      </c>
      <c r="C410" s="21" t="str">
        <f aca="false">IF(A410="","",Patients!G410)</f>
        <v/>
      </c>
      <c r="D410" s="18" t="str">
        <f aca="false">IF(A410="","",_xlfn.MAXIFS('Injection Sales'!$A$2:$A$501,'Injection Sales'!$B$2:$B$501,A410))</f>
        <v/>
      </c>
      <c r="E410" s="19" t="str">
        <f aca="true">IF(A410="","",TODAY()-D410)</f>
        <v/>
      </c>
      <c r="F410" s="21" t="str">
        <f aca="false">IF(A410="","",IF(E410&gt;=Settings!$B$9,Settings!$B$9&amp;" Day",IF(E410&gt;=Settings!$B$8,Settings!$B$8&amp;" Day","Due in "&amp;(Settings!$B$8-E410)&amp;" days")))</f>
        <v/>
      </c>
      <c r="G410" s="21" t="str">
        <f aca="false">IF(A410="","",Patients!H410)</f>
        <v/>
      </c>
      <c r="H410" s="1"/>
    </row>
    <row r="411" customFormat="false" ht="15" hidden="false" customHeight="false" outlineLevel="0" collapsed="false">
      <c r="A411" s="21" t="str">
        <f aca="false">IF(Patients!A411="","",IF(COUNTIF('Injection Sales'!$B$2:$B$501,Patients!A411)=0,"",Patients!A411))</f>
        <v/>
      </c>
      <c r="B411" s="24" t="str">
        <f aca="false">IF(A411="","",Patients!B411&amp;"")</f>
        <v/>
      </c>
      <c r="C411" s="21" t="str">
        <f aca="false">IF(A411="","",Patients!G411)</f>
        <v/>
      </c>
      <c r="D411" s="18" t="str">
        <f aca="false">IF(A411="","",_xlfn.MAXIFS('Injection Sales'!$A$2:$A$501,'Injection Sales'!$B$2:$B$501,A411))</f>
        <v/>
      </c>
      <c r="E411" s="19" t="str">
        <f aca="true">IF(A411="","",TODAY()-D411)</f>
        <v/>
      </c>
      <c r="F411" s="21" t="str">
        <f aca="false">IF(A411="","",IF(E411&gt;=Settings!$B$9,Settings!$B$9&amp;" Day",IF(E411&gt;=Settings!$B$8,Settings!$B$8&amp;" Day","Due in "&amp;(Settings!$B$8-E411)&amp;" days")))</f>
        <v/>
      </c>
      <c r="G411" s="21" t="str">
        <f aca="false">IF(A411="","",Patients!H411)</f>
        <v/>
      </c>
      <c r="H411" s="1"/>
    </row>
    <row r="412" customFormat="false" ht="15" hidden="false" customHeight="false" outlineLevel="0" collapsed="false">
      <c r="A412" s="21" t="str">
        <f aca="false">IF(Patients!A412="","",IF(COUNTIF('Injection Sales'!$B$2:$B$501,Patients!A412)=0,"",Patients!A412))</f>
        <v/>
      </c>
      <c r="B412" s="24" t="str">
        <f aca="false">IF(A412="","",Patients!B412&amp;"")</f>
        <v/>
      </c>
      <c r="C412" s="21" t="str">
        <f aca="false">IF(A412="","",Patients!G412)</f>
        <v/>
      </c>
      <c r="D412" s="18" t="str">
        <f aca="false">IF(A412="","",_xlfn.MAXIFS('Injection Sales'!$A$2:$A$501,'Injection Sales'!$B$2:$B$501,A412))</f>
        <v/>
      </c>
      <c r="E412" s="19" t="str">
        <f aca="true">IF(A412="","",TODAY()-D412)</f>
        <v/>
      </c>
      <c r="F412" s="21" t="str">
        <f aca="false">IF(A412="","",IF(E412&gt;=Settings!$B$9,Settings!$B$9&amp;" Day",IF(E412&gt;=Settings!$B$8,Settings!$B$8&amp;" Day","Due in "&amp;(Settings!$B$8-E412)&amp;" days")))</f>
        <v/>
      </c>
      <c r="G412" s="21" t="str">
        <f aca="false">IF(A412="","",Patients!H412)</f>
        <v/>
      </c>
      <c r="H412" s="1"/>
    </row>
    <row r="413" customFormat="false" ht="15" hidden="false" customHeight="false" outlineLevel="0" collapsed="false">
      <c r="A413" s="21" t="str">
        <f aca="false">IF(Patients!A413="","",IF(COUNTIF('Injection Sales'!$B$2:$B$501,Patients!A413)=0,"",Patients!A413))</f>
        <v/>
      </c>
      <c r="B413" s="24" t="str">
        <f aca="false">IF(A413="","",Patients!B413&amp;"")</f>
        <v/>
      </c>
      <c r="C413" s="21" t="str">
        <f aca="false">IF(A413="","",Patients!G413)</f>
        <v/>
      </c>
      <c r="D413" s="18" t="str">
        <f aca="false">IF(A413="","",_xlfn.MAXIFS('Injection Sales'!$A$2:$A$501,'Injection Sales'!$B$2:$B$501,A413))</f>
        <v/>
      </c>
      <c r="E413" s="19" t="str">
        <f aca="true">IF(A413="","",TODAY()-D413)</f>
        <v/>
      </c>
      <c r="F413" s="21" t="str">
        <f aca="false">IF(A413="","",IF(E413&gt;=Settings!$B$9,Settings!$B$9&amp;" Day",IF(E413&gt;=Settings!$B$8,Settings!$B$8&amp;" Day","Due in "&amp;(Settings!$B$8-E413)&amp;" days")))</f>
        <v/>
      </c>
      <c r="G413" s="21" t="str">
        <f aca="false">IF(A413="","",Patients!H413)</f>
        <v/>
      </c>
      <c r="H413" s="1"/>
    </row>
    <row r="414" customFormat="false" ht="15" hidden="false" customHeight="false" outlineLevel="0" collapsed="false">
      <c r="A414" s="21" t="str">
        <f aca="false">IF(Patients!A414="","",IF(COUNTIF('Injection Sales'!$B$2:$B$501,Patients!A414)=0,"",Patients!A414))</f>
        <v/>
      </c>
      <c r="B414" s="24" t="str">
        <f aca="false">IF(A414="","",Patients!B414&amp;"")</f>
        <v/>
      </c>
      <c r="C414" s="21" t="str">
        <f aca="false">IF(A414="","",Patients!G414)</f>
        <v/>
      </c>
      <c r="D414" s="18" t="str">
        <f aca="false">IF(A414="","",_xlfn.MAXIFS('Injection Sales'!$A$2:$A$501,'Injection Sales'!$B$2:$B$501,A414))</f>
        <v/>
      </c>
      <c r="E414" s="19" t="str">
        <f aca="true">IF(A414="","",TODAY()-D414)</f>
        <v/>
      </c>
      <c r="F414" s="21" t="str">
        <f aca="false">IF(A414="","",IF(E414&gt;=Settings!$B$9,Settings!$B$9&amp;" Day",IF(E414&gt;=Settings!$B$8,Settings!$B$8&amp;" Day","Due in "&amp;(Settings!$B$8-E414)&amp;" days")))</f>
        <v/>
      </c>
      <c r="G414" s="21" t="str">
        <f aca="false">IF(A414="","",Patients!H414)</f>
        <v/>
      </c>
      <c r="H414" s="1"/>
    </row>
    <row r="415" customFormat="false" ht="15" hidden="false" customHeight="false" outlineLevel="0" collapsed="false">
      <c r="A415" s="21" t="str">
        <f aca="false">IF(Patients!A415="","",IF(COUNTIF('Injection Sales'!$B$2:$B$501,Patients!A415)=0,"",Patients!A415))</f>
        <v/>
      </c>
      <c r="B415" s="24" t="str">
        <f aca="false">IF(A415="","",Patients!B415&amp;"")</f>
        <v/>
      </c>
      <c r="C415" s="21" t="str">
        <f aca="false">IF(A415="","",Patients!G415)</f>
        <v/>
      </c>
      <c r="D415" s="18" t="str">
        <f aca="false">IF(A415="","",_xlfn.MAXIFS('Injection Sales'!$A$2:$A$501,'Injection Sales'!$B$2:$B$501,A415))</f>
        <v/>
      </c>
      <c r="E415" s="19" t="str">
        <f aca="true">IF(A415="","",TODAY()-D415)</f>
        <v/>
      </c>
      <c r="F415" s="21" t="str">
        <f aca="false">IF(A415="","",IF(E415&gt;=Settings!$B$9,Settings!$B$9&amp;" Day",IF(E415&gt;=Settings!$B$8,Settings!$B$8&amp;" Day","Due in "&amp;(Settings!$B$8-E415)&amp;" days")))</f>
        <v/>
      </c>
      <c r="G415" s="21" t="str">
        <f aca="false">IF(A415="","",Patients!H415)</f>
        <v/>
      </c>
      <c r="H415" s="1"/>
    </row>
    <row r="416" customFormat="false" ht="15" hidden="false" customHeight="false" outlineLevel="0" collapsed="false">
      <c r="A416" s="21" t="str">
        <f aca="false">IF(Patients!A416="","",IF(COUNTIF('Injection Sales'!$B$2:$B$501,Patients!A416)=0,"",Patients!A416))</f>
        <v/>
      </c>
      <c r="B416" s="24" t="str">
        <f aca="false">IF(A416="","",Patients!B416&amp;"")</f>
        <v/>
      </c>
      <c r="C416" s="21" t="str">
        <f aca="false">IF(A416="","",Patients!G416)</f>
        <v/>
      </c>
      <c r="D416" s="18" t="str">
        <f aca="false">IF(A416="","",_xlfn.MAXIFS('Injection Sales'!$A$2:$A$501,'Injection Sales'!$B$2:$B$501,A416))</f>
        <v/>
      </c>
      <c r="E416" s="19" t="str">
        <f aca="true">IF(A416="","",TODAY()-D416)</f>
        <v/>
      </c>
      <c r="F416" s="21" t="str">
        <f aca="false">IF(A416="","",IF(E416&gt;=Settings!$B$9,Settings!$B$9&amp;" Day",IF(E416&gt;=Settings!$B$8,Settings!$B$8&amp;" Day","Due in "&amp;(Settings!$B$8-E416)&amp;" days")))</f>
        <v/>
      </c>
      <c r="G416" s="21" t="str">
        <f aca="false">IF(A416="","",Patients!H416)</f>
        <v/>
      </c>
      <c r="H416" s="1"/>
    </row>
    <row r="417" customFormat="false" ht="15" hidden="false" customHeight="false" outlineLevel="0" collapsed="false">
      <c r="A417" s="21" t="str">
        <f aca="false">IF(Patients!A417="","",IF(COUNTIF('Injection Sales'!$B$2:$B$501,Patients!A417)=0,"",Patients!A417))</f>
        <v/>
      </c>
      <c r="B417" s="24" t="str">
        <f aca="false">IF(A417="","",Patients!B417&amp;"")</f>
        <v/>
      </c>
      <c r="C417" s="21" t="str">
        <f aca="false">IF(A417="","",Patients!G417)</f>
        <v/>
      </c>
      <c r="D417" s="18" t="str">
        <f aca="false">IF(A417="","",_xlfn.MAXIFS('Injection Sales'!$A$2:$A$501,'Injection Sales'!$B$2:$B$501,A417))</f>
        <v/>
      </c>
      <c r="E417" s="19" t="str">
        <f aca="true">IF(A417="","",TODAY()-D417)</f>
        <v/>
      </c>
      <c r="F417" s="21" t="str">
        <f aca="false">IF(A417="","",IF(E417&gt;=Settings!$B$9,Settings!$B$9&amp;" Day",IF(E417&gt;=Settings!$B$8,Settings!$B$8&amp;" Day","Due in "&amp;(Settings!$B$8-E417)&amp;" days")))</f>
        <v/>
      </c>
      <c r="G417" s="21" t="str">
        <f aca="false">IF(A417="","",Patients!H417)</f>
        <v/>
      </c>
      <c r="H417" s="1"/>
    </row>
    <row r="418" customFormat="false" ht="15" hidden="false" customHeight="false" outlineLevel="0" collapsed="false">
      <c r="A418" s="21" t="str">
        <f aca="false">IF(Patients!A418="","",IF(COUNTIF('Injection Sales'!$B$2:$B$501,Patients!A418)=0,"",Patients!A418))</f>
        <v/>
      </c>
      <c r="B418" s="24" t="str">
        <f aca="false">IF(A418="","",Patients!B418&amp;"")</f>
        <v/>
      </c>
      <c r="C418" s="21" t="str">
        <f aca="false">IF(A418="","",Patients!G418)</f>
        <v/>
      </c>
      <c r="D418" s="18" t="str">
        <f aca="false">IF(A418="","",_xlfn.MAXIFS('Injection Sales'!$A$2:$A$501,'Injection Sales'!$B$2:$B$501,A418))</f>
        <v/>
      </c>
      <c r="E418" s="19" t="str">
        <f aca="true">IF(A418="","",TODAY()-D418)</f>
        <v/>
      </c>
      <c r="F418" s="21" t="str">
        <f aca="false">IF(A418="","",IF(E418&gt;=Settings!$B$9,Settings!$B$9&amp;" Day",IF(E418&gt;=Settings!$B$8,Settings!$B$8&amp;" Day","Due in "&amp;(Settings!$B$8-E418)&amp;" days")))</f>
        <v/>
      </c>
      <c r="G418" s="21" t="str">
        <f aca="false">IF(A418="","",Patients!H418)</f>
        <v/>
      </c>
      <c r="H418" s="1"/>
    </row>
    <row r="419" customFormat="false" ht="15" hidden="false" customHeight="false" outlineLevel="0" collapsed="false">
      <c r="A419" s="21" t="str">
        <f aca="false">IF(Patients!A419="","",IF(COUNTIF('Injection Sales'!$B$2:$B$501,Patients!A419)=0,"",Patients!A419))</f>
        <v/>
      </c>
      <c r="B419" s="24" t="str">
        <f aca="false">IF(A419="","",Patients!B419&amp;"")</f>
        <v/>
      </c>
      <c r="C419" s="21" t="str">
        <f aca="false">IF(A419="","",Patients!G419)</f>
        <v/>
      </c>
      <c r="D419" s="18" t="str">
        <f aca="false">IF(A419="","",_xlfn.MAXIFS('Injection Sales'!$A$2:$A$501,'Injection Sales'!$B$2:$B$501,A419))</f>
        <v/>
      </c>
      <c r="E419" s="19" t="str">
        <f aca="true">IF(A419="","",TODAY()-D419)</f>
        <v/>
      </c>
      <c r="F419" s="21" t="str">
        <f aca="false">IF(A419="","",IF(E419&gt;=Settings!$B$9,Settings!$B$9&amp;" Day",IF(E419&gt;=Settings!$B$8,Settings!$B$8&amp;" Day","Due in "&amp;(Settings!$B$8-E419)&amp;" days")))</f>
        <v/>
      </c>
      <c r="G419" s="21" t="str">
        <f aca="false">IF(A419="","",Patients!H419)</f>
        <v/>
      </c>
      <c r="H419" s="1"/>
    </row>
    <row r="420" customFormat="false" ht="15" hidden="false" customHeight="false" outlineLevel="0" collapsed="false">
      <c r="A420" s="21" t="str">
        <f aca="false">IF(Patients!A420="","",IF(COUNTIF('Injection Sales'!$B$2:$B$501,Patients!A420)=0,"",Patients!A420))</f>
        <v/>
      </c>
      <c r="B420" s="24" t="str">
        <f aca="false">IF(A420="","",Patients!B420&amp;"")</f>
        <v/>
      </c>
      <c r="C420" s="21" t="str">
        <f aca="false">IF(A420="","",Patients!G420)</f>
        <v/>
      </c>
      <c r="D420" s="18" t="str">
        <f aca="false">IF(A420="","",_xlfn.MAXIFS('Injection Sales'!$A$2:$A$501,'Injection Sales'!$B$2:$B$501,A420))</f>
        <v/>
      </c>
      <c r="E420" s="19" t="str">
        <f aca="true">IF(A420="","",TODAY()-D420)</f>
        <v/>
      </c>
      <c r="F420" s="21" t="str">
        <f aca="false">IF(A420="","",IF(E420&gt;=Settings!$B$9,Settings!$B$9&amp;" Day",IF(E420&gt;=Settings!$B$8,Settings!$B$8&amp;" Day","Due in "&amp;(Settings!$B$8-E420)&amp;" days")))</f>
        <v/>
      </c>
      <c r="G420" s="21" t="str">
        <f aca="false">IF(A420="","",Patients!H420)</f>
        <v/>
      </c>
      <c r="H420" s="1"/>
    </row>
    <row r="421" customFormat="false" ht="15" hidden="false" customHeight="false" outlineLevel="0" collapsed="false">
      <c r="A421" s="21" t="str">
        <f aca="false">IF(Patients!A421="","",IF(COUNTIF('Injection Sales'!$B$2:$B$501,Patients!A421)=0,"",Patients!A421))</f>
        <v/>
      </c>
      <c r="B421" s="24" t="str">
        <f aca="false">IF(A421="","",Patients!B421&amp;"")</f>
        <v/>
      </c>
      <c r="C421" s="21" t="str">
        <f aca="false">IF(A421="","",Patients!G421)</f>
        <v/>
      </c>
      <c r="D421" s="18" t="str">
        <f aca="false">IF(A421="","",_xlfn.MAXIFS('Injection Sales'!$A$2:$A$501,'Injection Sales'!$B$2:$B$501,A421))</f>
        <v/>
      </c>
      <c r="E421" s="19" t="str">
        <f aca="true">IF(A421="","",TODAY()-D421)</f>
        <v/>
      </c>
      <c r="F421" s="21" t="str">
        <f aca="false">IF(A421="","",IF(E421&gt;=Settings!$B$9,Settings!$B$9&amp;" Day",IF(E421&gt;=Settings!$B$8,Settings!$B$8&amp;" Day","Due in "&amp;(Settings!$B$8-E421)&amp;" days")))</f>
        <v/>
      </c>
      <c r="G421" s="21" t="str">
        <f aca="false">IF(A421="","",Patients!H421)</f>
        <v/>
      </c>
      <c r="H421" s="1"/>
    </row>
    <row r="422" customFormat="false" ht="15" hidden="false" customHeight="false" outlineLevel="0" collapsed="false">
      <c r="A422" s="21" t="str">
        <f aca="false">IF(Patients!A422="","",IF(COUNTIF('Injection Sales'!$B$2:$B$501,Patients!A422)=0,"",Patients!A422))</f>
        <v/>
      </c>
      <c r="B422" s="24" t="str">
        <f aca="false">IF(A422="","",Patients!B422&amp;"")</f>
        <v/>
      </c>
      <c r="C422" s="21" t="str">
        <f aca="false">IF(A422="","",Patients!G422)</f>
        <v/>
      </c>
      <c r="D422" s="18" t="str">
        <f aca="false">IF(A422="","",_xlfn.MAXIFS('Injection Sales'!$A$2:$A$501,'Injection Sales'!$B$2:$B$501,A422))</f>
        <v/>
      </c>
      <c r="E422" s="19" t="str">
        <f aca="true">IF(A422="","",TODAY()-D422)</f>
        <v/>
      </c>
      <c r="F422" s="21" t="str">
        <f aca="false">IF(A422="","",IF(E422&gt;=Settings!$B$9,Settings!$B$9&amp;" Day",IF(E422&gt;=Settings!$B$8,Settings!$B$8&amp;" Day","Due in "&amp;(Settings!$B$8-E422)&amp;" days")))</f>
        <v/>
      </c>
      <c r="G422" s="21" t="str">
        <f aca="false">IF(A422="","",Patients!H422)</f>
        <v/>
      </c>
      <c r="H422" s="1"/>
    </row>
    <row r="423" customFormat="false" ht="15" hidden="false" customHeight="false" outlineLevel="0" collapsed="false">
      <c r="A423" s="21" t="str">
        <f aca="false">IF(Patients!A423="","",IF(COUNTIF('Injection Sales'!$B$2:$B$501,Patients!A423)=0,"",Patients!A423))</f>
        <v/>
      </c>
      <c r="B423" s="24" t="str">
        <f aca="false">IF(A423="","",Patients!B423&amp;"")</f>
        <v/>
      </c>
      <c r="C423" s="21" t="str">
        <f aca="false">IF(A423="","",Patients!G423)</f>
        <v/>
      </c>
      <c r="D423" s="18" t="str">
        <f aca="false">IF(A423="","",_xlfn.MAXIFS('Injection Sales'!$A$2:$A$501,'Injection Sales'!$B$2:$B$501,A423))</f>
        <v/>
      </c>
      <c r="E423" s="19" t="str">
        <f aca="true">IF(A423="","",TODAY()-D423)</f>
        <v/>
      </c>
      <c r="F423" s="21" t="str">
        <f aca="false">IF(A423="","",IF(E423&gt;=Settings!$B$9,Settings!$B$9&amp;" Day",IF(E423&gt;=Settings!$B$8,Settings!$B$8&amp;" Day","Due in "&amp;(Settings!$B$8-E423)&amp;" days")))</f>
        <v/>
      </c>
      <c r="G423" s="21" t="str">
        <f aca="false">IF(A423="","",Patients!H423)</f>
        <v/>
      </c>
      <c r="H423" s="1"/>
    </row>
    <row r="424" customFormat="false" ht="15" hidden="false" customHeight="false" outlineLevel="0" collapsed="false">
      <c r="A424" s="21" t="str">
        <f aca="false">IF(Patients!A424="","",IF(COUNTIF('Injection Sales'!$B$2:$B$501,Patients!A424)=0,"",Patients!A424))</f>
        <v/>
      </c>
      <c r="B424" s="24" t="str">
        <f aca="false">IF(A424="","",Patients!B424&amp;"")</f>
        <v/>
      </c>
      <c r="C424" s="21" t="str">
        <f aca="false">IF(A424="","",Patients!G424)</f>
        <v/>
      </c>
      <c r="D424" s="18" t="str">
        <f aca="false">IF(A424="","",_xlfn.MAXIFS('Injection Sales'!$A$2:$A$501,'Injection Sales'!$B$2:$B$501,A424))</f>
        <v/>
      </c>
      <c r="E424" s="19" t="str">
        <f aca="true">IF(A424="","",TODAY()-D424)</f>
        <v/>
      </c>
      <c r="F424" s="21" t="str">
        <f aca="false">IF(A424="","",IF(E424&gt;=Settings!$B$9,Settings!$B$9&amp;" Day",IF(E424&gt;=Settings!$B$8,Settings!$B$8&amp;" Day","Due in "&amp;(Settings!$B$8-E424)&amp;" days")))</f>
        <v/>
      </c>
      <c r="G424" s="21" t="str">
        <f aca="false">IF(A424="","",Patients!H424)</f>
        <v/>
      </c>
      <c r="H424" s="1"/>
    </row>
    <row r="425" customFormat="false" ht="15" hidden="false" customHeight="false" outlineLevel="0" collapsed="false">
      <c r="A425" s="21" t="str">
        <f aca="false">IF(Patients!A425="","",IF(COUNTIF('Injection Sales'!$B$2:$B$501,Patients!A425)=0,"",Patients!A425))</f>
        <v/>
      </c>
      <c r="B425" s="24" t="str">
        <f aca="false">IF(A425="","",Patients!B425&amp;"")</f>
        <v/>
      </c>
      <c r="C425" s="21" t="str">
        <f aca="false">IF(A425="","",Patients!G425)</f>
        <v/>
      </c>
      <c r="D425" s="18" t="str">
        <f aca="false">IF(A425="","",_xlfn.MAXIFS('Injection Sales'!$A$2:$A$501,'Injection Sales'!$B$2:$B$501,A425))</f>
        <v/>
      </c>
      <c r="E425" s="19" t="str">
        <f aca="true">IF(A425="","",TODAY()-D425)</f>
        <v/>
      </c>
      <c r="F425" s="21" t="str">
        <f aca="false">IF(A425="","",IF(E425&gt;=Settings!$B$9,Settings!$B$9&amp;" Day",IF(E425&gt;=Settings!$B$8,Settings!$B$8&amp;" Day","Due in "&amp;(Settings!$B$8-E425)&amp;" days")))</f>
        <v/>
      </c>
      <c r="G425" s="21" t="str">
        <f aca="false">IF(A425="","",Patients!H425)</f>
        <v/>
      </c>
      <c r="H425" s="1"/>
    </row>
    <row r="426" customFormat="false" ht="15" hidden="false" customHeight="false" outlineLevel="0" collapsed="false">
      <c r="A426" s="21" t="str">
        <f aca="false">IF(Patients!A426="","",IF(COUNTIF('Injection Sales'!$B$2:$B$501,Patients!A426)=0,"",Patients!A426))</f>
        <v/>
      </c>
      <c r="B426" s="24" t="str">
        <f aca="false">IF(A426="","",Patients!B426&amp;"")</f>
        <v/>
      </c>
      <c r="C426" s="21" t="str">
        <f aca="false">IF(A426="","",Patients!G426)</f>
        <v/>
      </c>
      <c r="D426" s="18" t="str">
        <f aca="false">IF(A426="","",_xlfn.MAXIFS('Injection Sales'!$A$2:$A$501,'Injection Sales'!$B$2:$B$501,A426))</f>
        <v/>
      </c>
      <c r="E426" s="19" t="str">
        <f aca="true">IF(A426="","",TODAY()-D426)</f>
        <v/>
      </c>
      <c r="F426" s="21" t="str">
        <f aca="false">IF(A426="","",IF(E426&gt;=Settings!$B$9,Settings!$B$9&amp;" Day",IF(E426&gt;=Settings!$B$8,Settings!$B$8&amp;" Day","Due in "&amp;(Settings!$B$8-E426)&amp;" days")))</f>
        <v/>
      </c>
      <c r="G426" s="21" t="str">
        <f aca="false">IF(A426="","",Patients!H426)</f>
        <v/>
      </c>
      <c r="H426" s="1"/>
    </row>
    <row r="427" customFormat="false" ht="15" hidden="false" customHeight="false" outlineLevel="0" collapsed="false">
      <c r="A427" s="21" t="str">
        <f aca="false">IF(Patients!A427="","",IF(COUNTIF('Injection Sales'!$B$2:$B$501,Patients!A427)=0,"",Patients!A427))</f>
        <v/>
      </c>
      <c r="B427" s="24" t="str">
        <f aca="false">IF(A427="","",Patients!B427&amp;"")</f>
        <v/>
      </c>
      <c r="C427" s="21" t="str">
        <f aca="false">IF(A427="","",Patients!G427)</f>
        <v/>
      </c>
      <c r="D427" s="18" t="str">
        <f aca="false">IF(A427="","",_xlfn.MAXIFS('Injection Sales'!$A$2:$A$501,'Injection Sales'!$B$2:$B$501,A427))</f>
        <v/>
      </c>
      <c r="E427" s="19" t="str">
        <f aca="true">IF(A427="","",TODAY()-D427)</f>
        <v/>
      </c>
      <c r="F427" s="21" t="str">
        <f aca="false">IF(A427="","",IF(E427&gt;=Settings!$B$9,Settings!$B$9&amp;" Day",IF(E427&gt;=Settings!$B$8,Settings!$B$8&amp;" Day","Due in "&amp;(Settings!$B$8-E427)&amp;" days")))</f>
        <v/>
      </c>
      <c r="G427" s="21" t="str">
        <f aca="false">IF(A427="","",Patients!H427)</f>
        <v/>
      </c>
      <c r="H427" s="1"/>
    </row>
    <row r="428" customFormat="false" ht="15" hidden="false" customHeight="false" outlineLevel="0" collapsed="false">
      <c r="A428" s="21" t="str">
        <f aca="false">IF(Patients!A428="","",IF(COUNTIF('Injection Sales'!$B$2:$B$501,Patients!A428)=0,"",Patients!A428))</f>
        <v/>
      </c>
      <c r="B428" s="24" t="str">
        <f aca="false">IF(A428="","",Patients!B428&amp;"")</f>
        <v/>
      </c>
      <c r="C428" s="21" t="str">
        <f aca="false">IF(A428="","",Patients!G428)</f>
        <v/>
      </c>
      <c r="D428" s="18" t="str">
        <f aca="false">IF(A428="","",_xlfn.MAXIFS('Injection Sales'!$A$2:$A$501,'Injection Sales'!$B$2:$B$501,A428))</f>
        <v/>
      </c>
      <c r="E428" s="19" t="str">
        <f aca="true">IF(A428="","",TODAY()-D428)</f>
        <v/>
      </c>
      <c r="F428" s="21" t="str">
        <f aca="false">IF(A428="","",IF(E428&gt;=Settings!$B$9,Settings!$B$9&amp;" Day",IF(E428&gt;=Settings!$B$8,Settings!$B$8&amp;" Day","Due in "&amp;(Settings!$B$8-E428)&amp;" days")))</f>
        <v/>
      </c>
      <c r="G428" s="21" t="str">
        <f aca="false">IF(A428="","",Patients!H428)</f>
        <v/>
      </c>
      <c r="H428" s="1"/>
    </row>
    <row r="429" customFormat="false" ht="15" hidden="false" customHeight="false" outlineLevel="0" collapsed="false">
      <c r="A429" s="21" t="str">
        <f aca="false">IF(Patients!A429="","",IF(COUNTIF('Injection Sales'!$B$2:$B$501,Patients!A429)=0,"",Patients!A429))</f>
        <v/>
      </c>
      <c r="B429" s="24" t="str">
        <f aca="false">IF(A429="","",Patients!B429&amp;"")</f>
        <v/>
      </c>
      <c r="C429" s="21" t="str">
        <f aca="false">IF(A429="","",Patients!G429)</f>
        <v/>
      </c>
      <c r="D429" s="18" t="str">
        <f aca="false">IF(A429="","",_xlfn.MAXIFS('Injection Sales'!$A$2:$A$501,'Injection Sales'!$B$2:$B$501,A429))</f>
        <v/>
      </c>
      <c r="E429" s="19" t="str">
        <f aca="true">IF(A429="","",TODAY()-D429)</f>
        <v/>
      </c>
      <c r="F429" s="21" t="str">
        <f aca="false">IF(A429="","",IF(E429&gt;=Settings!$B$9,Settings!$B$9&amp;" Day",IF(E429&gt;=Settings!$B$8,Settings!$B$8&amp;" Day","Due in "&amp;(Settings!$B$8-E429)&amp;" days")))</f>
        <v/>
      </c>
      <c r="G429" s="21" t="str">
        <f aca="false">IF(A429="","",Patients!H429)</f>
        <v/>
      </c>
      <c r="H429" s="1"/>
    </row>
    <row r="430" customFormat="false" ht="15" hidden="false" customHeight="false" outlineLevel="0" collapsed="false">
      <c r="A430" s="21" t="str">
        <f aca="false">IF(Patients!A430="","",IF(COUNTIF('Injection Sales'!$B$2:$B$501,Patients!A430)=0,"",Patients!A430))</f>
        <v/>
      </c>
      <c r="B430" s="24" t="str">
        <f aca="false">IF(A430="","",Patients!B430&amp;"")</f>
        <v/>
      </c>
      <c r="C430" s="21" t="str">
        <f aca="false">IF(A430="","",Patients!G430)</f>
        <v/>
      </c>
      <c r="D430" s="18" t="str">
        <f aca="false">IF(A430="","",_xlfn.MAXIFS('Injection Sales'!$A$2:$A$501,'Injection Sales'!$B$2:$B$501,A430))</f>
        <v/>
      </c>
      <c r="E430" s="19" t="str">
        <f aca="true">IF(A430="","",TODAY()-D430)</f>
        <v/>
      </c>
      <c r="F430" s="21" t="str">
        <f aca="false">IF(A430="","",IF(E430&gt;=Settings!$B$9,Settings!$B$9&amp;" Day",IF(E430&gt;=Settings!$B$8,Settings!$B$8&amp;" Day","Due in "&amp;(Settings!$B$8-E430)&amp;" days")))</f>
        <v/>
      </c>
      <c r="G430" s="21" t="str">
        <f aca="false">IF(A430="","",Patients!H430)</f>
        <v/>
      </c>
      <c r="H430" s="1"/>
    </row>
    <row r="431" customFormat="false" ht="15" hidden="false" customHeight="false" outlineLevel="0" collapsed="false">
      <c r="A431" s="21" t="str">
        <f aca="false">IF(Patients!A431="","",IF(COUNTIF('Injection Sales'!$B$2:$B$501,Patients!A431)=0,"",Patients!A431))</f>
        <v/>
      </c>
      <c r="B431" s="24" t="str">
        <f aca="false">IF(A431="","",Patients!B431&amp;"")</f>
        <v/>
      </c>
      <c r="C431" s="21" t="str">
        <f aca="false">IF(A431="","",Patients!G431)</f>
        <v/>
      </c>
      <c r="D431" s="18" t="str">
        <f aca="false">IF(A431="","",_xlfn.MAXIFS('Injection Sales'!$A$2:$A$501,'Injection Sales'!$B$2:$B$501,A431))</f>
        <v/>
      </c>
      <c r="E431" s="19" t="str">
        <f aca="true">IF(A431="","",TODAY()-D431)</f>
        <v/>
      </c>
      <c r="F431" s="21" t="str">
        <f aca="false">IF(A431="","",IF(E431&gt;=Settings!$B$9,Settings!$B$9&amp;" Day",IF(E431&gt;=Settings!$B$8,Settings!$B$8&amp;" Day","Due in "&amp;(Settings!$B$8-E431)&amp;" days")))</f>
        <v/>
      </c>
      <c r="G431" s="21" t="str">
        <f aca="false">IF(A431="","",Patients!H431)</f>
        <v/>
      </c>
      <c r="H431" s="1"/>
    </row>
    <row r="432" customFormat="false" ht="15" hidden="false" customHeight="false" outlineLevel="0" collapsed="false">
      <c r="A432" s="21" t="str">
        <f aca="false">IF(Patients!A432="","",IF(COUNTIF('Injection Sales'!$B$2:$B$501,Patients!A432)=0,"",Patients!A432))</f>
        <v/>
      </c>
      <c r="B432" s="24" t="str">
        <f aca="false">IF(A432="","",Patients!B432&amp;"")</f>
        <v/>
      </c>
      <c r="C432" s="21" t="str">
        <f aca="false">IF(A432="","",Patients!G432)</f>
        <v/>
      </c>
      <c r="D432" s="18" t="str">
        <f aca="false">IF(A432="","",_xlfn.MAXIFS('Injection Sales'!$A$2:$A$501,'Injection Sales'!$B$2:$B$501,A432))</f>
        <v/>
      </c>
      <c r="E432" s="19" t="str">
        <f aca="true">IF(A432="","",TODAY()-D432)</f>
        <v/>
      </c>
      <c r="F432" s="21" t="str">
        <f aca="false">IF(A432="","",IF(E432&gt;=Settings!$B$9,Settings!$B$9&amp;" Day",IF(E432&gt;=Settings!$B$8,Settings!$B$8&amp;" Day","Due in "&amp;(Settings!$B$8-E432)&amp;" days")))</f>
        <v/>
      </c>
      <c r="G432" s="21" t="str">
        <f aca="false">IF(A432="","",Patients!H432)</f>
        <v/>
      </c>
      <c r="H432" s="1"/>
    </row>
    <row r="433" customFormat="false" ht="15" hidden="false" customHeight="false" outlineLevel="0" collapsed="false">
      <c r="A433" s="21" t="str">
        <f aca="false">IF(Patients!A433="","",IF(COUNTIF('Injection Sales'!$B$2:$B$501,Patients!A433)=0,"",Patients!A433))</f>
        <v/>
      </c>
      <c r="B433" s="24" t="str">
        <f aca="false">IF(A433="","",Patients!B433&amp;"")</f>
        <v/>
      </c>
      <c r="C433" s="21" t="str">
        <f aca="false">IF(A433="","",Patients!G433)</f>
        <v/>
      </c>
      <c r="D433" s="18" t="str">
        <f aca="false">IF(A433="","",_xlfn.MAXIFS('Injection Sales'!$A$2:$A$501,'Injection Sales'!$B$2:$B$501,A433))</f>
        <v/>
      </c>
      <c r="E433" s="19" t="str">
        <f aca="true">IF(A433="","",TODAY()-D433)</f>
        <v/>
      </c>
      <c r="F433" s="21" t="str">
        <f aca="false">IF(A433="","",IF(E433&gt;=Settings!$B$9,Settings!$B$9&amp;" Day",IF(E433&gt;=Settings!$B$8,Settings!$B$8&amp;" Day","Due in "&amp;(Settings!$B$8-E433)&amp;" days")))</f>
        <v/>
      </c>
      <c r="G433" s="21" t="str">
        <f aca="false">IF(A433="","",Patients!H433)</f>
        <v/>
      </c>
      <c r="H433" s="1"/>
    </row>
    <row r="434" customFormat="false" ht="15" hidden="false" customHeight="false" outlineLevel="0" collapsed="false">
      <c r="A434" s="21" t="str">
        <f aca="false">IF(Patients!A434="","",IF(COUNTIF('Injection Sales'!$B$2:$B$501,Patients!A434)=0,"",Patients!A434))</f>
        <v/>
      </c>
      <c r="B434" s="24" t="str">
        <f aca="false">IF(A434="","",Patients!B434&amp;"")</f>
        <v/>
      </c>
      <c r="C434" s="21" t="str">
        <f aca="false">IF(A434="","",Patients!G434)</f>
        <v/>
      </c>
      <c r="D434" s="18" t="str">
        <f aca="false">IF(A434="","",_xlfn.MAXIFS('Injection Sales'!$A$2:$A$501,'Injection Sales'!$B$2:$B$501,A434))</f>
        <v/>
      </c>
      <c r="E434" s="19" t="str">
        <f aca="true">IF(A434="","",TODAY()-D434)</f>
        <v/>
      </c>
      <c r="F434" s="21" t="str">
        <f aca="false">IF(A434="","",IF(E434&gt;=Settings!$B$9,Settings!$B$9&amp;" Day",IF(E434&gt;=Settings!$B$8,Settings!$B$8&amp;" Day","Due in "&amp;(Settings!$B$8-E434)&amp;" days")))</f>
        <v/>
      </c>
      <c r="G434" s="21" t="str">
        <f aca="false">IF(A434="","",Patients!H434)</f>
        <v/>
      </c>
      <c r="H434" s="1"/>
    </row>
    <row r="435" customFormat="false" ht="15" hidden="false" customHeight="false" outlineLevel="0" collapsed="false">
      <c r="A435" s="21" t="str">
        <f aca="false">IF(Patients!A435="","",IF(COUNTIF('Injection Sales'!$B$2:$B$501,Patients!A435)=0,"",Patients!A435))</f>
        <v/>
      </c>
      <c r="B435" s="24" t="str">
        <f aca="false">IF(A435="","",Patients!B435&amp;"")</f>
        <v/>
      </c>
      <c r="C435" s="21" t="str">
        <f aca="false">IF(A435="","",Patients!G435)</f>
        <v/>
      </c>
      <c r="D435" s="18" t="str">
        <f aca="false">IF(A435="","",_xlfn.MAXIFS('Injection Sales'!$A$2:$A$501,'Injection Sales'!$B$2:$B$501,A435))</f>
        <v/>
      </c>
      <c r="E435" s="19" t="str">
        <f aca="true">IF(A435="","",TODAY()-D435)</f>
        <v/>
      </c>
      <c r="F435" s="21" t="str">
        <f aca="false">IF(A435="","",IF(E435&gt;=Settings!$B$9,Settings!$B$9&amp;" Day",IF(E435&gt;=Settings!$B$8,Settings!$B$8&amp;" Day","Due in "&amp;(Settings!$B$8-E435)&amp;" days")))</f>
        <v/>
      </c>
      <c r="G435" s="21" t="str">
        <f aca="false">IF(A435="","",Patients!H435)</f>
        <v/>
      </c>
      <c r="H435" s="1"/>
    </row>
    <row r="436" customFormat="false" ht="15" hidden="false" customHeight="false" outlineLevel="0" collapsed="false">
      <c r="A436" s="21" t="str">
        <f aca="false">IF(Patients!A436="","",IF(COUNTIF('Injection Sales'!$B$2:$B$501,Patients!A436)=0,"",Patients!A436))</f>
        <v/>
      </c>
      <c r="B436" s="24" t="str">
        <f aca="false">IF(A436="","",Patients!B436&amp;"")</f>
        <v/>
      </c>
      <c r="C436" s="21" t="str">
        <f aca="false">IF(A436="","",Patients!G436)</f>
        <v/>
      </c>
      <c r="D436" s="18" t="str">
        <f aca="false">IF(A436="","",_xlfn.MAXIFS('Injection Sales'!$A$2:$A$501,'Injection Sales'!$B$2:$B$501,A436))</f>
        <v/>
      </c>
      <c r="E436" s="19" t="str">
        <f aca="true">IF(A436="","",TODAY()-D436)</f>
        <v/>
      </c>
      <c r="F436" s="21" t="str">
        <f aca="false">IF(A436="","",IF(E436&gt;=Settings!$B$9,Settings!$B$9&amp;" Day",IF(E436&gt;=Settings!$B$8,Settings!$B$8&amp;" Day","Due in "&amp;(Settings!$B$8-E436)&amp;" days")))</f>
        <v/>
      </c>
      <c r="G436" s="21" t="str">
        <f aca="false">IF(A436="","",Patients!H436)</f>
        <v/>
      </c>
      <c r="H436" s="1"/>
    </row>
    <row r="437" customFormat="false" ht="15" hidden="false" customHeight="false" outlineLevel="0" collapsed="false">
      <c r="A437" s="21" t="str">
        <f aca="false">IF(Patients!A437="","",IF(COUNTIF('Injection Sales'!$B$2:$B$501,Patients!A437)=0,"",Patients!A437))</f>
        <v/>
      </c>
      <c r="B437" s="24" t="str">
        <f aca="false">IF(A437="","",Patients!B437&amp;"")</f>
        <v/>
      </c>
      <c r="C437" s="21" t="str">
        <f aca="false">IF(A437="","",Patients!G437)</f>
        <v/>
      </c>
      <c r="D437" s="18" t="str">
        <f aca="false">IF(A437="","",_xlfn.MAXIFS('Injection Sales'!$A$2:$A$501,'Injection Sales'!$B$2:$B$501,A437))</f>
        <v/>
      </c>
      <c r="E437" s="19" t="str">
        <f aca="true">IF(A437="","",TODAY()-D437)</f>
        <v/>
      </c>
      <c r="F437" s="21" t="str">
        <f aca="false">IF(A437="","",IF(E437&gt;=Settings!$B$9,Settings!$B$9&amp;" Day",IF(E437&gt;=Settings!$B$8,Settings!$B$8&amp;" Day","Due in "&amp;(Settings!$B$8-E437)&amp;" days")))</f>
        <v/>
      </c>
      <c r="G437" s="21" t="str">
        <f aca="false">IF(A437="","",Patients!H437)</f>
        <v/>
      </c>
      <c r="H437" s="1"/>
    </row>
    <row r="438" customFormat="false" ht="15" hidden="false" customHeight="false" outlineLevel="0" collapsed="false">
      <c r="A438" s="21" t="str">
        <f aca="false">IF(Patients!A438="","",IF(COUNTIF('Injection Sales'!$B$2:$B$501,Patients!A438)=0,"",Patients!A438))</f>
        <v/>
      </c>
      <c r="B438" s="24" t="str">
        <f aca="false">IF(A438="","",Patients!B438&amp;"")</f>
        <v/>
      </c>
      <c r="C438" s="21" t="str">
        <f aca="false">IF(A438="","",Patients!G438)</f>
        <v/>
      </c>
      <c r="D438" s="18" t="str">
        <f aca="false">IF(A438="","",_xlfn.MAXIFS('Injection Sales'!$A$2:$A$501,'Injection Sales'!$B$2:$B$501,A438))</f>
        <v/>
      </c>
      <c r="E438" s="19" t="str">
        <f aca="true">IF(A438="","",TODAY()-D438)</f>
        <v/>
      </c>
      <c r="F438" s="21" t="str">
        <f aca="false">IF(A438="","",IF(E438&gt;=Settings!$B$9,Settings!$B$9&amp;" Day",IF(E438&gt;=Settings!$B$8,Settings!$B$8&amp;" Day","Due in "&amp;(Settings!$B$8-E438)&amp;" days")))</f>
        <v/>
      </c>
      <c r="G438" s="21" t="str">
        <f aca="false">IF(A438="","",Patients!H438)</f>
        <v/>
      </c>
      <c r="H438" s="1"/>
    </row>
    <row r="439" customFormat="false" ht="15" hidden="false" customHeight="false" outlineLevel="0" collapsed="false">
      <c r="A439" s="21" t="str">
        <f aca="false">IF(Patients!A439="","",IF(COUNTIF('Injection Sales'!$B$2:$B$501,Patients!A439)=0,"",Patients!A439))</f>
        <v/>
      </c>
      <c r="B439" s="24" t="str">
        <f aca="false">IF(A439="","",Patients!B439&amp;"")</f>
        <v/>
      </c>
      <c r="C439" s="21" t="str">
        <f aca="false">IF(A439="","",Patients!G439)</f>
        <v/>
      </c>
      <c r="D439" s="18" t="str">
        <f aca="false">IF(A439="","",_xlfn.MAXIFS('Injection Sales'!$A$2:$A$501,'Injection Sales'!$B$2:$B$501,A439))</f>
        <v/>
      </c>
      <c r="E439" s="19" t="str">
        <f aca="true">IF(A439="","",TODAY()-D439)</f>
        <v/>
      </c>
      <c r="F439" s="21" t="str">
        <f aca="false">IF(A439="","",IF(E439&gt;=Settings!$B$9,Settings!$B$9&amp;" Day",IF(E439&gt;=Settings!$B$8,Settings!$B$8&amp;" Day","Due in "&amp;(Settings!$B$8-E439)&amp;" days")))</f>
        <v/>
      </c>
      <c r="G439" s="21" t="str">
        <f aca="false">IF(A439="","",Patients!H439)</f>
        <v/>
      </c>
      <c r="H439" s="1"/>
    </row>
    <row r="440" customFormat="false" ht="15" hidden="false" customHeight="false" outlineLevel="0" collapsed="false">
      <c r="A440" s="21" t="str">
        <f aca="false">IF(Patients!A440="","",IF(COUNTIF('Injection Sales'!$B$2:$B$501,Patients!A440)=0,"",Patients!A440))</f>
        <v/>
      </c>
      <c r="B440" s="24" t="str">
        <f aca="false">IF(A440="","",Patients!B440&amp;"")</f>
        <v/>
      </c>
      <c r="C440" s="21" t="str">
        <f aca="false">IF(A440="","",Patients!G440)</f>
        <v/>
      </c>
      <c r="D440" s="18" t="str">
        <f aca="false">IF(A440="","",_xlfn.MAXIFS('Injection Sales'!$A$2:$A$501,'Injection Sales'!$B$2:$B$501,A440))</f>
        <v/>
      </c>
      <c r="E440" s="19" t="str">
        <f aca="true">IF(A440="","",TODAY()-D440)</f>
        <v/>
      </c>
      <c r="F440" s="21" t="str">
        <f aca="false">IF(A440="","",IF(E440&gt;=Settings!$B$9,Settings!$B$9&amp;" Day",IF(E440&gt;=Settings!$B$8,Settings!$B$8&amp;" Day","Due in "&amp;(Settings!$B$8-E440)&amp;" days")))</f>
        <v/>
      </c>
      <c r="G440" s="21" t="str">
        <f aca="false">IF(A440="","",Patients!H440)</f>
        <v/>
      </c>
      <c r="H440" s="1"/>
    </row>
    <row r="441" customFormat="false" ht="15" hidden="false" customHeight="false" outlineLevel="0" collapsed="false">
      <c r="A441" s="21" t="str">
        <f aca="false">IF(Patients!A441="","",IF(COUNTIF('Injection Sales'!$B$2:$B$501,Patients!A441)=0,"",Patients!A441))</f>
        <v/>
      </c>
      <c r="B441" s="24" t="str">
        <f aca="false">IF(A441="","",Patients!B441&amp;"")</f>
        <v/>
      </c>
      <c r="C441" s="21" t="str">
        <f aca="false">IF(A441="","",Patients!G441)</f>
        <v/>
      </c>
      <c r="D441" s="18" t="str">
        <f aca="false">IF(A441="","",_xlfn.MAXIFS('Injection Sales'!$A$2:$A$501,'Injection Sales'!$B$2:$B$501,A441))</f>
        <v/>
      </c>
      <c r="E441" s="19" t="str">
        <f aca="true">IF(A441="","",TODAY()-D441)</f>
        <v/>
      </c>
      <c r="F441" s="21" t="str">
        <f aca="false">IF(A441="","",IF(E441&gt;=Settings!$B$9,Settings!$B$9&amp;" Day",IF(E441&gt;=Settings!$B$8,Settings!$B$8&amp;" Day","Due in "&amp;(Settings!$B$8-E441)&amp;" days")))</f>
        <v/>
      </c>
      <c r="G441" s="21" t="str">
        <f aca="false">IF(A441="","",Patients!H441)</f>
        <v/>
      </c>
      <c r="H441" s="1"/>
    </row>
    <row r="442" customFormat="false" ht="15" hidden="false" customHeight="false" outlineLevel="0" collapsed="false">
      <c r="A442" s="21" t="str">
        <f aca="false">IF(Patients!A442="","",IF(COUNTIF('Injection Sales'!$B$2:$B$501,Patients!A442)=0,"",Patients!A442))</f>
        <v/>
      </c>
      <c r="B442" s="24" t="str">
        <f aca="false">IF(A442="","",Patients!B442&amp;"")</f>
        <v/>
      </c>
      <c r="C442" s="21" t="str">
        <f aca="false">IF(A442="","",Patients!G442)</f>
        <v/>
      </c>
      <c r="D442" s="18" t="str">
        <f aca="false">IF(A442="","",_xlfn.MAXIFS('Injection Sales'!$A$2:$A$501,'Injection Sales'!$B$2:$B$501,A442))</f>
        <v/>
      </c>
      <c r="E442" s="19" t="str">
        <f aca="true">IF(A442="","",TODAY()-D442)</f>
        <v/>
      </c>
      <c r="F442" s="21" t="str">
        <f aca="false">IF(A442="","",IF(E442&gt;=Settings!$B$9,Settings!$B$9&amp;" Day",IF(E442&gt;=Settings!$B$8,Settings!$B$8&amp;" Day","Due in "&amp;(Settings!$B$8-E442)&amp;" days")))</f>
        <v/>
      </c>
      <c r="G442" s="21" t="str">
        <f aca="false">IF(A442="","",Patients!H442)</f>
        <v/>
      </c>
      <c r="H442" s="1"/>
    </row>
    <row r="443" customFormat="false" ht="15" hidden="false" customHeight="false" outlineLevel="0" collapsed="false">
      <c r="A443" s="21" t="str">
        <f aca="false">IF(Patients!A443="","",IF(COUNTIF('Injection Sales'!$B$2:$B$501,Patients!A443)=0,"",Patients!A443))</f>
        <v/>
      </c>
      <c r="B443" s="24" t="str">
        <f aca="false">IF(A443="","",Patients!B443&amp;"")</f>
        <v/>
      </c>
      <c r="C443" s="21" t="str">
        <f aca="false">IF(A443="","",Patients!G443)</f>
        <v/>
      </c>
      <c r="D443" s="18" t="str">
        <f aca="false">IF(A443="","",_xlfn.MAXIFS('Injection Sales'!$A$2:$A$501,'Injection Sales'!$B$2:$B$501,A443))</f>
        <v/>
      </c>
      <c r="E443" s="19" t="str">
        <f aca="true">IF(A443="","",TODAY()-D443)</f>
        <v/>
      </c>
      <c r="F443" s="21" t="str">
        <f aca="false">IF(A443="","",IF(E443&gt;=Settings!$B$9,Settings!$B$9&amp;" Day",IF(E443&gt;=Settings!$B$8,Settings!$B$8&amp;" Day","Due in "&amp;(Settings!$B$8-E443)&amp;" days")))</f>
        <v/>
      </c>
      <c r="G443" s="21" t="str">
        <f aca="false">IF(A443="","",Patients!H443)</f>
        <v/>
      </c>
      <c r="H443" s="1"/>
    </row>
    <row r="444" customFormat="false" ht="15" hidden="false" customHeight="false" outlineLevel="0" collapsed="false">
      <c r="A444" s="21" t="str">
        <f aca="false">IF(Patients!A444="","",IF(COUNTIF('Injection Sales'!$B$2:$B$501,Patients!A444)=0,"",Patients!A444))</f>
        <v/>
      </c>
      <c r="B444" s="24" t="str">
        <f aca="false">IF(A444="","",Patients!B444&amp;"")</f>
        <v/>
      </c>
      <c r="C444" s="21" t="str">
        <f aca="false">IF(A444="","",Patients!G444)</f>
        <v/>
      </c>
      <c r="D444" s="18" t="str">
        <f aca="false">IF(A444="","",_xlfn.MAXIFS('Injection Sales'!$A$2:$A$501,'Injection Sales'!$B$2:$B$501,A444))</f>
        <v/>
      </c>
      <c r="E444" s="19" t="str">
        <f aca="true">IF(A444="","",TODAY()-D444)</f>
        <v/>
      </c>
      <c r="F444" s="21" t="str">
        <f aca="false">IF(A444="","",IF(E444&gt;=Settings!$B$9,Settings!$B$9&amp;" Day",IF(E444&gt;=Settings!$B$8,Settings!$B$8&amp;" Day","Due in "&amp;(Settings!$B$8-E444)&amp;" days")))</f>
        <v/>
      </c>
      <c r="G444" s="21" t="str">
        <f aca="false">IF(A444="","",Patients!H444)</f>
        <v/>
      </c>
      <c r="H444" s="1"/>
    </row>
    <row r="445" customFormat="false" ht="15" hidden="false" customHeight="false" outlineLevel="0" collapsed="false">
      <c r="A445" s="21" t="str">
        <f aca="false">IF(Patients!A445="","",IF(COUNTIF('Injection Sales'!$B$2:$B$501,Patients!A445)=0,"",Patients!A445))</f>
        <v/>
      </c>
      <c r="B445" s="24" t="str">
        <f aca="false">IF(A445="","",Patients!B445&amp;"")</f>
        <v/>
      </c>
      <c r="C445" s="21" t="str">
        <f aca="false">IF(A445="","",Patients!G445)</f>
        <v/>
      </c>
      <c r="D445" s="18" t="str">
        <f aca="false">IF(A445="","",_xlfn.MAXIFS('Injection Sales'!$A$2:$A$501,'Injection Sales'!$B$2:$B$501,A445))</f>
        <v/>
      </c>
      <c r="E445" s="19" t="str">
        <f aca="true">IF(A445="","",TODAY()-D445)</f>
        <v/>
      </c>
      <c r="F445" s="21" t="str">
        <f aca="false">IF(A445="","",IF(E445&gt;=Settings!$B$9,Settings!$B$9&amp;" Day",IF(E445&gt;=Settings!$B$8,Settings!$B$8&amp;" Day","Due in "&amp;(Settings!$B$8-E445)&amp;" days")))</f>
        <v/>
      </c>
      <c r="G445" s="21" t="str">
        <f aca="false">IF(A445="","",Patients!H445)</f>
        <v/>
      </c>
      <c r="H445" s="1"/>
    </row>
    <row r="446" customFormat="false" ht="15" hidden="false" customHeight="false" outlineLevel="0" collapsed="false">
      <c r="A446" s="21" t="str">
        <f aca="false">IF(Patients!A446="","",IF(COUNTIF('Injection Sales'!$B$2:$B$501,Patients!A446)=0,"",Patients!A446))</f>
        <v/>
      </c>
      <c r="B446" s="24" t="str">
        <f aca="false">IF(A446="","",Patients!B446&amp;"")</f>
        <v/>
      </c>
      <c r="C446" s="21" t="str">
        <f aca="false">IF(A446="","",Patients!G446)</f>
        <v/>
      </c>
      <c r="D446" s="18" t="str">
        <f aca="false">IF(A446="","",_xlfn.MAXIFS('Injection Sales'!$A$2:$A$501,'Injection Sales'!$B$2:$B$501,A446))</f>
        <v/>
      </c>
      <c r="E446" s="19" t="str">
        <f aca="true">IF(A446="","",TODAY()-D446)</f>
        <v/>
      </c>
      <c r="F446" s="21" t="str">
        <f aca="false">IF(A446="","",IF(E446&gt;=Settings!$B$9,Settings!$B$9&amp;" Day",IF(E446&gt;=Settings!$B$8,Settings!$B$8&amp;" Day","Due in "&amp;(Settings!$B$8-E446)&amp;" days")))</f>
        <v/>
      </c>
      <c r="G446" s="21" t="str">
        <f aca="false">IF(A446="","",Patients!H446)</f>
        <v/>
      </c>
      <c r="H446" s="1"/>
    </row>
    <row r="447" customFormat="false" ht="15" hidden="false" customHeight="false" outlineLevel="0" collapsed="false">
      <c r="A447" s="21" t="str">
        <f aca="false">IF(Patients!A447="","",IF(COUNTIF('Injection Sales'!$B$2:$B$501,Patients!A447)=0,"",Patients!A447))</f>
        <v/>
      </c>
      <c r="B447" s="24" t="str">
        <f aca="false">IF(A447="","",Patients!B447&amp;"")</f>
        <v/>
      </c>
      <c r="C447" s="21" t="str">
        <f aca="false">IF(A447="","",Patients!G447)</f>
        <v/>
      </c>
      <c r="D447" s="18" t="str">
        <f aca="false">IF(A447="","",_xlfn.MAXIFS('Injection Sales'!$A$2:$A$501,'Injection Sales'!$B$2:$B$501,A447))</f>
        <v/>
      </c>
      <c r="E447" s="19" t="str">
        <f aca="true">IF(A447="","",TODAY()-D447)</f>
        <v/>
      </c>
      <c r="F447" s="21" t="str">
        <f aca="false">IF(A447="","",IF(E447&gt;=Settings!$B$9,Settings!$B$9&amp;" Day",IF(E447&gt;=Settings!$B$8,Settings!$B$8&amp;" Day","Due in "&amp;(Settings!$B$8-E447)&amp;" days")))</f>
        <v/>
      </c>
      <c r="G447" s="21" t="str">
        <f aca="false">IF(A447="","",Patients!H447)</f>
        <v/>
      </c>
      <c r="H447" s="1"/>
    </row>
    <row r="448" customFormat="false" ht="15" hidden="false" customHeight="false" outlineLevel="0" collapsed="false">
      <c r="A448" s="21" t="str">
        <f aca="false">IF(Patients!A448="","",IF(COUNTIF('Injection Sales'!$B$2:$B$501,Patients!A448)=0,"",Patients!A448))</f>
        <v/>
      </c>
      <c r="B448" s="24" t="str">
        <f aca="false">IF(A448="","",Patients!B448&amp;"")</f>
        <v/>
      </c>
      <c r="C448" s="21" t="str">
        <f aca="false">IF(A448="","",Patients!G448)</f>
        <v/>
      </c>
      <c r="D448" s="18" t="str">
        <f aca="false">IF(A448="","",_xlfn.MAXIFS('Injection Sales'!$A$2:$A$501,'Injection Sales'!$B$2:$B$501,A448))</f>
        <v/>
      </c>
      <c r="E448" s="19" t="str">
        <f aca="true">IF(A448="","",TODAY()-D448)</f>
        <v/>
      </c>
      <c r="F448" s="21" t="str">
        <f aca="false">IF(A448="","",IF(E448&gt;=Settings!$B$9,Settings!$B$9&amp;" Day",IF(E448&gt;=Settings!$B$8,Settings!$B$8&amp;" Day","Due in "&amp;(Settings!$B$8-E448)&amp;" days")))</f>
        <v/>
      </c>
      <c r="G448" s="21" t="str">
        <f aca="false">IF(A448="","",Patients!H448)</f>
        <v/>
      </c>
      <c r="H448" s="1"/>
    </row>
    <row r="449" customFormat="false" ht="15" hidden="false" customHeight="false" outlineLevel="0" collapsed="false">
      <c r="A449" s="21" t="str">
        <f aca="false">IF(Patients!A449="","",IF(COUNTIF('Injection Sales'!$B$2:$B$501,Patients!A449)=0,"",Patients!A449))</f>
        <v/>
      </c>
      <c r="B449" s="24" t="str">
        <f aca="false">IF(A449="","",Patients!B449&amp;"")</f>
        <v/>
      </c>
      <c r="C449" s="21" t="str">
        <f aca="false">IF(A449="","",Patients!G449)</f>
        <v/>
      </c>
      <c r="D449" s="18" t="str">
        <f aca="false">IF(A449="","",_xlfn.MAXIFS('Injection Sales'!$A$2:$A$501,'Injection Sales'!$B$2:$B$501,A449))</f>
        <v/>
      </c>
      <c r="E449" s="19" t="str">
        <f aca="true">IF(A449="","",TODAY()-D449)</f>
        <v/>
      </c>
      <c r="F449" s="21" t="str">
        <f aca="false">IF(A449="","",IF(E449&gt;=Settings!$B$9,Settings!$B$9&amp;" Day",IF(E449&gt;=Settings!$B$8,Settings!$B$8&amp;" Day","Due in "&amp;(Settings!$B$8-E449)&amp;" days")))</f>
        <v/>
      </c>
      <c r="G449" s="21" t="str">
        <f aca="false">IF(A449="","",Patients!H449)</f>
        <v/>
      </c>
      <c r="H449" s="1"/>
    </row>
    <row r="450" customFormat="false" ht="15" hidden="false" customHeight="false" outlineLevel="0" collapsed="false">
      <c r="A450" s="21" t="str">
        <f aca="false">IF(Patients!A450="","",IF(COUNTIF('Injection Sales'!$B$2:$B$501,Patients!A450)=0,"",Patients!A450))</f>
        <v/>
      </c>
      <c r="B450" s="24" t="str">
        <f aca="false">IF(A450="","",Patients!B450&amp;"")</f>
        <v/>
      </c>
      <c r="C450" s="21" t="str">
        <f aca="false">IF(A450="","",Patients!G450)</f>
        <v/>
      </c>
      <c r="D450" s="18" t="str">
        <f aca="false">IF(A450="","",_xlfn.MAXIFS('Injection Sales'!$A$2:$A$501,'Injection Sales'!$B$2:$B$501,A450))</f>
        <v/>
      </c>
      <c r="E450" s="19" t="str">
        <f aca="true">IF(A450="","",TODAY()-D450)</f>
        <v/>
      </c>
      <c r="F450" s="21" t="str">
        <f aca="false">IF(A450="","",IF(E450&gt;=Settings!$B$9,Settings!$B$9&amp;" Day",IF(E450&gt;=Settings!$B$8,Settings!$B$8&amp;" Day","Due in "&amp;(Settings!$B$8-E450)&amp;" days")))</f>
        <v/>
      </c>
      <c r="G450" s="21" t="str">
        <f aca="false">IF(A450="","",Patients!H450)</f>
        <v/>
      </c>
      <c r="H450" s="1"/>
    </row>
    <row r="451" customFormat="false" ht="15" hidden="false" customHeight="false" outlineLevel="0" collapsed="false">
      <c r="A451" s="21" t="str">
        <f aca="false">IF(Patients!A451="","",IF(COUNTIF('Injection Sales'!$B$2:$B$501,Patients!A451)=0,"",Patients!A451))</f>
        <v/>
      </c>
      <c r="B451" s="24" t="str">
        <f aca="false">IF(A451="","",Patients!B451&amp;"")</f>
        <v/>
      </c>
      <c r="C451" s="21" t="str">
        <f aca="false">IF(A451="","",Patients!G451)</f>
        <v/>
      </c>
      <c r="D451" s="18" t="str">
        <f aca="false">IF(A451="","",_xlfn.MAXIFS('Injection Sales'!$A$2:$A$501,'Injection Sales'!$B$2:$B$501,A451))</f>
        <v/>
      </c>
      <c r="E451" s="19" t="str">
        <f aca="true">IF(A451="","",TODAY()-D451)</f>
        <v/>
      </c>
      <c r="F451" s="21" t="str">
        <f aca="false">IF(A451="","",IF(E451&gt;=Settings!$B$9,Settings!$B$9&amp;" Day",IF(E451&gt;=Settings!$B$8,Settings!$B$8&amp;" Day","Due in "&amp;(Settings!$B$8-E451)&amp;" days")))</f>
        <v/>
      </c>
      <c r="G451" s="21" t="str">
        <f aca="false">IF(A451="","",Patients!H451)</f>
        <v/>
      </c>
      <c r="H451" s="1"/>
    </row>
    <row r="452" customFormat="false" ht="15" hidden="false" customHeight="false" outlineLevel="0" collapsed="false">
      <c r="A452" s="21" t="str">
        <f aca="false">IF(Patients!A452="","",IF(COUNTIF('Injection Sales'!$B$2:$B$501,Patients!A452)=0,"",Patients!A452))</f>
        <v/>
      </c>
      <c r="B452" s="24" t="str">
        <f aca="false">IF(A452="","",Patients!B452&amp;"")</f>
        <v/>
      </c>
      <c r="C452" s="21" t="str">
        <f aca="false">IF(A452="","",Patients!G452)</f>
        <v/>
      </c>
      <c r="D452" s="18" t="str">
        <f aca="false">IF(A452="","",_xlfn.MAXIFS('Injection Sales'!$A$2:$A$501,'Injection Sales'!$B$2:$B$501,A452))</f>
        <v/>
      </c>
      <c r="E452" s="19" t="str">
        <f aca="true">IF(A452="","",TODAY()-D452)</f>
        <v/>
      </c>
      <c r="F452" s="21" t="str">
        <f aca="false">IF(A452="","",IF(E452&gt;=Settings!$B$9,Settings!$B$9&amp;" Day",IF(E452&gt;=Settings!$B$8,Settings!$B$8&amp;" Day","Due in "&amp;(Settings!$B$8-E452)&amp;" days")))</f>
        <v/>
      </c>
      <c r="G452" s="21" t="str">
        <f aca="false">IF(A452="","",Patients!H452)</f>
        <v/>
      </c>
      <c r="H452" s="1"/>
    </row>
    <row r="453" customFormat="false" ht="15" hidden="false" customHeight="false" outlineLevel="0" collapsed="false">
      <c r="A453" s="21" t="str">
        <f aca="false">IF(Patients!A453="","",IF(COUNTIF('Injection Sales'!$B$2:$B$501,Patients!A453)=0,"",Patients!A453))</f>
        <v/>
      </c>
      <c r="B453" s="24" t="str">
        <f aca="false">IF(A453="","",Patients!B453&amp;"")</f>
        <v/>
      </c>
      <c r="C453" s="21" t="str">
        <f aca="false">IF(A453="","",Patients!G453)</f>
        <v/>
      </c>
      <c r="D453" s="18" t="str">
        <f aca="false">IF(A453="","",_xlfn.MAXIFS('Injection Sales'!$A$2:$A$501,'Injection Sales'!$B$2:$B$501,A453))</f>
        <v/>
      </c>
      <c r="E453" s="19" t="str">
        <f aca="true">IF(A453="","",TODAY()-D453)</f>
        <v/>
      </c>
      <c r="F453" s="21" t="str">
        <f aca="false">IF(A453="","",IF(E453&gt;=Settings!$B$9,Settings!$B$9&amp;" Day",IF(E453&gt;=Settings!$B$8,Settings!$B$8&amp;" Day","Due in "&amp;(Settings!$B$8-E453)&amp;" days")))</f>
        <v/>
      </c>
      <c r="G453" s="21" t="str">
        <f aca="false">IF(A453="","",Patients!H453)</f>
        <v/>
      </c>
      <c r="H453" s="1"/>
    </row>
    <row r="454" customFormat="false" ht="15" hidden="false" customHeight="false" outlineLevel="0" collapsed="false">
      <c r="A454" s="21" t="str">
        <f aca="false">IF(Patients!A454="","",IF(COUNTIF('Injection Sales'!$B$2:$B$501,Patients!A454)=0,"",Patients!A454))</f>
        <v/>
      </c>
      <c r="B454" s="24" t="str">
        <f aca="false">IF(A454="","",Patients!B454&amp;"")</f>
        <v/>
      </c>
      <c r="C454" s="21" t="str">
        <f aca="false">IF(A454="","",Patients!G454)</f>
        <v/>
      </c>
      <c r="D454" s="18" t="str">
        <f aca="false">IF(A454="","",_xlfn.MAXIFS('Injection Sales'!$A$2:$A$501,'Injection Sales'!$B$2:$B$501,A454))</f>
        <v/>
      </c>
      <c r="E454" s="19" t="str">
        <f aca="true">IF(A454="","",TODAY()-D454)</f>
        <v/>
      </c>
      <c r="F454" s="21" t="str">
        <f aca="false">IF(A454="","",IF(E454&gt;=Settings!$B$9,Settings!$B$9&amp;" Day",IF(E454&gt;=Settings!$B$8,Settings!$B$8&amp;" Day","Due in "&amp;(Settings!$B$8-E454)&amp;" days")))</f>
        <v/>
      </c>
      <c r="G454" s="21" t="str">
        <f aca="false">IF(A454="","",Patients!H454)</f>
        <v/>
      </c>
      <c r="H454" s="1"/>
    </row>
    <row r="455" customFormat="false" ht="15" hidden="false" customHeight="false" outlineLevel="0" collapsed="false">
      <c r="A455" s="21" t="str">
        <f aca="false">IF(Patients!A455="","",IF(COUNTIF('Injection Sales'!$B$2:$B$501,Patients!A455)=0,"",Patients!A455))</f>
        <v/>
      </c>
      <c r="B455" s="24" t="str">
        <f aca="false">IF(A455="","",Patients!B455&amp;"")</f>
        <v/>
      </c>
      <c r="C455" s="21" t="str">
        <f aca="false">IF(A455="","",Patients!G455)</f>
        <v/>
      </c>
      <c r="D455" s="18" t="str">
        <f aca="false">IF(A455="","",_xlfn.MAXIFS('Injection Sales'!$A$2:$A$501,'Injection Sales'!$B$2:$B$501,A455))</f>
        <v/>
      </c>
      <c r="E455" s="19" t="str">
        <f aca="true">IF(A455="","",TODAY()-D455)</f>
        <v/>
      </c>
      <c r="F455" s="21" t="str">
        <f aca="false">IF(A455="","",IF(E455&gt;=Settings!$B$9,Settings!$B$9&amp;" Day",IF(E455&gt;=Settings!$B$8,Settings!$B$8&amp;" Day","Due in "&amp;(Settings!$B$8-E455)&amp;" days")))</f>
        <v/>
      </c>
      <c r="G455" s="21" t="str">
        <f aca="false">IF(A455="","",Patients!H455)</f>
        <v/>
      </c>
      <c r="H455" s="1"/>
    </row>
    <row r="456" customFormat="false" ht="15" hidden="false" customHeight="false" outlineLevel="0" collapsed="false">
      <c r="A456" s="21" t="str">
        <f aca="false">IF(Patients!A456="","",IF(COUNTIF('Injection Sales'!$B$2:$B$501,Patients!A456)=0,"",Patients!A456))</f>
        <v/>
      </c>
      <c r="B456" s="24" t="str">
        <f aca="false">IF(A456="","",Patients!B456&amp;"")</f>
        <v/>
      </c>
      <c r="C456" s="21" t="str">
        <f aca="false">IF(A456="","",Patients!G456)</f>
        <v/>
      </c>
      <c r="D456" s="18" t="str">
        <f aca="false">IF(A456="","",_xlfn.MAXIFS('Injection Sales'!$A$2:$A$501,'Injection Sales'!$B$2:$B$501,A456))</f>
        <v/>
      </c>
      <c r="E456" s="19" t="str">
        <f aca="true">IF(A456="","",TODAY()-D456)</f>
        <v/>
      </c>
      <c r="F456" s="21" t="str">
        <f aca="false">IF(A456="","",IF(E456&gt;=Settings!$B$9,Settings!$B$9&amp;" Day",IF(E456&gt;=Settings!$B$8,Settings!$B$8&amp;" Day","Due in "&amp;(Settings!$B$8-E456)&amp;" days")))</f>
        <v/>
      </c>
      <c r="G456" s="21" t="str">
        <f aca="false">IF(A456="","",Patients!H456)</f>
        <v/>
      </c>
      <c r="H456" s="1"/>
    </row>
    <row r="457" customFormat="false" ht="15" hidden="false" customHeight="false" outlineLevel="0" collapsed="false">
      <c r="A457" s="21" t="str">
        <f aca="false">IF(Patients!A457="","",IF(COUNTIF('Injection Sales'!$B$2:$B$501,Patients!A457)=0,"",Patients!A457))</f>
        <v/>
      </c>
      <c r="B457" s="24" t="str">
        <f aca="false">IF(A457="","",Patients!B457&amp;"")</f>
        <v/>
      </c>
      <c r="C457" s="21" t="str">
        <f aca="false">IF(A457="","",Patients!G457)</f>
        <v/>
      </c>
      <c r="D457" s="18" t="str">
        <f aca="false">IF(A457="","",_xlfn.MAXIFS('Injection Sales'!$A$2:$A$501,'Injection Sales'!$B$2:$B$501,A457))</f>
        <v/>
      </c>
      <c r="E457" s="19" t="str">
        <f aca="true">IF(A457="","",TODAY()-D457)</f>
        <v/>
      </c>
      <c r="F457" s="21" t="str">
        <f aca="false">IF(A457="","",IF(E457&gt;=Settings!$B$9,Settings!$B$9&amp;" Day",IF(E457&gt;=Settings!$B$8,Settings!$B$8&amp;" Day","Due in "&amp;(Settings!$B$8-E457)&amp;" days")))</f>
        <v/>
      </c>
      <c r="G457" s="21" t="str">
        <f aca="false">IF(A457="","",Patients!H457)</f>
        <v/>
      </c>
      <c r="H457" s="1"/>
    </row>
    <row r="458" customFormat="false" ht="15" hidden="false" customHeight="false" outlineLevel="0" collapsed="false">
      <c r="A458" s="21" t="str">
        <f aca="false">IF(Patients!A458="","",IF(COUNTIF('Injection Sales'!$B$2:$B$501,Patients!A458)=0,"",Patients!A458))</f>
        <v/>
      </c>
      <c r="B458" s="24" t="str">
        <f aca="false">IF(A458="","",Patients!B458&amp;"")</f>
        <v/>
      </c>
      <c r="C458" s="21" t="str">
        <f aca="false">IF(A458="","",Patients!G458)</f>
        <v/>
      </c>
      <c r="D458" s="18" t="str">
        <f aca="false">IF(A458="","",_xlfn.MAXIFS('Injection Sales'!$A$2:$A$501,'Injection Sales'!$B$2:$B$501,A458))</f>
        <v/>
      </c>
      <c r="E458" s="19" t="str">
        <f aca="true">IF(A458="","",TODAY()-D458)</f>
        <v/>
      </c>
      <c r="F458" s="21" t="str">
        <f aca="false">IF(A458="","",IF(E458&gt;=Settings!$B$9,Settings!$B$9&amp;" Day",IF(E458&gt;=Settings!$B$8,Settings!$B$8&amp;" Day","Due in "&amp;(Settings!$B$8-E458)&amp;" days")))</f>
        <v/>
      </c>
      <c r="G458" s="21" t="str">
        <f aca="false">IF(A458="","",Patients!H458)</f>
        <v/>
      </c>
      <c r="H458" s="1"/>
    </row>
    <row r="459" customFormat="false" ht="15" hidden="false" customHeight="false" outlineLevel="0" collapsed="false">
      <c r="A459" s="21" t="str">
        <f aca="false">IF(Patients!A459="","",IF(COUNTIF('Injection Sales'!$B$2:$B$501,Patients!A459)=0,"",Patients!A459))</f>
        <v/>
      </c>
      <c r="B459" s="24" t="str">
        <f aca="false">IF(A459="","",Patients!B459&amp;"")</f>
        <v/>
      </c>
      <c r="C459" s="21" t="str">
        <f aca="false">IF(A459="","",Patients!G459)</f>
        <v/>
      </c>
      <c r="D459" s="18" t="str">
        <f aca="false">IF(A459="","",_xlfn.MAXIFS('Injection Sales'!$A$2:$A$501,'Injection Sales'!$B$2:$B$501,A459))</f>
        <v/>
      </c>
      <c r="E459" s="19" t="str">
        <f aca="true">IF(A459="","",TODAY()-D459)</f>
        <v/>
      </c>
      <c r="F459" s="21" t="str">
        <f aca="false">IF(A459="","",IF(E459&gt;=Settings!$B$9,Settings!$B$9&amp;" Day",IF(E459&gt;=Settings!$B$8,Settings!$B$8&amp;" Day","Due in "&amp;(Settings!$B$8-E459)&amp;" days")))</f>
        <v/>
      </c>
      <c r="G459" s="21" t="str">
        <f aca="false">IF(A459="","",Patients!H459)</f>
        <v/>
      </c>
      <c r="H459" s="1"/>
    </row>
    <row r="460" customFormat="false" ht="15" hidden="false" customHeight="false" outlineLevel="0" collapsed="false">
      <c r="A460" s="21" t="str">
        <f aca="false">IF(Patients!A460="","",IF(COUNTIF('Injection Sales'!$B$2:$B$501,Patients!A460)=0,"",Patients!A460))</f>
        <v/>
      </c>
      <c r="B460" s="24" t="str">
        <f aca="false">IF(A460="","",Patients!B460&amp;"")</f>
        <v/>
      </c>
      <c r="C460" s="21" t="str">
        <f aca="false">IF(A460="","",Patients!G460)</f>
        <v/>
      </c>
      <c r="D460" s="18" t="str">
        <f aca="false">IF(A460="","",_xlfn.MAXIFS('Injection Sales'!$A$2:$A$501,'Injection Sales'!$B$2:$B$501,A460))</f>
        <v/>
      </c>
      <c r="E460" s="19" t="str">
        <f aca="true">IF(A460="","",TODAY()-D460)</f>
        <v/>
      </c>
      <c r="F460" s="21" t="str">
        <f aca="false">IF(A460="","",IF(E460&gt;=Settings!$B$9,Settings!$B$9&amp;" Day",IF(E460&gt;=Settings!$B$8,Settings!$B$8&amp;" Day","Due in "&amp;(Settings!$B$8-E460)&amp;" days")))</f>
        <v/>
      </c>
      <c r="G460" s="21" t="str">
        <f aca="false">IF(A460="","",Patients!H460)</f>
        <v/>
      </c>
      <c r="H460" s="1"/>
    </row>
    <row r="461" customFormat="false" ht="15" hidden="false" customHeight="false" outlineLevel="0" collapsed="false">
      <c r="A461" s="21" t="str">
        <f aca="false">IF(Patients!A461="","",IF(COUNTIF('Injection Sales'!$B$2:$B$501,Patients!A461)=0,"",Patients!A461))</f>
        <v/>
      </c>
      <c r="B461" s="24" t="str">
        <f aca="false">IF(A461="","",Patients!B461&amp;"")</f>
        <v/>
      </c>
      <c r="C461" s="21" t="str">
        <f aca="false">IF(A461="","",Patients!G461)</f>
        <v/>
      </c>
      <c r="D461" s="18" t="str">
        <f aca="false">IF(A461="","",_xlfn.MAXIFS('Injection Sales'!$A$2:$A$501,'Injection Sales'!$B$2:$B$501,A461))</f>
        <v/>
      </c>
      <c r="E461" s="19" t="str">
        <f aca="true">IF(A461="","",TODAY()-D461)</f>
        <v/>
      </c>
      <c r="F461" s="21" t="str">
        <f aca="false">IF(A461="","",IF(E461&gt;=Settings!$B$9,Settings!$B$9&amp;" Day",IF(E461&gt;=Settings!$B$8,Settings!$B$8&amp;" Day","Due in "&amp;(Settings!$B$8-E461)&amp;" days")))</f>
        <v/>
      </c>
      <c r="G461" s="21" t="str">
        <f aca="false">IF(A461="","",Patients!H461)</f>
        <v/>
      </c>
      <c r="H461" s="1"/>
    </row>
    <row r="462" customFormat="false" ht="15" hidden="false" customHeight="false" outlineLevel="0" collapsed="false">
      <c r="A462" s="21" t="str">
        <f aca="false">IF(Patients!A462="","",IF(COUNTIF('Injection Sales'!$B$2:$B$501,Patients!A462)=0,"",Patients!A462))</f>
        <v/>
      </c>
      <c r="B462" s="24" t="str">
        <f aca="false">IF(A462="","",Patients!B462&amp;"")</f>
        <v/>
      </c>
      <c r="C462" s="21" t="str">
        <f aca="false">IF(A462="","",Patients!G462)</f>
        <v/>
      </c>
      <c r="D462" s="18" t="str">
        <f aca="false">IF(A462="","",_xlfn.MAXIFS('Injection Sales'!$A$2:$A$501,'Injection Sales'!$B$2:$B$501,A462))</f>
        <v/>
      </c>
      <c r="E462" s="19" t="str">
        <f aca="true">IF(A462="","",TODAY()-D462)</f>
        <v/>
      </c>
      <c r="F462" s="21" t="str">
        <f aca="false">IF(A462="","",IF(E462&gt;=Settings!$B$9,Settings!$B$9&amp;" Day",IF(E462&gt;=Settings!$B$8,Settings!$B$8&amp;" Day","Due in "&amp;(Settings!$B$8-E462)&amp;" days")))</f>
        <v/>
      </c>
      <c r="G462" s="21" t="str">
        <f aca="false">IF(A462="","",Patients!H462)</f>
        <v/>
      </c>
      <c r="H462" s="1"/>
    </row>
    <row r="463" customFormat="false" ht="15" hidden="false" customHeight="false" outlineLevel="0" collapsed="false">
      <c r="A463" s="21" t="str">
        <f aca="false">IF(Patients!A463="","",IF(COUNTIF('Injection Sales'!$B$2:$B$501,Patients!A463)=0,"",Patients!A463))</f>
        <v/>
      </c>
      <c r="B463" s="24" t="str">
        <f aca="false">IF(A463="","",Patients!B463&amp;"")</f>
        <v/>
      </c>
      <c r="C463" s="21" t="str">
        <f aca="false">IF(A463="","",Patients!G463)</f>
        <v/>
      </c>
      <c r="D463" s="18" t="str">
        <f aca="false">IF(A463="","",_xlfn.MAXIFS('Injection Sales'!$A$2:$A$501,'Injection Sales'!$B$2:$B$501,A463))</f>
        <v/>
      </c>
      <c r="E463" s="19" t="str">
        <f aca="true">IF(A463="","",TODAY()-D463)</f>
        <v/>
      </c>
      <c r="F463" s="21" t="str">
        <f aca="false">IF(A463="","",IF(E463&gt;=Settings!$B$9,Settings!$B$9&amp;" Day",IF(E463&gt;=Settings!$B$8,Settings!$B$8&amp;" Day","Due in "&amp;(Settings!$B$8-E463)&amp;" days")))</f>
        <v/>
      </c>
      <c r="G463" s="21" t="str">
        <f aca="false">IF(A463="","",Patients!H463)</f>
        <v/>
      </c>
      <c r="H463" s="1"/>
    </row>
    <row r="464" customFormat="false" ht="15" hidden="false" customHeight="false" outlineLevel="0" collapsed="false">
      <c r="A464" s="21" t="str">
        <f aca="false">IF(Patients!A464="","",IF(COUNTIF('Injection Sales'!$B$2:$B$501,Patients!A464)=0,"",Patients!A464))</f>
        <v/>
      </c>
      <c r="B464" s="24" t="str">
        <f aca="false">IF(A464="","",Patients!B464&amp;"")</f>
        <v/>
      </c>
      <c r="C464" s="21" t="str">
        <f aca="false">IF(A464="","",Patients!G464)</f>
        <v/>
      </c>
      <c r="D464" s="18" t="str">
        <f aca="false">IF(A464="","",_xlfn.MAXIFS('Injection Sales'!$A$2:$A$501,'Injection Sales'!$B$2:$B$501,A464))</f>
        <v/>
      </c>
      <c r="E464" s="19" t="str">
        <f aca="true">IF(A464="","",TODAY()-D464)</f>
        <v/>
      </c>
      <c r="F464" s="21" t="str">
        <f aca="false">IF(A464="","",IF(E464&gt;=Settings!$B$9,Settings!$B$9&amp;" Day",IF(E464&gt;=Settings!$B$8,Settings!$B$8&amp;" Day","Due in "&amp;(Settings!$B$8-E464)&amp;" days")))</f>
        <v/>
      </c>
      <c r="G464" s="21" t="str">
        <f aca="false">IF(A464="","",Patients!H464)</f>
        <v/>
      </c>
      <c r="H464" s="1"/>
    </row>
    <row r="465" customFormat="false" ht="15" hidden="false" customHeight="false" outlineLevel="0" collapsed="false">
      <c r="A465" s="21" t="str">
        <f aca="false">IF(Patients!A465="","",IF(COUNTIF('Injection Sales'!$B$2:$B$501,Patients!A465)=0,"",Patients!A465))</f>
        <v/>
      </c>
      <c r="B465" s="24" t="str">
        <f aca="false">IF(A465="","",Patients!B465&amp;"")</f>
        <v/>
      </c>
      <c r="C465" s="21" t="str">
        <f aca="false">IF(A465="","",Patients!G465)</f>
        <v/>
      </c>
      <c r="D465" s="18" t="str">
        <f aca="false">IF(A465="","",_xlfn.MAXIFS('Injection Sales'!$A$2:$A$501,'Injection Sales'!$B$2:$B$501,A465))</f>
        <v/>
      </c>
      <c r="E465" s="19" t="str">
        <f aca="true">IF(A465="","",TODAY()-D465)</f>
        <v/>
      </c>
      <c r="F465" s="21" t="str">
        <f aca="false">IF(A465="","",IF(E465&gt;=Settings!$B$9,Settings!$B$9&amp;" Day",IF(E465&gt;=Settings!$B$8,Settings!$B$8&amp;" Day","Due in "&amp;(Settings!$B$8-E465)&amp;" days")))</f>
        <v/>
      </c>
      <c r="G465" s="21" t="str">
        <f aca="false">IF(A465="","",Patients!H465)</f>
        <v/>
      </c>
      <c r="H465" s="1"/>
    </row>
    <row r="466" customFormat="false" ht="15" hidden="false" customHeight="false" outlineLevel="0" collapsed="false">
      <c r="A466" s="21" t="str">
        <f aca="false">IF(Patients!A466="","",IF(COUNTIF('Injection Sales'!$B$2:$B$501,Patients!A466)=0,"",Patients!A466))</f>
        <v/>
      </c>
      <c r="B466" s="24" t="str">
        <f aca="false">IF(A466="","",Patients!B466&amp;"")</f>
        <v/>
      </c>
      <c r="C466" s="21" t="str">
        <f aca="false">IF(A466="","",Patients!G466)</f>
        <v/>
      </c>
      <c r="D466" s="18" t="str">
        <f aca="false">IF(A466="","",_xlfn.MAXIFS('Injection Sales'!$A$2:$A$501,'Injection Sales'!$B$2:$B$501,A466))</f>
        <v/>
      </c>
      <c r="E466" s="19" t="str">
        <f aca="true">IF(A466="","",TODAY()-D466)</f>
        <v/>
      </c>
      <c r="F466" s="21" t="str">
        <f aca="false">IF(A466="","",IF(E466&gt;=Settings!$B$9,Settings!$B$9&amp;" Day",IF(E466&gt;=Settings!$B$8,Settings!$B$8&amp;" Day","Due in "&amp;(Settings!$B$8-E466)&amp;" days")))</f>
        <v/>
      </c>
      <c r="G466" s="21" t="str">
        <f aca="false">IF(A466="","",Patients!H466)</f>
        <v/>
      </c>
      <c r="H466" s="1"/>
    </row>
    <row r="467" customFormat="false" ht="15" hidden="false" customHeight="false" outlineLevel="0" collapsed="false">
      <c r="A467" s="21" t="str">
        <f aca="false">IF(Patients!A467="","",IF(COUNTIF('Injection Sales'!$B$2:$B$501,Patients!A467)=0,"",Patients!A467))</f>
        <v/>
      </c>
      <c r="B467" s="24" t="str">
        <f aca="false">IF(A467="","",Patients!B467&amp;"")</f>
        <v/>
      </c>
      <c r="C467" s="21" t="str">
        <f aca="false">IF(A467="","",Patients!G467)</f>
        <v/>
      </c>
      <c r="D467" s="18" t="str">
        <f aca="false">IF(A467="","",_xlfn.MAXIFS('Injection Sales'!$A$2:$A$501,'Injection Sales'!$B$2:$B$501,A467))</f>
        <v/>
      </c>
      <c r="E467" s="19" t="str">
        <f aca="true">IF(A467="","",TODAY()-D467)</f>
        <v/>
      </c>
      <c r="F467" s="21" t="str">
        <f aca="false">IF(A467="","",IF(E467&gt;=Settings!$B$9,Settings!$B$9&amp;" Day",IF(E467&gt;=Settings!$B$8,Settings!$B$8&amp;" Day","Due in "&amp;(Settings!$B$8-E467)&amp;" days")))</f>
        <v/>
      </c>
      <c r="G467" s="21" t="str">
        <f aca="false">IF(A467="","",Patients!H467)</f>
        <v/>
      </c>
      <c r="H467" s="1"/>
    </row>
    <row r="468" customFormat="false" ht="15" hidden="false" customHeight="false" outlineLevel="0" collapsed="false">
      <c r="A468" s="21" t="str">
        <f aca="false">IF(Patients!A468="","",IF(COUNTIF('Injection Sales'!$B$2:$B$501,Patients!A468)=0,"",Patients!A468))</f>
        <v/>
      </c>
      <c r="B468" s="24" t="str">
        <f aca="false">IF(A468="","",Patients!B468&amp;"")</f>
        <v/>
      </c>
      <c r="C468" s="21" t="str">
        <f aca="false">IF(A468="","",Patients!G468)</f>
        <v/>
      </c>
      <c r="D468" s="18" t="str">
        <f aca="false">IF(A468="","",_xlfn.MAXIFS('Injection Sales'!$A$2:$A$501,'Injection Sales'!$B$2:$B$501,A468))</f>
        <v/>
      </c>
      <c r="E468" s="19" t="str">
        <f aca="true">IF(A468="","",TODAY()-D468)</f>
        <v/>
      </c>
      <c r="F468" s="21" t="str">
        <f aca="false">IF(A468="","",IF(E468&gt;=Settings!$B$9,Settings!$B$9&amp;" Day",IF(E468&gt;=Settings!$B$8,Settings!$B$8&amp;" Day","Due in "&amp;(Settings!$B$8-E468)&amp;" days")))</f>
        <v/>
      </c>
      <c r="G468" s="21" t="str">
        <f aca="false">IF(A468="","",Patients!H468)</f>
        <v/>
      </c>
      <c r="H468" s="1"/>
    </row>
    <row r="469" customFormat="false" ht="15" hidden="false" customHeight="false" outlineLevel="0" collapsed="false">
      <c r="A469" s="21" t="str">
        <f aca="false">IF(Patients!A469="","",IF(COUNTIF('Injection Sales'!$B$2:$B$501,Patients!A469)=0,"",Patients!A469))</f>
        <v/>
      </c>
      <c r="B469" s="24" t="str">
        <f aca="false">IF(A469="","",Patients!B469&amp;"")</f>
        <v/>
      </c>
      <c r="C469" s="21" t="str">
        <f aca="false">IF(A469="","",Patients!G469)</f>
        <v/>
      </c>
      <c r="D469" s="18" t="str">
        <f aca="false">IF(A469="","",_xlfn.MAXIFS('Injection Sales'!$A$2:$A$501,'Injection Sales'!$B$2:$B$501,A469))</f>
        <v/>
      </c>
      <c r="E469" s="19" t="str">
        <f aca="true">IF(A469="","",TODAY()-D469)</f>
        <v/>
      </c>
      <c r="F469" s="21" t="str">
        <f aca="false">IF(A469="","",IF(E469&gt;=Settings!$B$9,Settings!$B$9&amp;" Day",IF(E469&gt;=Settings!$B$8,Settings!$B$8&amp;" Day","Due in "&amp;(Settings!$B$8-E469)&amp;" days")))</f>
        <v/>
      </c>
      <c r="G469" s="21" t="str">
        <f aca="false">IF(A469="","",Patients!H469)</f>
        <v/>
      </c>
      <c r="H469" s="1"/>
    </row>
    <row r="470" customFormat="false" ht="15" hidden="false" customHeight="false" outlineLevel="0" collapsed="false">
      <c r="A470" s="21" t="str">
        <f aca="false">IF(Patients!A470="","",IF(COUNTIF('Injection Sales'!$B$2:$B$501,Patients!A470)=0,"",Patients!A470))</f>
        <v/>
      </c>
      <c r="B470" s="24" t="str">
        <f aca="false">IF(A470="","",Patients!B470&amp;"")</f>
        <v/>
      </c>
      <c r="C470" s="21" t="str">
        <f aca="false">IF(A470="","",Patients!G470)</f>
        <v/>
      </c>
      <c r="D470" s="18" t="str">
        <f aca="false">IF(A470="","",_xlfn.MAXIFS('Injection Sales'!$A$2:$A$501,'Injection Sales'!$B$2:$B$501,A470))</f>
        <v/>
      </c>
      <c r="E470" s="19" t="str">
        <f aca="true">IF(A470="","",TODAY()-D470)</f>
        <v/>
      </c>
      <c r="F470" s="21" t="str">
        <f aca="false">IF(A470="","",IF(E470&gt;=Settings!$B$9,Settings!$B$9&amp;" Day",IF(E470&gt;=Settings!$B$8,Settings!$B$8&amp;" Day","Due in "&amp;(Settings!$B$8-E470)&amp;" days")))</f>
        <v/>
      </c>
      <c r="G470" s="21" t="str">
        <f aca="false">IF(A470="","",Patients!H470)</f>
        <v/>
      </c>
      <c r="H470" s="1"/>
    </row>
    <row r="471" customFormat="false" ht="15" hidden="false" customHeight="false" outlineLevel="0" collapsed="false">
      <c r="A471" s="21" t="str">
        <f aca="false">IF(Patients!A471="","",IF(COUNTIF('Injection Sales'!$B$2:$B$501,Patients!A471)=0,"",Patients!A471))</f>
        <v/>
      </c>
      <c r="B471" s="24" t="str">
        <f aca="false">IF(A471="","",Patients!B471&amp;"")</f>
        <v/>
      </c>
      <c r="C471" s="21" t="str">
        <f aca="false">IF(A471="","",Patients!G471)</f>
        <v/>
      </c>
      <c r="D471" s="18" t="str">
        <f aca="false">IF(A471="","",_xlfn.MAXIFS('Injection Sales'!$A$2:$A$501,'Injection Sales'!$B$2:$B$501,A471))</f>
        <v/>
      </c>
      <c r="E471" s="19" t="str">
        <f aca="true">IF(A471="","",TODAY()-D471)</f>
        <v/>
      </c>
      <c r="F471" s="21" t="str">
        <f aca="false">IF(A471="","",IF(E471&gt;=Settings!$B$9,Settings!$B$9&amp;" Day",IF(E471&gt;=Settings!$B$8,Settings!$B$8&amp;" Day","Due in "&amp;(Settings!$B$8-E471)&amp;" days")))</f>
        <v/>
      </c>
      <c r="G471" s="21" t="str">
        <f aca="false">IF(A471="","",Patients!H471)</f>
        <v/>
      </c>
      <c r="H471" s="1"/>
    </row>
    <row r="472" customFormat="false" ht="15" hidden="false" customHeight="false" outlineLevel="0" collapsed="false">
      <c r="A472" s="21" t="str">
        <f aca="false">IF(Patients!A472="","",IF(COUNTIF('Injection Sales'!$B$2:$B$501,Patients!A472)=0,"",Patients!A472))</f>
        <v/>
      </c>
      <c r="B472" s="24" t="str">
        <f aca="false">IF(A472="","",Patients!B472&amp;"")</f>
        <v/>
      </c>
      <c r="C472" s="21" t="str">
        <f aca="false">IF(A472="","",Patients!G472)</f>
        <v/>
      </c>
      <c r="D472" s="18" t="str">
        <f aca="false">IF(A472="","",_xlfn.MAXIFS('Injection Sales'!$A$2:$A$501,'Injection Sales'!$B$2:$B$501,A472))</f>
        <v/>
      </c>
      <c r="E472" s="19" t="str">
        <f aca="true">IF(A472="","",TODAY()-D472)</f>
        <v/>
      </c>
      <c r="F472" s="21" t="str">
        <f aca="false">IF(A472="","",IF(E472&gt;=Settings!$B$9,Settings!$B$9&amp;" Day",IF(E472&gt;=Settings!$B$8,Settings!$B$8&amp;" Day","Due in "&amp;(Settings!$B$8-E472)&amp;" days")))</f>
        <v/>
      </c>
      <c r="G472" s="21" t="str">
        <f aca="false">IF(A472="","",Patients!H472)</f>
        <v/>
      </c>
      <c r="H472" s="1"/>
    </row>
    <row r="473" customFormat="false" ht="15" hidden="false" customHeight="false" outlineLevel="0" collapsed="false">
      <c r="A473" s="21" t="str">
        <f aca="false">IF(Patients!A473="","",IF(COUNTIF('Injection Sales'!$B$2:$B$501,Patients!A473)=0,"",Patients!A473))</f>
        <v/>
      </c>
      <c r="B473" s="24" t="str">
        <f aca="false">IF(A473="","",Patients!B473&amp;"")</f>
        <v/>
      </c>
      <c r="C473" s="21" t="str">
        <f aca="false">IF(A473="","",Patients!G473)</f>
        <v/>
      </c>
      <c r="D473" s="18" t="str">
        <f aca="false">IF(A473="","",_xlfn.MAXIFS('Injection Sales'!$A$2:$A$501,'Injection Sales'!$B$2:$B$501,A473))</f>
        <v/>
      </c>
      <c r="E473" s="19" t="str">
        <f aca="true">IF(A473="","",TODAY()-D473)</f>
        <v/>
      </c>
      <c r="F473" s="21" t="str">
        <f aca="false">IF(A473="","",IF(E473&gt;=Settings!$B$9,Settings!$B$9&amp;" Day",IF(E473&gt;=Settings!$B$8,Settings!$B$8&amp;" Day","Due in "&amp;(Settings!$B$8-E473)&amp;" days")))</f>
        <v/>
      </c>
      <c r="G473" s="21" t="str">
        <f aca="false">IF(A473="","",Patients!H473)</f>
        <v/>
      </c>
      <c r="H473" s="1"/>
    </row>
    <row r="474" customFormat="false" ht="15" hidden="false" customHeight="false" outlineLevel="0" collapsed="false">
      <c r="A474" s="21" t="str">
        <f aca="false">IF(Patients!A474="","",IF(COUNTIF('Injection Sales'!$B$2:$B$501,Patients!A474)=0,"",Patients!A474))</f>
        <v/>
      </c>
      <c r="B474" s="24" t="str">
        <f aca="false">IF(A474="","",Patients!B474&amp;"")</f>
        <v/>
      </c>
      <c r="C474" s="21" t="str">
        <f aca="false">IF(A474="","",Patients!G474)</f>
        <v/>
      </c>
      <c r="D474" s="18" t="str">
        <f aca="false">IF(A474="","",_xlfn.MAXIFS('Injection Sales'!$A$2:$A$501,'Injection Sales'!$B$2:$B$501,A474))</f>
        <v/>
      </c>
      <c r="E474" s="19" t="str">
        <f aca="true">IF(A474="","",TODAY()-D474)</f>
        <v/>
      </c>
      <c r="F474" s="21" t="str">
        <f aca="false">IF(A474="","",IF(E474&gt;=Settings!$B$9,Settings!$B$9&amp;" Day",IF(E474&gt;=Settings!$B$8,Settings!$B$8&amp;" Day","Due in "&amp;(Settings!$B$8-E474)&amp;" days")))</f>
        <v/>
      </c>
      <c r="G474" s="21" t="str">
        <f aca="false">IF(A474="","",Patients!H474)</f>
        <v/>
      </c>
      <c r="H474" s="1"/>
    </row>
    <row r="475" customFormat="false" ht="15" hidden="false" customHeight="false" outlineLevel="0" collapsed="false">
      <c r="A475" s="21" t="str">
        <f aca="false">IF(Patients!A475="","",IF(COUNTIF('Injection Sales'!$B$2:$B$501,Patients!A475)=0,"",Patients!A475))</f>
        <v/>
      </c>
      <c r="B475" s="24" t="str">
        <f aca="false">IF(A475="","",Patients!B475&amp;"")</f>
        <v/>
      </c>
      <c r="C475" s="21" t="str">
        <f aca="false">IF(A475="","",Patients!G475)</f>
        <v/>
      </c>
      <c r="D475" s="18" t="str">
        <f aca="false">IF(A475="","",_xlfn.MAXIFS('Injection Sales'!$A$2:$A$501,'Injection Sales'!$B$2:$B$501,A475))</f>
        <v/>
      </c>
      <c r="E475" s="19" t="str">
        <f aca="true">IF(A475="","",TODAY()-D475)</f>
        <v/>
      </c>
      <c r="F475" s="21" t="str">
        <f aca="false">IF(A475="","",IF(E475&gt;=Settings!$B$9,Settings!$B$9&amp;" Day",IF(E475&gt;=Settings!$B$8,Settings!$B$8&amp;" Day","Due in "&amp;(Settings!$B$8-E475)&amp;" days")))</f>
        <v/>
      </c>
      <c r="G475" s="21" t="str">
        <f aca="false">IF(A475="","",Patients!H475)</f>
        <v/>
      </c>
      <c r="H475" s="1"/>
    </row>
    <row r="476" customFormat="false" ht="15" hidden="false" customHeight="false" outlineLevel="0" collapsed="false">
      <c r="A476" s="21" t="str">
        <f aca="false">IF(Patients!A476="","",IF(COUNTIF('Injection Sales'!$B$2:$B$501,Patients!A476)=0,"",Patients!A476))</f>
        <v/>
      </c>
      <c r="B476" s="24" t="str">
        <f aca="false">IF(A476="","",Patients!B476&amp;"")</f>
        <v/>
      </c>
      <c r="C476" s="21" t="str">
        <f aca="false">IF(A476="","",Patients!G476)</f>
        <v/>
      </c>
      <c r="D476" s="18" t="str">
        <f aca="false">IF(A476="","",_xlfn.MAXIFS('Injection Sales'!$A$2:$A$501,'Injection Sales'!$B$2:$B$501,A476))</f>
        <v/>
      </c>
      <c r="E476" s="19" t="str">
        <f aca="true">IF(A476="","",TODAY()-D476)</f>
        <v/>
      </c>
      <c r="F476" s="21" t="str">
        <f aca="false">IF(A476="","",IF(E476&gt;=Settings!$B$9,Settings!$B$9&amp;" Day",IF(E476&gt;=Settings!$B$8,Settings!$B$8&amp;" Day","Due in "&amp;(Settings!$B$8-E476)&amp;" days")))</f>
        <v/>
      </c>
      <c r="G476" s="21" t="str">
        <f aca="false">IF(A476="","",Patients!H476)</f>
        <v/>
      </c>
      <c r="H476" s="1"/>
    </row>
    <row r="477" customFormat="false" ht="15" hidden="false" customHeight="false" outlineLevel="0" collapsed="false">
      <c r="A477" s="21" t="str">
        <f aca="false">IF(Patients!A477="","",IF(COUNTIF('Injection Sales'!$B$2:$B$501,Patients!A477)=0,"",Patients!A477))</f>
        <v/>
      </c>
      <c r="B477" s="24" t="str">
        <f aca="false">IF(A477="","",Patients!B477&amp;"")</f>
        <v/>
      </c>
      <c r="C477" s="21" t="str">
        <f aca="false">IF(A477="","",Patients!G477)</f>
        <v/>
      </c>
      <c r="D477" s="18" t="str">
        <f aca="false">IF(A477="","",_xlfn.MAXIFS('Injection Sales'!$A$2:$A$501,'Injection Sales'!$B$2:$B$501,A477))</f>
        <v/>
      </c>
      <c r="E477" s="19" t="str">
        <f aca="true">IF(A477="","",TODAY()-D477)</f>
        <v/>
      </c>
      <c r="F477" s="21" t="str">
        <f aca="false">IF(A477="","",IF(E477&gt;=Settings!$B$9,Settings!$B$9&amp;" Day",IF(E477&gt;=Settings!$B$8,Settings!$B$8&amp;" Day","Due in "&amp;(Settings!$B$8-E477)&amp;" days")))</f>
        <v/>
      </c>
      <c r="G477" s="21" t="str">
        <f aca="false">IF(A477="","",Patients!H477)</f>
        <v/>
      </c>
      <c r="H477" s="1"/>
    </row>
    <row r="478" customFormat="false" ht="15" hidden="false" customHeight="false" outlineLevel="0" collapsed="false">
      <c r="A478" s="21" t="str">
        <f aca="false">IF(Patients!A478="","",IF(COUNTIF('Injection Sales'!$B$2:$B$501,Patients!A478)=0,"",Patients!A478))</f>
        <v/>
      </c>
      <c r="B478" s="24" t="str">
        <f aca="false">IF(A478="","",Patients!B478&amp;"")</f>
        <v/>
      </c>
      <c r="C478" s="21" t="str">
        <f aca="false">IF(A478="","",Patients!G478)</f>
        <v/>
      </c>
      <c r="D478" s="18" t="str">
        <f aca="false">IF(A478="","",_xlfn.MAXIFS('Injection Sales'!$A$2:$A$501,'Injection Sales'!$B$2:$B$501,A478))</f>
        <v/>
      </c>
      <c r="E478" s="19" t="str">
        <f aca="true">IF(A478="","",TODAY()-D478)</f>
        <v/>
      </c>
      <c r="F478" s="21" t="str">
        <f aca="false">IF(A478="","",IF(E478&gt;=Settings!$B$9,Settings!$B$9&amp;" Day",IF(E478&gt;=Settings!$B$8,Settings!$B$8&amp;" Day","Due in "&amp;(Settings!$B$8-E478)&amp;" days")))</f>
        <v/>
      </c>
      <c r="G478" s="21" t="str">
        <f aca="false">IF(A478="","",Patients!H478)</f>
        <v/>
      </c>
      <c r="H478" s="1"/>
    </row>
    <row r="479" customFormat="false" ht="15" hidden="false" customHeight="false" outlineLevel="0" collapsed="false">
      <c r="A479" s="21" t="str">
        <f aca="false">IF(Patients!A479="","",IF(COUNTIF('Injection Sales'!$B$2:$B$501,Patients!A479)=0,"",Patients!A479))</f>
        <v/>
      </c>
      <c r="B479" s="24" t="str">
        <f aca="false">IF(A479="","",Patients!B479&amp;"")</f>
        <v/>
      </c>
      <c r="C479" s="21" t="str">
        <f aca="false">IF(A479="","",Patients!G479)</f>
        <v/>
      </c>
      <c r="D479" s="18" t="str">
        <f aca="false">IF(A479="","",_xlfn.MAXIFS('Injection Sales'!$A$2:$A$501,'Injection Sales'!$B$2:$B$501,A479))</f>
        <v/>
      </c>
      <c r="E479" s="19" t="str">
        <f aca="true">IF(A479="","",TODAY()-D479)</f>
        <v/>
      </c>
      <c r="F479" s="21" t="str">
        <f aca="false">IF(A479="","",IF(E479&gt;=Settings!$B$9,Settings!$B$9&amp;" Day",IF(E479&gt;=Settings!$B$8,Settings!$B$8&amp;" Day","Due in "&amp;(Settings!$B$8-E479)&amp;" days")))</f>
        <v/>
      </c>
      <c r="G479" s="21" t="str">
        <f aca="false">IF(A479="","",Patients!H479)</f>
        <v/>
      </c>
      <c r="H479" s="1"/>
    </row>
    <row r="480" customFormat="false" ht="15" hidden="false" customHeight="false" outlineLevel="0" collapsed="false">
      <c r="A480" s="21" t="str">
        <f aca="false">IF(Patients!A480="","",IF(COUNTIF('Injection Sales'!$B$2:$B$501,Patients!A480)=0,"",Patients!A480))</f>
        <v/>
      </c>
      <c r="B480" s="24" t="str">
        <f aca="false">IF(A480="","",Patients!B480&amp;"")</f>
        <v/>
      </c>
      <c r="C480" s="21" t="str">
        <f aca="false">IF(A480="","",Patients!G480)</f>
        <v/>
      </c>
      <c r="D480" s="18" t="str">
        <f aca="false">IF(A480="","",_xlfn.MAXIFS('Injection Sales'!$A$2:$A$501,'Injection Sales'!$B$2:$B$501,A480))</f>
        <v/>
      </c>
      <c r="E480" s="19" t="str">
        <f aca="true">IF(A480="","",TODAY()-D480)</f>
        <v/>
      </c>
      <c r="F480" s="21" t="str">
        <f aca="false">IF(A480="","",IF(E480&gt;=Settings!$B$9,Settings!$B$9&amp;" Day",IF(E480&gt;=Settings!$B$8,Settings!$B$8&amp;" Day","Due in "&amp;(Settings!$B$8-E480)&amp;" days")))</f>
        <v/>
      </c>
      <c r="G480" s="21" t="str">
        <f aca="false">IF(A480="","",Patients!H480)</f>
        <v/>
      </c>
      <c r="H480" s="1"/>
    </row>
    <row r="481" customFormat="false" ht="15" hidden="false" customHeight="false" outlineLevel="0" collapsed="false">
      <c r="A481" s="21" t="str">
        <f aca="false">IF(Patients!A481="","",IF(COUNTIF('Injection Sales'!$B$2:$B$501,Patients!A481)=0,"",Patients!A481))</f>
        <v/>
      </c>
      <c r="B481" s="24" t="str">
        <f aca="false">IF(A481="","",Patients!B481&amp;"")</f>
        <v/>
      </c>
      <c r="C481" s="21" t="str">
        <f aca="false">IF(A481="","",Patients!G481)</f>
        <v/>
      </c>
      <c r="D481" s="18" t="str">
        <f aca="false">IF(A481="","",_xlfn.MAXIFS('Injection Sales'!$A$2:$A$501,'Injection Sales'!$B$2:$B$501,A481))</f>
        <v/>
      </c>
      <c r="E481" s="19" t="str">
        <f aca="true">IF(A481="","",TODAY()-D481)</f>
        <v/>
      </c>
      <c r="F481" s="21" t="str">
        <f aca="false">IF(A481="","",IF(E481&gt;=Settings!$B$9,Settings!$B$9&amp;" Day",IF(E481&gt;=Settings!$B$8,Settings!$B$8&amp;" Day","Due in "&amp;(Settings!$B$8-E481)&amp;" days")))</f>
        <v/>
      </c>
      <c r="G481" s="21" t="str">
        <f aca="false">IF(A481="","",Patients!H481)</f>
        <v/>
      </c>
      <c r="H481" s="1"/>
    </row>
    <row r="482" customFormat="false" ht="15" hidden="false" customHeight="false" outlineLevel="0" collapsed="false">
      <c r="A482" s="21" t="str">
        <f aca="false">IF(Patients!A482="","",IF(COUNTIF('Injection Sales'!$B$2:$B$501,Patients!A482)=0,"",Patients!A482))</f>
        <v/>
      </c>
      <c r="B482" s="24" t="str">
        <f aca="false">IF(A482="","",Patients!B482&amp;"")</f>
        <v/>
      </c>
      <c r="C482" s="21" t="str">
        <f aca="false">IF(A482="","",Patients!G482)</f>
        <v/>
      </c>
      <c r="D482" s="18" t="str">
        <f aca="false">IF(A482="","",_xlfn.MAXIFS('Injection Sales'!$A$2:$A$501,'Injection Sales'!$B$2:$B$501,A482))</f>
        <v/>
      </c>
      <c r="E482" s="19" t="str">
        <f aca="true">IF(A482="","",TODAY()-D482)</f>
        <v/>
      </c>
      <c r="F482" s="21" t="str">
        <f aca="false">IF(A482="","",IF(E482&gt;=Settings!$B$9,Settings!$B$9&amp;" Day",IF(E482&gt;=Settings!$B$8,Settings!$B$8&amp;" Day","Due in "&amp;(Settings!$B$8-E482)&amp;" days")))</f>
        <v/>
      </c>
      <c r="G482" s="21" t="str">
        <f aca="false">IF(A482="","",Patients!H482)</f>
        <v/>
      </c>
      <c r="H482" s="1"/>
    </row>
    <row r="483" customFormat="false" ht="15" hidden="false" customHeight="false" outlineLevel="0" collapsed="false">
      <c r="A483" s="21" t="str">
        <f aca="false">IF(Patients!A483="","",IF(COUNTIF('Injection Sales'!$B$2:$B$501,Patients!A483)=0,"",Patients!A483))</f>
        <v/>
      </c>
      <c r="B483" s="24" t="str">
        <f aca="false">IF(A483="","",Patients!B483&amp;"")</f>
        <v/>
      </c>
      <c r="C483" s="21" t="str">
        <f aca="false">IF(A483="","",Patients!G483)</f>
        <v/>
      </c>
      <c r="D483" s="18" t="str">
        <f aca="false">IF(A483="","",_xlfn.MAXIFS('Injection Sales'!$A$2:$A$501,'Injection Sales'!$B$2:$B$501,A483))</f>
        <v/>
      </c>
      <c r="E483" s="19" t="str">
        <f aca="true">IF(A483="","",TODAY()-D483)</f>
        <v/>
      </c>
      <c r="F483" s="21" t="str">
        <f aca="false">IF(A483="","",IF(E483&gt;=Settings!$B$9,Settings!$B$9&amp;" Day",IF(E483&gt;=Settings!$B$8,Settings!$B$8&amp;" Day","Due in "&amp;(Settings!$B$8-E483)&amp;" days")))</f>
        <v/>
      </c>
      <c r="G483" s="21" t="str">
        <f aca="false">IF(A483="","",Patients!H483)</f>
        <v/>
      </c>
      <c r="H483" s="1"/>
    </row>
    <row r="484" customFormat="false" ht="15" hidden="false" customHeight="false" outlineLevel="0" collapsed="false">
      <c r="A484" s="21" t="str">
        <f aca="false">IF(Patients!A484="","",IF(COUNTIF('Injection Sales'!$B$2:$B$501,Patients!A484)=0,"",Patients!A484))</f>
        <v/>
      </c>
      <c r="B484" s="24" t="str">
        <f aca="false">IF(A484="","",Patients!B484&amp;"")</f>
        <v/>
      </c>
      <c r="C484" s="21" t="str">
        <f aca="false">IF(A484="","",Patients!G484)</f>
        <v/>
      </c>
      <c r="D484" s="18" t="str">
        <f aca="false">IF(A484="","",_xlfn.MAXIFS('Injection Sales'!$A$2:$A$501,'Injection Sales'!$B$2:$B$501,A484))</f>
        <v/>
      </c>
      <c r="E484" s="19" t="str">
        <f aca="true">IF(A484="","",TODAY()-D484)</f>
        <v/>
      </c>
      <c r="F484" s="21" t="str">
        <f aca="false">IF(A484="","",IF(E484&gt;=Settings!$B$9,Settings!$B$9&amp;" Day",IF(E484&gt;=Settings!$B$8,Settings!$B$8&amp;" Day","Due in "&amp;(Settings!$B$8-E484)&amp;" days")))</f>
        <v/>
      </c>
      <c r="G484" s="21" t="str">
        <f aca="false">IF(A484="","",Patients!H484)</f>
        <v/>
      </c>
      <c r="H484" s="1"/>
    </row>
    <row r="485" customFormat="false" ht="15" hidden="false" customHeight="false" outlineLevel="0" collapsed="false">
      <c r="A485" s="21" t="str">
        <f aca="false">IF(Patients!A485="","",IF(COUNTIF('Injection Sales'!$B$2:$B$501,Patients!A485)=0,"",Patients!A485))</f>
        <v/>
      </c>
      <c r="B485" s="24" t="str">
        <f aca="false">IF(A485="","",Patients!B485&amp;"")</f>
        <v/>
      </c>
      <c r="C485" s="21" t="str">
        <f aca="false">IF(A485="","",Patients!G485)</f>
        <v/>
      </c>
      <c r="D485" s="18" t="str">
        <f aca="false">IF(A485="","",_xlfn.MAXIFS('Injection Sales'!$A$2:$A$501,'Injection Sales'!$B$2:$B$501,A485))</f>
        <v/>
      </c>
      <c r="E485" s="19" t="str">
        <f aca="true">IF(A485="","",TODAY()-D485)</f>
        <v/>
      </c>
      <c r="F485" s="21" t="str">
        <f aca="false">IF(A485="","",IF(E485&gt;=Settings!$B$9,Settings!$B$9&amp;" Day",IF(E485&gt;=Settings!$B$8,Settings!$B$8&amp;" Day","Due in "&amp;(Settings!$B$8-E485)&amp;" days")))</f>
        <v/>
      </c>
      <c r="G485" s="21" t="str">
        <f aca="false">IF(A485="","",Patients!H485)</f>
        <v/>
      </c>
      <c r="H485" s="1"/>
    </row>
    <row r="486" customFormat="false" ht="15" hidden="false" customHeight="false" outlineLevel="0" collapsed="false">
      <c r="A486" s="21" t="str">
        <f aca="false">IF(Patients!A486="","",IF(COUNTIF('Injection Sales'!$B$2:$B$501,Patients!A486)=0,"",Patients!A486))</f>
        <v/>
      </c>
      <c r="B486" s="24" t="str">
        <f aca="false">IF(A486="","",Patients!B486&amp;"")</f>
        <v/>
      </c>
      <c r="C486" s="21" t="str">
        <f aca="false">IF(A486="","",Patients!G486)</f>
        <v/>
      </c>
      <c r="D486" s="18" t="str">
        <f aca="false">IF(A486="","",_xlfn.MAXIFS('Injection Sales'!$A$2:$A$501,'Injection Sales'!$B$2:$B$501,A486))</f>
        <v/>
      </c>
      <c r="E486" s="19" t="str">
        <f aca="true">IF(A486="","",TODAY()-D486)</f>
        <v/>
      </c>
      <c r="F486" s="21" t="str">
        <f aca="false">IF(A486="","",IF(E486&gt;=Settings!$B$9,Settings!$B$9&amp;" Day",IF(E486&gt;=Settings!$B$8,Settings!$B$8&amp;" Day","Due in "&amp;(Settings!$B$8-E486)&amp;" days")))</f>
        <v/>
      </c>
      <c r="G486" s="21" t="str">
        <f aca="false">IF(A486="","",Patients!H486)</f>
        <v/>
      </c>
      <c r="H486" s="1"/>
    </row>
    <row r="487" customFormat="false" ht="15" hidden="false" customHeight="false" outlineLevel="0" collapsed="false">
      <c r="A487" s="21" t="str">
        <f aca="false">IF(Patients!A487="","",IF(COUNTIF('Injection Sales'!$B$2:$B$501,Patients!A487)=0,"",Patients!A487))</f>
        <v/>
      </c>
      <c r="B487" s="24" t="str">
        <f aca="false">IF(A487="","",Patients!B487&amp;"")</f>
        <v/>
      </c>
      <c r="C487" s="21" t="str">
        <f aca="false">IF(A487="","",Patients!G487)</f>
        <v/>
      </c>
      <c r="D487" s="18" t="str">
        <f aca="false">IF(A487="","",_xlfn.MAXIFS('Injection Sales'!$A$2:$A$501,'Injection Sales'!$B$2:$B$501,A487))</f>
        <v/>
      </c>
      <c r="E487" s="19" t="str">
        <f aca="true">IF(A487="","",TODAY()-D487)</f>
        <v/>
      </c>
      <c r="F487" s="21" t="str">
        <f aca="false">IF(A487="","",IF(E487&gt;=Settings!$B$9,Settings!$B$9&amp;" Day",IF(E487&gt;=Settings!$B$8,Settings!$B$8&amp;" Day","Due in "&amp;(Settings!$B$8-E487)&amp;" days")))</f>
        <v/>
      </c>
      <c r="G487" s="21" t="str">
        <f aca="false">IF(A487="","",Patients!H487)</f>
        <v/>
      </c>
      <c r="H487" s="1"/>
    </row>
    <row r="488" customFormat="false" ht="15" hidden="false" customHeight="false" outlineLevel="0" collapsed="false">
      <c r="A488" s="21" t="str">
        <f aca="false">IF(Patients!A488="","",IF(COUNTIF('Injection Sales'!$B$2:$B$501,Patients!A488)=0,"",Patients!A488))</f>
        <v/>
      </c>
      <c r="B488" s="24" t="str">
        <f aca="false">IF(A488="","",Patients!B488&amp;"")</f>
        <v/>
      </c>
      <c r="C488" s="21" t="str">
        <f aca="false">IF(A488="","",Patients!G488)</f>
        <v/>
      </c>
      <c r="D488" s="18" t="str">
        <f aca="false">IF(A488="","",_xlfn.MAXIFS('Injection Sales'!$A$2:$A$501,'Injection Sales'!$B$2:$B$501,A488))</f>
        <v/>
      </c>
      <c r="E488" s="19" t="str">
        <f aca="true">IF(A488="","",TODAY()-D488)</f>
        <v/>
      </c>
      <c r="F488" s="21" t="str">
        <f aca="false">IF(A488="","",IF(E488&gt;=Settings!$B$9,Settings!$B$9&amp;" Day",IF(E488&gt;=Settings!$B$8,Settings!$B$8&amp;" Day","Due in "&amp;(Settings!$B$8-E488)&amp;" days")))</f>
        <v/>
      </c>
      <c r="G488" s="21" t="str">
        <f aca="false">IF(A488="","",Patients!H488)</f>
        <v/>
      </c>
      <c r="H488" s="1"/>
    </row>
    <row r="489" customFormat="false" ht="15" hidden="false" customHeight="false" outlineLevel="0" collapsed="false">
      <c r="A489" s="21" t="str">
        <f aca="false">IF(Patients!A489="","",IF(COUNTIF('Injection Sales'!$B$2:$B$501,Patients!A489)=0,"",Patients!A489))</f>
        <v/>
      </c>
      <c r="B489" s="24" t="str">
        <f aca="false">IF(A489="","",Patients!B489&amp;"")</f>
        <v/>
      </c>
      <c r="C489" s="21" t="str">
        <f aca="false">IF(A489="","",Patients!G489)</f>
        <v/>
      </c>
      <c r="D489" s="18" t="str">
        <f aca="false">IF(A489="","",_xlfn.MAXIFS('Injection Sales'!$A$2:$A$501,'Injection Sales'!$B$2:$B$501,A489))</f>
        <v/>
      </c>
      <c r="E489" s="19" t="str">
        <f aca="true">IF(A489="","",TODAY()-D489)</f>
        <v/>
      </c>
      <c r="F489" s="21" t="str">
        <f aca="false">IF(A489="","",IF(E489&gt;=Settings!$B$9,Settings!$B$9&amp;" Day",IF(E489&gt;=Settings!$B$8,Settings!$B$8&amp;" Day","Due in "&amp;(Settings!$B$8-E489)&amp;" days")))</f>
        <v/>
      </c>
      <c r="G489" s="21" t="str">
        <f aca="false">IF(A489="","",Patients!H489)</f>
        <v/>
      </c>
      <c r="H489" s="1"/>
    </row>
    <row r="490" customFormat="false" ht="15" hidden="false" customHeight="false" outlineLevel="0" collapsed="false">
      <c r="A490" s="21" t="str">
        <f aca="false">IF(Patients!A490="","",IF(COUNTIF('Injection Sales'!$B$2:$B$501,Patients!A490)=0,"",Patients!A490))</f>
        <v/>
      </c>
      <c r="B490" s="24" t="str">
        <f aca="false">IF(A490="","",Patients!B490&amp;"")</f>
        <v/>
      </c>
      <c r="C490" s="21" t="str">
        <f aca="false">IF(A490="","",Patients!G490)</f>
        <v/>
      </c>
      <c r="D490" s="18" t="str">
        <f aca="false">IF(A490="","",_xlfn.MAXIFS('Injection Sales'!$A$2:$A$501,'Injection Sales'!$B$2:$B$501,A490))</f>
        <v/>
      </c>
      <c r="E490" s="19" t="str">
        <f aca="true">IF(A490="","",TODAY()-D490)</f>
        <v/>
      </c>
      <c r="F490" s="21" t="str">
        <f aca="false">IF(A490="","",IF(E490&gt;=Settings!$B$9,Settings!$B$9&amp;" Day",IF(E490&gt;=Settings!$B$8,Settings!$B$8&amp;" Day","Due in "&amp;(Settings!$B$8-E490)&amp;" days")))</f>
        <v/>
      </c>
      <c r="G490" s="21" t="str">
        <f aca="false">IF(A490="","",Patients!H490)</f>
        <v/>
      </c>
      <c r="H490" s="1"/>
    </row>
    <row r="491" customFormat="false" ht="15" hidden="false" customHeight="false" outlineLevel="0" collapsed="false">
      <c r="A491" s="21" t="str">
        <f aca="false">IF(Patients!A491="","",IF(COUNTIF('Injection Sales'!$B$2:$B$501,Patients!A491)=0,"",Patients!A491))</f>
        <v/>
      </c>
      <c r="B491" s="24" t="str">
        <f aca="false">IF(A491="","",Patients!B491&amp;"")</f>
        <v/>
      </c>
      <c r="C491" s="21" t="str">
        <f aca="false">IF(A491="","",Patients!G491)</f>
        <v/>
      </c>
      <c r="D491" s="18" t="str">
        <f aca="false">IF(A491="","",_xlfn.MAXIFS('Injection Sales'!$A$2:$A$501,'Injection Sales'!$B$2:$B$501,A491))</f>
        <v/>
      </c>
      <c r="E491" s="19" t="str">
        <f aca="true">IF(A491="","",TODAY()-D491)</f>
        <v/>
      </c>
      <c r="F491" s="21" t="str">
        <f aca="false">IF(A491="","",IF(E491&gt;=Settings!$B$9,Settings!$B$9&amp;" Day",IF(E491&gt;=Settings!$B$8,Settings!$B$8&amp;" Day","Due in "&amp;(Settings!$B$8-E491)&amp;" days")))</f>
        <v/>
      </c>
      <c r="G491" s="21" t="str">
        <f aca="false">IF(A491="","",Patients!H491)</f>
        <v/>
      </c>
      <c r="H491" s="1"/>
    </row>
    <row r="492" customFormat="false" ht="15" hidden="false" customHeight="false" outlineLevel="0" collapsed="false">
      <c r="A492" s="21" t="str">
        <f aca="false">IF(Patients!A492="","",IF(COUNTIF('Injection Sales'!$B$2:$B$501,Patients!A492)=0,"",Patients!A492))</f>
        <v/>
      </c>
      <c r="B492" s="24" t="str">
        <f aca="false">IF(A492="","",Patients!B492&amp;"")</f>
        <v/>
      </c>
      <c r="C492" s="21" t="str">
        <f aca="false">IF(A492="","",Patients!G492)</f>
        <v/>
      </c>
      <c r="D492" s="18" t="str">
        <f aca="false">IF(A492="","",_xlfn.MAXIFS('Injection Sales'!$A$2:$A$501,'Injection Sales'!$B$2:$B$501,A492))</f>
        <v/>
      </c>
      <c r="E492" s="19" t="str">
        <f aca="true">IF(A492="","",TODAY()-D492)</f>
        <v/>
      </c>
      <c r="F492" s="21" t="str">
        <f aca="false">IF(A492="","",IF(E492&gt;=Settings!$B$9,Settings!$B$9&amp;" Day",IF(E492&gt;=Settings!$B$8,Settings!$B$8&amp;" Day","Due in "&amp;(Settings!$B$8-E492)&amp;" days")))</f>
        <v/>
      </c>
      <c r="G492" s="21" t="str">
        <f aca="false">IF(A492="","",Patients!H492)</f>
        <v/>
      </c>
      <c r="H492" s="1"/>
    </row>
    <row r="493" customFormat="false" ht="15" hidden="false" customHeight="false" outlineLevel="0" collapsed="false">
      <c r="A493" s="21" t="str">
        <f aca="false">IF(Patients!A493="","",IF(COUNTIF('Injection Sales'!$B$2:$B$501,Patients!A493)=0,"",Patients!A493))</f>
        <v/>
      </c>
      <c r="B493" s="24" t="str">
        <f aca="false">IF(A493="","",Patients!B493&amp;"")</f>
        <v/>
      </c>
      <c r="C493" s="21" t="str">
        <f aca="false">IF(A493="","",Patients!G493)</f>
        <v/>
      </c>
      <c r="D493" s="18" t="str">
        <f aca="false">IF(A493="","",_xlfn.MAXIFS('Injection Sales'!$A$2:$A$501,'Injection Sales'!$B$2:$B$501,A493))</f>
        <v/>
      </c>
      <c r="E493" s="19" t="str">
        <f aca="true">IF(A493="","",TODAY()-D493)</f>
        <v/>
      </c>
      <c r="F493" s="21" t="str">
        <f aca="false">IF(A493="","",IF(E493&gt;=Settings!$B$9,Settings!$B$9&amp;" Day",IF(E493&gt;=Settings!$B$8,Settings!$B$8&amp;" Day","Due in "&amp;(Settings!$B$8-E493)&amp;" days")))</f>
        <v/>
      </c>
      <c r="G493" s="21" t="str">
        <f aca="false">IF(A493="","",Patients!H493)</f>
        <v/>
      </c>
      <c r="H493" s="1"/>
    </row>
    <row r="494" customFormat="false" ht="15" hidden="false" customHeight="false" outlineLevel="0" collapsed="false">
      <c r="A494" s="21" t="str">
        <f aca="false">IF(Patients!A494="","",IF(COUNTIF('Injection Sales'!$B$2:$B$501,Patients!A494)=0,"",Patients!A494))</f>
        <v/>
      </c>
      <c r="B494" s="24" t="str">
        <f aca="false">IF(A494="","",Patients!B494&amp;"")</f>
        <v/>
      </c>
      <c r="C494" s="21" t="str">
        <f aca="false">IF(A494="","",Patients!G494)</f>
        <v/>
      </c>
      <c r="D494" s="18" t="str">
        <f aca="false">IF(A494="","",_xlfn.MAXIFS('Injection Sales'!$A$2:$A$501,'Injection Sales'!$B$2:$B$501,A494))</f>
        <v/>
      </c>
      <c r="E494" s="19" t="str">
        <f aca="true">IF(A494="","",TODAY()-D494)</f>
        <v/>
      </c>
      <c r="F494" s="21" t="str">
        <f aca="false">IF(A494="","",IF(E494&gt;=Settings!$B$9,Settings!$B$9&amp;" Day",IF(E494&gt;=Settings!$B$8,Settings!$B$8&amp;" Day","Due in "&amp;(Settings!$B$8-E494)&amp;" days")))</f>
        <v/>
      </c>
      <c r="G494" s="21" t="str">
        <f aca="false">IF(A494="","",Patients!H494)</f>
        <v/>
      </c>
      <c r="H494" s="1"/>
    </row>
    <row r="495" customFormat="false" ht="15" hidden="false" customHeight="false" outlineLevel="0" collapsed="false">
      <c r="A495" s="21" t="str">
        <f aca="false">IF(Patients!A495="","",IF(COUNTIF('Injection Sales'!$B$2:$B$501,Patients!A495)=0,"",Patients!A495))</f>
        <v/>
      </c>
      <c r="B495" s="24" t="str">
        <f aca="false">IF(A495="","",Patients!B495&amp;"")</f>
        <v/>
      </c>
      <c r="C495" s="21" t="str">
        <f aca="false">IF(A495="","",Patients!G495)</f>
        <v/>
      </c>
      <c r="D495" s="18" t="str">
        <f aca="false">IF(A495="","",_xlfn.MAXIFS('Injection Sales'!$A$2:$A$501,'Injection Sales'!$B$2:$B$501,A495))</f>
        <v/>
      </c>
      <c r="E495" s="19" t="str">
        <f aca="true">IF(A495="","",TODAY()-D495)</f>
        <v/>
      </c>
      <c r="F495" s="21" t="str">
        <f aca="false">IF(A495="","",IF(E495&gt;=Settings!$B$9,Settings!$B$9&amp;" Day",IF(E495&gt;=Settings!$B$8,Settings!$B$8&amp;" Day","Due in "&amp;(Settings!$B$8-E495)&amp;" days")))</f>
        <v/>
      </c>
      <c r="G495" s="21" t="str">
        <f aca="false">IF(A495="","",Patients!H495)</f>
        <v/>
      </c>
      <c r="H495" s="1"/>
    </row>
    <row r="496" customFormat="false" ht="15" hidden="false" customHeight="false" outlineLevel="0" collapsed="false">
      <c r="A496" s="21" t="str">
        <f aca="false">IF(Patients!A496="","",IF(COUNTIF('Injection Sales'!$B$2:$B$501,Patients!A496)=0,"",Patients!A496))</f>
        <v/>
      </c>
      <c r="B496" s="24" t="str">
        <f aca="false">IF(A496="","",Patients!B496&amp;"")</f>
        <v/>
      </c>
      <c r="C496" s="21" t="str">
        <f aca="false">IF(A496="","",Patients!G496)</f>
        <v/>
      </c>
      <c r="D496" s="18" t="str">
        <f aca="false">IF(A496="","",_xlfn.MAXIFS('Injection Sales'!$A$2:$A$501,'Injection Sales'!$B$2:$B$501,A496))</f>
        <v/>
      </c>
      <c r="E496" s="19" t="str">
        <f aca="true">IF(A496="","",TODAY()-D496)</f>
        <v/>
      </c>
      <c r="F496" s="21" t="str">
        <f aca="false">IF(A496="","",IF(E496&gt;=Settings!$B$9,Settings!$B$9&amp;" Day",IF(E496&gt;=Settings!$B$8,Settings!$B$8&amp;" Day","Due in "&amp;(Settings!$B$8-E496)&amp;" days")))</f>
        <v/>
      </c>
      <c r="G496" s="21" t="str">
        <f aca="false">IF(A496="","",Patients!H496)</f>
        <v/>
      </c>
      <c r="H496" s="1"/>
    </row>
    <row r="497" customFormat="false" ht="15" hidden="false" customHeight="false" outlineLevel="0" collapsed="false">
      <c r="A497" s="21" t="str">
        <f aca="false">IF(Patients!A497="","",IF(COUNTIF('Injection Sales'!$B$2:$B$501,Patients!A497)=0,"",Patients!A497))</f>
        <v/>
      </c>
      <c r="B497" s="24" t="str">
        <f aca="false">IF(A497="","",Patients!B497&amp;"")</f>
        <v/>
      </c>
      <c r="C497" s="21" t="str">
        <f aca="false">IF(A497="","",Patients!G497)</f>
        <v/>
      </c>
      <c r="D497" s="18" t="str">
        <f aca="false">IF(A497="","",_xlfn.MAXIFS('Injection Sales'!$A$2:$A$501,'Injection Sales'!$B$2:$B$501,A497))</f>
        <v/>
      </c>
      <c r="E497" s="19" t="str">
        <f aca="true">IF(A497="","",TODAY()-D497)</f>
        <v/>
      </c>
      <c r="F497" s="21" t="str">
        <f aca="false">IF(A497="","",IF(E497&gt;=Settings!$B$9,Settings!$B$9&amp;" Day",IF(E497&gt;=Settings!$B$8,Settings!$B$8&amp;" Day","Due in "&amp;(Settings!$B$8-E497)&amp;" days")))</f>
        <v/>
      </c>
      <c r="G497" s="21" t="str">
        <f aca="false">IF(A497="","",Patients!H497)</f>
        <v/>
      </c>
      <c r="H497" s="1"/>
    </row>
    <row r="498" customFormat="false" ht="15" hidden="false" customHeight="false" outlineLevel="0" collapsed="false">
      <c r="A498" s="21" t="str">
        <f aca="false">IF(Patients!A498="","",IF(COUNTIF('Injection Sales'!$B$2:$B$501,Patients!A498)=0,"",Patients!A498))</f>
        <v/>
      </c>
      <c r="B498" s="24" t="str">
        <f aca="false">IF(A498="","",Patients!B498&amp;"")</f>
        <v/>
      </c>
      <c r="C498" s="21" t="str">
        <f aca="false">IF(A498="","",Patients!G498)</f>
        <v/>
      </c>
      <c r="D498" s="18" t="str">
        <f aca="false">IF(A498="","",_xlfn.MAXIFS('Injection Sales'!$A$2:$A$501,'Injection Sales'!$B$2:$B$501,A498))</f>
        <v/>
      </c>
      <c r="E498" s="19" t="str">
        <f aca="true">IF(A498="","",TODAY()-D498)</f>
        <v/>
      </c>
      <c r="F498" s="21" t="str">
        <f aca="false">IF(A498="","",IF(E498&gt;=Settings!$B$9,Settings!$B$9&amp;" Day",IF(E498&gt;=Settings!$B$8,Settings!$B$8&amp;" Day","Due in "&amp;(Settings!$B$8-E498)&amp;" days")))</f>
        <v/>
      </c>
      <c r="G498" s="21" t="str">
        <f aca="false">IF(A498="","",Patients!H498)</f>
        <v/>
      </c>
      <c r="H498" s="1"/>
    </row>
    <row r="499" customFormat="false" ht="15" hidden="false" customHeight="false" outlineLevel="0" collapsed="false">
      <c r="A499" s="21" t="str">
        <f aca="false">IF(Patients!A499="","",IF(COUNTIF('Injection Sales'!$B$2:$B$501,Patients!A499)=0,"",Patients!A499))</f>
        <v/>
      </c>
      <c r="B499" s="24" t="str">
        <f aca="false">IF(A499="","",Patients!B499&amp;"")</f>
        <v/>
      </c>
      <c r="C499" s="21" t="str">
        <f aca="false">IF(A499="","",Patients!G499)</f>
        <v/>
      </c>
      <c r="D499" s="18" t="str">
        <f aca="false">IF(A499="","",_xlfn.MAXIFS('Injection Sales'!$A$2:$A$501,'Injection Sales'!$B$2:$B$501,A499))</f>
        <v/>
      </c>
      <c r="E499" s="19" t="str">
        <f aca="true">IF(A499="","",TODAY()-D499)</f>
        <v/>
      </c>
      <c r="F499" s="21" t="str">
        <f aca="false">IF(A499="","",IF(E499&gt;=Settings!$B$9,Settings!$B$9&amp;" Day",IF(E499&gt;=Settings!$B$8,Settings!$B$8&amp;" Day","Due in "&amp;(Settings!$B$8-E499)&amp;" days")))</f>
        <v/>
      </c>
      <c r="G499" s="21" t="str">
        <f aca="false">IF(A499="","",Patients!H499)</f>
        <v/>
      </c>
      <c r="H499" s="1"/>
    </row>
    <row r="500" customFormat="false" ht="15" hidden="false" customHeight="false" outlineLevel="0" collapsed="false">
      <c r="A500" s="21" t="str">
        <f aca="false">IF(Patients!A500="","",IF(COUNTIF('Injection Sales'!$B$2:$B$501,Patients!A500)=0,"",Patients!A500))</f>
        <v/>
      </c>
      <c r="B500" s="24" t="str">
        <f aca="false">IF(A500="","",Patients!B500&amp;"")</f>
        <v/>
      </c>
      <c r="C500" s="21" t="str">
        <f aca="false">IF(A500="","",Patients!G500)</f>
        <v/>
      </c>
      <c r="D500" s="18" t="str">
        <f aca="false">IF(A500="","",_xlfn.MAXIFS('Injection Sales'!$A$2:$A$501,'Injection Sales'!$B$2:$B$501,A500))</f>
        <v/>
      </c>
      <c r="E500" s="19" t="str">
        <f aca="true">IF(A500="","",TODAY()-D500)</f>
        <v/>
      </c>
      <c r="F500" s="21" t="str">
        <f aca="false">IF(A500="","",IF(E500&gt;=Settings!$B$9,Settings!$B$9&amp;" Day",IF(E500&gt;=Settings!$B$8,Settings!$B$8&amp;" Day","Due in "&amp;(Settings!$B$8-E500)&amp;" days")))</f>
        <v/>
      </c>
      <c r="G500" s="21" t="str">
        <f aca="false">IF(A500="","",Patients!H500)</f>
        <v/>
      </c>
      <c r="H500" s="1"/>
    </row>
    <row r="501" customFormat="false" ht="15" hidden="false" customHeight="false" outlineLevel="0" collapsed="false">
      <c r="A501" s="21" t="str">
        <f aca="false">IF(Patients!A501="","",IF(COUNTIF('Injection Sales'!$B$2:$B$501,Patients!A501)=0,"",Patients!A501))</f>
        <v/>
      </c>
      <c r="B501" s="24" t="str">
        <f aca="false">IF(A501="","",Patients!B501&amp;"")</f>
        <v/>
      </c>
      <c r="C501" s="21" t="str">
        <f aca="false">IF(A501="","",Patients!G501)</f>
        <v/>
      </c>
      <c r="D501" s="18" t="str">
        <f aca="false">IF(A501="","",_xlfn.MAXIFS('Injection Sales'!$A$2:$A$501,'Injection Sales'!$B$2:$B$501,A501))</f>
        <v/>
      </c>
      <c r="E501" s="19" t="str">
        <f aca="true">IF(A501="","",TODAY()-D501)</f>
        <v/>
      </c>
      <c r="F501" s="21" t="str">
        <f aca="false">IF(A501="","",IF(E501&gt;=Settings!$B$9,Settings!$B$9&amp;" Day",IF(E501&gt;=Settings!$B$8,Settings!$B$8&amp;" Day","Due in "&amp;(Settings!$B$8-E501)&amp;" days")))</f>
        <v/>
      </c>
      <c r="G501" s="21" t="str">
        <f aca="false">IF(A501="","",Patients!H501)</f>
        <v/>
      </c>
      <c r="H501" s="1"/>
    </row>
  </sheetData>
  <conditionalFormatting sqref="F2:F501">
    <cfRule type="expression" priority="2" aboveAverage="0" equalAverage="0" bottom="0" percent="0" rank="0" text="" dxfId="2">
      <formula>LEFT($F2,2)=TEXT(Settings!$B$9,"0")</formula>
    </cfRule>
    <cfRule type="expression" priority="3" aboveAverage="0" equalAverage="0" bottom="0" percent="0" rank="0" text="" dxfId="3">
      <formula>LEFT($F2,2)=TEXT(Settings!$B$8,"0")</formula>
    </cfRule>
  </conditionalFormatting>
  <dataValidations count="1">
    <dataValidation allowBlank="true" error="Choose a value from the list" errorStyle="stop" errorTitle="Invalid entry" operator="between" showDropDown="false" showErrorMessage="false" showInputMessage="false" sqref="H2:H501" type="list">
      <formula1>Settings!$M$13:$M$14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6F66"/>
    <pageSetUpPr fitToPage="tru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3"/>
    <col collapsed="false" customWidth="true" hidden="false" outlineLevel="0" max="13" min="8" style="0" width="20"/>
  </cols>
  <sheetData>
    <row r="1" customFormat="false" ht="17.35" hidden="false" customHeight="false" outlineLevel="0" collapsed="false">
      <c r="A1" s="37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3" t="s">
        <v>139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 t="s">
        <v>140</v>
      </c>
      <c r="B4" s="38" t="n">
        <v>1000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 t="s">
        <v>141</v>
      </c>
      <c r="B5" s="38" t="n">
        <v>500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 t="s">
        <v>142</v>
      </c>
      <c r="B6" s="39" t="n">
        <v>0.5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15" hidden="false" customHeight="false" outlineLevel="0" collapsed="false">
      <c r="A7" s="1" t="s">
        <v>143</v>
      </c>
      <c r="B7" s="40" t="n">
        <v>90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15" hidden="false" customHeight="false" outlineLevel="0" collapsed="false">
      <c r="A8" s="1" t="s">
        <v>144</v>
      </c>
      <c r="B8" s="40" t="n">
        <v>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Format="false" ht="15" hidden="false" customHeight="false" outlineLevel="0" collapsed="false">
      <c r="A9" s="1" t="s">
        <v>145</v>
      </c>
      <c r="B9" s="40" t="n">
        <v>90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33" t="s">
        <v>146</v>
      </c>
      <c r="B11" s="1"/>
      <c r="C11" s="1"/>
      <c r="D11" s="1"/>
      <c r="E11" s="1"/>
      <c r="F11" s="1"/>
      <c r="G11" s="1"/>
      <c r="H11" s="1"/>
      <c r="I11" s="1"/>
      <c r="J11" s="3" t="s">
        <v>147</v>
      </c>
      <c r="K11" s="1"/>
      <c r="L11" s="1"/>
      <c r="M11" s="1"/>
    </row>
    <row r="12" customFormat="false" ht="30" hidden="false" customHeight="true" outlineLevel="0" collapsed="false">
      <c r="A12" s="15" t="s">
        <v>50</v>
      </c>
      <c r="B12" s="15" t="s">
        <v>148</v>
      </c>
      <c r="C12" s="15" t="s">
        <v>149</v>
      </c>
      <c r="D12" s="15" t="s">
        <v>150</v>
      </c>
      <c r="E12" s="15" t="s">
        <v>45</v>
      </c>
      <c r="F12" s="1"/>
      <c r="G12" s="1"/>
      <c r="H12" s="41" t="s">
        <v>49</v>
      </c>
      <c r="I12" s="41" t="s">
        <v>151</v>
      </c>
      <c r="J12" s="41" t="s">
        <v>152</v>
      </c>
      <c r="K12" s="41" t="s">
        <v>153</v>
      </c>
      <c r="L12" s="41" t="s">
        <v>45</v>
      </c>
      <c r="M12" s="41" t="s">
        <v>154</v>
      </c>
    </row>
    <row r="13" customFormat="false" ht="15" hidden="false" customHeight="false" outlineLevel="0" collapsed="false">
      <c r="A13" s="16" t="s">
        <v>94</v>
      </c>
      <c r="B13" s="25"/>
      <c r="C13" s="25"/>
      <c r="D13" s="20" t="n">
        <f aca="false">IF(A13="","",IF(C13&lt;&gt;"",C13,$B$4))</f>
        <v>1000</v>
      </c>
      <c r="E13" s="16" t="s">
        <v>118</v>
      </c>
      <c r="F13" s="1"/>
      <c r="G13" s="1"/>
      <c r="H13" s="1" t="s">
        <v>60</v>
      </c>
      <c r="I13" s="1" t="s">
        <v>155</v>
      </c>
      <c r="J13" s="1" t="s">
        <v>21</v>
      </c>
      <c r="K13" s="1" t="s">
        <v>117</v>
      </c>
      <c r="L13" s="1" t="s">
        <v>118</v>
      </c>
      <c r="M13" s="1" t="s">
        <v>156</v>
      </c>
    </row>
    <row r="14" customFormat="false" ht="15" hidden="false" customHeight="false" outlineLevel="0" collapsed="false">
      <c r="A14" s="16" t="s">
        <v>61</v>
      </c>
      <c r="B14" s="25"/>
      <c r="C14" s="25"/>
      <c r="D14" s="20" t="n">
        <f aca="false">IF(A14="","",IF(C14&lt;&gt;"",C14,$B$4))</f>
        <v>1000</v>
      </c>
      <c r="E14" s="16" t="s">
        <v>118</v>
      </c>
      <c r="F14" s="1"/>
      <c r="G14" s="1"/>
      <c r="H14" s="1" t="s">
        <v>157</v>
      </c>
      <c r="I14" s="1" t="s">
        <v>158</v>
      </c>
      <c r="J14" s="1" t="s">
        <v>22</v>
      </c>
      <c r="K14" s="1" t="s">
        <v>159</v>
      </c>
      <c r="L14" s="1" t="s">
        <v>160</v>
      </c>
      <c r="M14" s="1" t="s">
        <v>161</v>
      </c>
    </row>
    <row r="15" customFormat="false" ht="15" hidden="false" customHeight="false" outlineLevel="0" collapsed="false">
      <c r="A15" s="16" t="s">
        <v>96</v>
      </c>
      <c r="B15" s="25"/>
      <c r="C15" s="25"/>
      <c r="D15" s="20" t="n">
        <f aca="false">IF(A15="","",IF(C15&lt;&gt;"",C15,$B$4))</f>
        <v>1000</v>
      </c>
      <c r="E15" s="16" t="s">
        <v>118</v>
      </c>
      <c r="F15" s="1"/>
      <c r="G15" s="1"/>
      <c r="H15" s="1"/>
      <c r="I15" s="1" t="s">
        <v>132</v>
      </c>
      <c r="J15" s="1" t="s">
        <v>104</v>
      </c>
      <c r="K15" s="1"/>
      <c r="L15" s="1"/>
      <c r="M15" s="1"/>
    </row>
    <row r="16" customFormat="false" ht="15" hidden="false" customHeight="false" outlineLevel="0" collapsed="false">
      <c r="A16" s="16" t="s">
        <v>97</v>
      </c>
      <c r="B16" s="25"/>
      <c r="C16" s="25"/>
      <c r="D16" s="20" t="n">
        <f aca="false">IF(A16="","",IF(C16&lt;&gt;"",C16,$B$4))</f>
        <v>1000</v>
      </c>
      <c r="E16" s="16" t="s">
        <v>118</v>
      </c>
      <c r="F16" s="1"/>
      <c r="G16" s="1"/>
      <c r="H16" s="1"/>
      <c r="I16" s="1" t="s">
        <v>162</v>
      </c>
      <c r="J16" s="1" t="s">
        <v>106</v>
      </c>
      <c r="K16" s="1"/>
      <c r="L16" s="1"/>
      <c r="M16" s="1"/>
    </row>
    <row r="17" customFormat="false" ht="15" hidden="false" customHeight="false" outlineLevel="0" collapsed="false">
      <c r="A17" s="16" t="s">
        <v>98</v>
      </c>
      <c r="B17" s="25"/>
      <c r="C17" s="25"/>
      <c r="D17" s="20" t="n">
        <f aca="false">IF(A17="","",IF(C17&lt;&gt;"",C17,$B$4))</f>
        <v>1000</v>
      </c>
      <c r="E17" s="16" t="s">
        <v>118</v>
      </c>
      <c r="F17" s="1"/>
      <c r="G17" s="1"/>
      <c r="H17" s="1"/>
      <c r="I17" s="1" t="s">
        <v>163</v>
      </c>
      <c r="J17" s="1" t="s">
        <v>107</v>
      </c>
      <c r="K17" s="1"/>
      <c r="L17" s="1"/>
      <c r="M17" s="1"/>
    </row>
    <row r="18" customFormat="false" ht="15" hidden="false" customHeight="false" outlineLevel="0" collapsed="false">
      <c r="A18" s="16" t="s">
        <v>99</v>
      </c>
      <c r="B18" s="25"/>
      <c r="C18" s="25"/>
      <c r="D18" s="20" t="n">
        <f aca="false">IF(A18="","",IF(C18&lt;&gt;"",C18,$B$4))</f>
        <v>1000</v>
      </c>
      <c r="E18" s="16" t="s">
        <v>118</v>
      </c>
      <c r="F18" s="1"/>
      <c r="G18" s="1"/>
      <c r="H18" s="1"/>
      <c r="I18" s="1" t="s">
        <v>164</v>
      </c>
      <c r="J18" s="1" t="s">
        <v>108</v>
      </c>
      <c r="K18" s="1"/>
      <c r="L18" s="1"/>
      <c r="M18" s="1"/>
    </row>
    <row r="19" customFormat="false" ht="15" hidden="false" customHeight="false" outlineLevel="0" collapsed="false">
      <c r="A19" s="16" t="s">
        <v>100</v>
      </c>
      <c r="B19" s="25"/>
      <c r="C19" s="25"/>
      <c r="D19" s="20" t="n">
        <f aca="false">IF(A19="","",IF(C19&lt;&gt;"",C19,$B$4))</f>
        <v>1000</v>
      </c>
      <c r="E19" s="16" t="s">
        <v>118</v>
      </c>
      <c r="F19" s="1"/>
      <c r="G19" s="1"/>
      <c r="H19" s="1"/>
      <c r="I19" s="1" t="s">
        <v>165</v>
      </c>
      <c r="J19" s="1" t="s">
        <v>109</v>
      </c>
      <c r="K19" s="1"/>
      <c r="L19" s="1"/>
      <c r="M19" s="1"/>
    </row>
    <row r="20" customFormat="false" ht="15" hidden="false" customHeight="false" outlineLevel="0" collapsed="false">
      <c r="A20" s="16" t="s">
        <v>101</v>
      </c>
      <c r="B20" s="25"/>
      <c r="C20" s="25"/>
      <c r="D20" s="20" t="n">
        <f aca="false">IF(A20="","",IF(C20&lt;&gt;"",C20,$B$4))</f>
        <v>1000</v>
      </c>
      <c r="E20" s="16" t="s">
        <v>118</v>
      </c>
      <c r="F20" s="1"/>
      <c r="G20" s="1"/>
      <c r="H20" s="1"/>
      <c r="I20" s="1" t="s">
        <v>166</v>
      </c>
      <c r="J20" s="1"/>
      <c r="K20" s="1"/>
      <c r="L20" s="1"/>
      <c r="M20" s="1"/>
    </row>
    <row r="21" customFormat="false" ht="15" hidden="false" customHeight="false" outlineLevel="0" collapsed="false">
      <c r="A21" s="16" t="s">
        <v>102</v>
      </c>
      <c r="B21" s="25"/>
      <c r="C21" s="25"/>
      <c r="D21" s="20" t="n">
        <f aca="false">IF(A21="","",IF(C21&lt;&gt;"",C21,$B$4))</f>
        <v>1000</v>
      </c>
      <c r="E21" s="16" t="s">
        <v>118</v>
      </c>
      <c r="F21" s="1"/>
      <c r="G21" s="1"/>
      <c r="H21" s="1"/>
      <c r="I21" s="1" t="s">
        <v>167</v>
      </c>
      <c r="J21" s="1"/>
      <c r="K21" s="1"/>
      <c r="L21" s="1"/>
      <c r="M21" s="1"/>
    </row>
    <row r="22" customFormat="false" ht="15" hidden="false" customHeight="false" outlineLevel="0" collapsed="false">
      <c r="A22" s="16"/>
      <c r="B22" s="25"/>
      <c r="C22" s="25"/>
      <c r="D22" s="20" t="str">
        <f aca="false">IF(A22="","",IF(C22&lt;&gt;"",C22,$B$4))</f>
        <v/>
      </c>
      <c r="E22" s="16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6"/>
      <c r="B23" s="25"/>
      <c r="C23" s="25"/>
      <c r="D23" s="20" t="str">
        <f aca="false">IF(A23="","",IF(C23&lt;&gt;"",C23,$B$4))</f>
        <v/>
      </c>
      <c r="E23" s="16"/>
      <c r="F23" s="1"/>
      <c r="G23" s="1"/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6"/>
      <c r="B24" s="25"/>
      <c r="C24" s="25"/>
      <c r="D24" s="20" t="str">
        <f aca="false">IF(A24="","",IF(C24&lt;&gt;"",C24,$B$4))</f>
        <v/>
      </c>
      <c r="E24" s="16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6"/>
      <c r="B25" s="25"/>
      <c r="C25" s="25"/>
      <c r="D25" s="20" t="str">
        <f aca="false">IF(A25="","",IF(C25&lt;&gt;"",C25,$B$4))</f>
        <v/>
      </c>
      <c r="E25" s="16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6"/>
      <c r="B26" s="25"/>
      <c r="C26" s="25"/>
      <c r="D26" s="20" t="str">
        <f aca="false">IF(A26="","",IF(C26&lt;&gt;"",C26,$B$4))</f>
        <v/>
      </c>
      <c r="E26" s="16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6"/>
      <c r="B27" s="25"/>
      <c r="C27" s="25"/>
      <c r="D27" s="20" t="str">
        <f aca="false">IF(A27="","",IF(C27&lt;&gt;"",C27,$B$4))</f>
        <v/>
      </c>
      <c r="E27" s="16"/>
      <c r="F27" s="1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6"/>
      <c r="B28" s="25"/>
      <c r="C28" s="25"/>
      <c r="D28" s="20" t="str">
        <f aca="false">IF(A28="","",IF(C28&lt;&gt;"",C28,$B$4))</f>
        <v/>
      </c>
      <c r="E28" s="16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6"/>
      <c r="B29" s="25"/>
      <c r="C29" s="25"/>
      <c r="D29" s="20" t="str">
        <f aca="false">IF(A29="","",IF(C29&lt;&gt;"",C29,$B$4))</f>
        <v/>
      </c>
      <c r="E29" s="16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6"/>
      <c r="B30" s="25"/>
      <c r="C30" s="25"/>
      <c r="D30" s="20" t="str">
        <f aca="false">IF(A30="","",IF(C30&lt;&gt;"",C30,$B$4))</f>
        <v/>
      </c>
      <c r="E30" s="16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6"/>
      <c r="B31" s="25"/>
      <c r="C31" s="25"/>
      <c r="D31" s="20" t="str">
        <f aca="false">IF(A31="","",IF(C31&lt;&gt;"",C31,$B$4))</f>
        <v/>
      </c>
      <c r="E31" s="16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6"/>
      <c r="B32" s="25"/>
      <c r="C32" s="25"/>
      <c r="D32" s="20" t="str">
        <f aca="false">IF(A32="","",IF(C32&lt;&gt;"",C32,$B$4))</f>
        <v/>
      </c>
      <c r="E32" s="16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33" t="s">
        <v>168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30" hidden="false" customHeight="true" outlineLevel="0" collapsed="false">
      <c r="A35" s="15" t="s">
        <v>65</v>
      </c>
      <c r="B35" s="15" t="s">
        <v>148</v>
      </c>
      <c r="C35" s="15" t="s">
        <v>149</v>
      </c>
      <c r="D35" s="15" t="s">
        <v>150</v>
      </c>
      <c r="E35" s="15" t="s">
        <v>45</v>
      </c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6" t="s">
        <v>68</v>
      </c>
      <c r="B36" s="25"/>
      <c r="C36" s="25"/>
      <c r="D36" s="20" t="n">
        <f aca="false">IF(A36="","",IF(C36&lt;&gt;"",C36,$B$5))</f>
        <v>500</v>
      </c>
      <c r="E36" s="16" t="s">
        <v>118</v>
      </c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6"/>
      <c r="B37" s="25"/>
      <c r="C37" s="25"/>
      <c r="D37" s="20" t="str">
        <f aca="false">IF(A37="","",IF(C37&lt;&gt;"",C37,$B$5))</f>
        <v/>
      </c>
      <c r="E37" s="16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6"/>
      <c r="B38" s="25"/>
      <c r="C38" s="25"/>
      <c r="D38" s="20" t="str">
        <f aca="false">IF(A38="","",IF(C38&lt;&gt;"",C38,$B$5))</f>
        <v/>
      </c>
      <c r="E38" s="16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6"/>
      <c r="B39" s="25"/>
      <c r="C39" s="25"/>
      <c r="D39" s="20" t="str">
        <f aca="false">IF(A39="","",IF(C39&lt;&gt;"",C39,$B$5))</f>
        <v/>
      </c>
      <c r="E39" s="16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6"/>
      <c r="B40" s="25"/>
      <c r="C40" s="25"/>
      <c r="D40" s="20" t="str">
        <f aca="false">IF(A40="","",IF(C40&lt;&gt;"",C40,$B$5))</f>
        <v/>
      </c>
      <c r="E40" s="16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6"/>
      <c r="B41" s="25"/>
      <c r="C41" s="25"/>
      <c r="D41" s="20" t="str">
        <f aca="false">IF(A41="","",IF(C41&lt;&gt;"",C41,$B$5))</f>
        <v/>
      </c>
      <c r="E41" s="16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6"/>
      <c r="B42" s="25"/>
      <c r="C42" s="25"/>
      <c r="D42" s="20" t="str">
        <f aca="false">IF(A42="","",IF(C42&lt;&gt;"",C42,$B$5))</f>
        <v/>
      </c>
      <c r="E42" s="16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6"/>
      <c r="B43" s="25"/>
      <c r="C43" s="25"/>
      <c r="D43" s="20" t="str">
        <f aca="false">IF(A43="","",IF(C43&lt;&gt;"",C43,$B$5))</f>
        <v/>
      </c>
      <c r="E43" s="16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6"/>
      <c r="B44" s="25"/>
      <c r="C44" s="25"/>
      <c r="D44" s="20" t="str">
        <f aca="false">IF(A44="","",IF(C44&lt;&gt;"",C44,$B$5))</f>
        <v/>
      </c>
      <c r="E44" s="16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6"/>
      <c r="B45" s="25"/>
      <c r="C45" s="25"/>
      <c r="D45" s="20" t="str">
        <f aca="false">IF(A45="","",IF(C45&lt;&gt;"",C45,$B$5))</f>
        <v/>
      </c>
      <c r="E45" s="16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33" t="s">
        <v>169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30" hidden="false" customHeight="true" outlineLevel="0" collapsed="false">
      <c r="A48" s="15" t="s">
        <v>69</v>
      </c>
      <c r="B48" s="15" t="s">
        <v>170</v>
      </c>
      <c r="C48" s="15" t="s">
        <v>128</v>
      </c>
      <c r="D48" s="15" t="s">
        <v>171</v>
      </c>
      <c r="E48" s="15" t="s">
        <v>45</v>
      </c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6" t="s">
        <v>172</v>
      </c>
      <c r="B49" s="25"/>
      <c r="C49" s="25" t="n">
        <v>1000</v>
      </c>
      <c r="D49" s="16" t="n">
        <v>1</v>
      </c>
      <c r="E49" s="16" t="s">
        <v>118</v>
      </c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6" t="s">
        <v>70</v>
      </c>
      <c r="B50" s="25"/>
      <c r="C50" s="25" t="n">
        <v>2000</v>
      </c>
      <c r="D50" s="16" t="n">
        <v>3</v>
      </c>
      <c r="E50" s="16" t="s">
        <v>118</v>
      </c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6"/>
      <c r="B51" s="25"/>
      <c r="C51" s="25"/>
      <c r="D51" s="16"/>
      <c r="E51" s="16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6"/>
      <c r="B52" s="25"/>
      <c r="C52" s="25"/>
      <c r="D52" s="16"/>
      <c r="E52" s="16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6"/>
      <c r="B53" s="25"/>
      <c r="C53" s="25"/>
      <c r="D53" s="16"/>
      <c r="E53" s="16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6"/>
      <c r="B54" s="25"/>
      <c r="C54" s="25"/>
      <c r="D54" s="16"/>
      <c r="E54" s="16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33" t="s">
        <v>173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 t="s">
        <v>174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 t="s">
        <v>175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 t="s">
        <v>177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 t="s">
        <v>178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 t="s">
        <v>179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 t="s">
        <v>180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 t="s">
        <v>181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2026-09-30T10:54:58Z</dcterms:created>
  <dc:creator>openpyxl</dc:creator>
  <dc:description/>
  <dc:language>en-US</dc:language>
  <cp:lastModifiedBy/>
  <dcterms:modified xsi:type="dcterms:W3CDTF">2026-09-30T10:55:00Z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